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Riya.pethad.c\Desktop\"/>
    </mc:Choice>
  </mc:AlternateContent>
  <xr:revisionPtr revIDLastSave="0" documentId="13_ncr:1_{25510715-D8D1-46EC-80D0-87BE78CBCF33}" xr6:coauthVersionLast="47" xr6:coauthVersionMax="47" xr10:uidLastSave="{00000000-0000-0000-0000-000000000000}"/>
  <bookViews>
    <workbookView xWindow="-120" yWindow="-120" windowWidth="20730" windowHeight="11040" activeTab="5" xr2:uid="{EE35E905-C683-403F-9193-8591FAB578C2}"/>
  </bookViews>
  <sheets>
    <sheet name="Question" sheetId="1" r:id="rId1"/>
    <sheet name="Sales'25" sheetId="8" r:id="rId2"/>
    <sheet name="Sales'26" sheetId="5" r:id="rId3"/>
    <sheet name="Append1" sheetId="10" r:id="rId4"/>
    <sheet name="Pivot" sheetId="4" r:id="rId5"/>
    <sheet name="Dashboard" sheetId="12" r:id="rId6"/>
  </sheets>
  <definedNames>
    <definedName name="_xlchart.v2.0" hidden="1">#REF!</definedName>
    <definedName name="_xlchart.v2.1" hidden="1">#REF!</definedName>
    <definedName name="_xlchart.v2.10" hidden="1">#REF!</definedName>
    <definedName name="_xlchart.v2.11" hidden="1">Pivot!$C$4:$C$19</definedName>
    <definedName name="_xlchart.v2.12" hidden="1">Pivot!$C$4:$C$20</definedName>
    <definedName name="_xlchart.v2.13" hidden="1">Pivot!$D$2:$D$3</definedName>
    <definedName name="_xlchart.v2.14" hidden="1">Pivot!$D$4:$D$19</definedName>
    <definedName name="_xlchart.v2.15" hidden="1">Pivot!$D$4:$D$20</definedName>
    <definedName name="_xlchart.v2.2" hidden="1">#REF!</definedName>
    <definedName name="_xlchart.v2.3" hidden="1">Pivot!$C$4:$C$19</definedName>
    <definedName name="_xlchart.v2.4" hidden="1">Pivot!$C$4:$C$20</definedName>
    <definedName name="_xlchart.v2.5" hidden="1">Pivot!$D$2:$D$3</definedName>
    <definedName name="_xlchart.v2.6" hidden="1">Pivot!$D$4:$D$19</definedName>
    <definedName name="_xlchart.v2.7" hidden="1">Pivot!$D$4:$D$20</definedName>
    <definedName name="_xlchart.v2.8" hidden="1">#REF!</definedName>
    <definedName name="_xlchart.v2.9" hidden="1">#REF!</definedName>
    <definedName name="ExternalData_1" localSheetId="3" hidden="1">Append1!$A$1:$P$1075</definedName>
    <definedName name="Slicer_Month">#N/A</definedName>
    <definedName name="Slicer_State">#N/A</definedName>
    <definedName name="Slicer_Year">#N/A</definedName>
    <definedName name="year">Pivot!$J$5</definedName>
  </definedNames>
  <calcPr calcId="191029"/>
  <pivotCaches>
    <pivotCache cacheId="13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3" i="4" l="1"/>
  <c r="A1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0FA708-8C2C-4EEE-BBE6-E2F8A495EC8D}" keepAlive="1" name="Query - Append1" description="Connection to the 'Append1' query in the workbook." type="5" refreshedVersion="7" background="1" saveData="1">
    <dbPr connection="Provider=Microsoft.Mashup.OleDb.1;Data Source=$Workbook$;Location=Append1;Extended Properties=&quot;&quot;" command="SELECT * FROM [Append1]"/>
  </connection>
  <connection id="2" xr16:uid="{FCDE8906-A305-4CA2-8035-363743EC535A}" keepAlive="1" name="Query - sales2025" description="Connection to the 'sales2025' query in the workbook." type="5" refreshedVersion="0" background="1">
    <dbPr connection="Provider=Microsoft.Mashup.OleDb.1;Data Source=$Workbook$;Location=sales2025;Extended Properties=&quot;&quot;" command="SELECT * FROM [sales2025]"/>
  </connection>
  <connection id="3" xr16:uid="{3A8C4090-E219-473F-AA41-3EBD238C4584}" keepAlive="1" name="Query - sales2026" description="Connection to the 'sales2026' query in the workbook." type="5" refreshedVersion="0" background="1">
    <dbPr connection="Provider=Microsoft.Mashup.OleDb.1;Data Source=$Workbook$;Location=sales2026;Extended Properties=&quot;&quot;" command="SELECT * FROM [sales2026]"/>
  </connection>
</connections>
</file>

<file path=xl/sharedStrings.xml><?xml version="1.0" encoding="utf-8"?>
<sst xmlns="http://schemas.openxmlformats.org/spreadsheetml/2006/main" count="17358" uniqueCount="648">
  <si>
    <t>Sales Dashboard Project</t>
  </si>
  <si>
    <t>Goal- Create an interactive dashboard to track sales performance.</t>
  </si>
  <si>
    <t>Features</t>
  </si>
  <si>
    <t>Monthly sales trends</t>
  </si>
  <si>
    <t>Top-selling products</t>
  </si>
  <si>
    <t>Region-wise peformance</t>
  </si>
  <si>
    <t>Profit analysis</t>
  </si>
  <si>
    <t>Dynamic charts using slicers</t>
  </si>
  <si>
    <t>Excel Skills used</t>
  </si>
  <si>
    <t>Pivot tables</t>
  </si>
  <si>
    <t>Pivot Charts</t>
  </si>
  <si>
    <t>Sumifs/Countifs</t>
  </si>
  <si>
    <t>Conditional Formatting</t>
  </si>
  <si>
    <t>Data Validation</t>
  </si>
  <si>
    <t>Slicers</t>
  </si>
  <si>
    <t>Example Data Columns</t>
  </si>
  <si>
    <t>Date</t>
  </si>
  <si>
    <t>Product Name</t>
  </si>
  <si>
    <t>Region</t>
  </si>
  <si>
    <t>Sales Amount</t>
  </si>
  <si>
    <t>Quantity</t>
  </si>
  <si>
    <t>Profit</t>
  </si>
  <si>
    <t>Final Output</t>
  </si>
  <si>
    <t>A professional dashboard with KPIs like-</t>
  </si>
  <si>
    <t>Total Revenue</t>
  </si>
  <si>
    <t>Total Profit</t>
  </si>
  <si>
    <t>Best Product</t>
  </si>
  <si>
    <t>Highest Sales Region</t>
  </si>
  <si>
    <t>Order ID</t>
  </si>
  <si>
    <t>Month</t>
  </si>
  <si>
    <t>Year</t>
  </si>
  <si>
    <t>Category</t>
  </si>
  <si>
    <t>State</t>
  </si>
  <si>
    <t>Salesperson</t>
  </si>
  <si>
    <t>Customer Type</t>
  </si>
  <si>
    <t>Unit Price</t>
  </si>
  <si>
    <t>Cost</t>
  </si>
  <si>
    <t>Profit %</t>
  </si>
  <si>
    <t>Products</t>
  </si>
  <si>
    <t>Electronics</t>
  </si>
  <si>
    <t>Furniture</t>
  </si>
  <si>
    <t>Office Supplies</t>
  </si>
  <si>
    <t>Appliances</t>
  </si>
  <si>
    <t>ORD0002</t>
  </si>
  <si>
    <t>Jun</t>
  </si>
  <si>
    <t>ORD0003</t>
  </si>
  <si>
    <t>Mar</t>
  </si>
  <si>
    <t>ORD0004</t>
  </si>
  <si>
    <t>Nov</t>
  </si>
  <si>
    <t>ORD0005</t>
  </si>
  <si>
    <t>Aug</t>
  </si>
  <si>
    <t>ORD0006</t>
  </si>
  <si>
    <t>ORD0007</t>
  </si>
  <si>
    <t>Sep</t>
  </si>
  <si>
    <t>ORD0008</t>
  </si>
  <si>
    <t>Feb</t>
  </si>
  <si>
    <t>ORD0009</t>
  </si>
  <si>
    <t>May</t>
  </si>
  <si>
    <t>ORD0010</t>
  </si>
  <si>
    <t>Jan</t>
  </si>
  <si>
    <t>ORD0011</t>
  </si>
  <si>
    <t>ORD0012</t>
  </si>
  <si>
    <t>Apr</t>
  </si>
  <si>
    <t>ORD0013</t>
  </si>
  <si>
    <t>ORD0014</t>
  </si>
  <si>
    <t>Oct</t>
  </si>
  <si>
    <t>ORD0015</t>
  </si>
  <si>
    <t>ORD0016</t>
  </si>
  <si>
    <t>ORD0017</t>
  </si>
  <si>
    <t>ORD0018</t>
  </si>
  <si>
    <t>ORD0019</t>
  </si>
  <si>
    <t>ORD0020</t>
  </si>
  <si>
    <t>ORD0021</t>
  </si>
  <si>
    <t>ORD0022</t>
  </si>
  <si>
    <t>ORD0023</t>
  </si>
  <si>
    <t>ORD0024</t>
  </si>
  <si>
    <t>ORD0025</t>
  </si>
  <si>
    <t>ORD0026</t>
  </si>
  <si>
    <t>ORD0027</t>
  </si>
  <si>
    <t>ORD0028</t>
  </si>
  <si>
    <t>Dec</t>
  </si>
  <si>
    <t>ORD0029</t>
  </si>
  <si>
    <t>ORD0030</t>
  </si>
  <si>
    <t>Jul</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</si>
  <si>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</si>
  <si>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</si>
  <si>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</si>
  <si>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</si>
  <si>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</si>
  <si>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</si>
  <si>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</si>
  <si>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</si>
  <si>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</si>
  <si>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</si>
  <si>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</si>
  <si>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</si>
  <si>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</si>
  <si>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</si>
  <si>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</si>
  <si>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</si>
  <si>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</si>
  <si>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</si>
  <si>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</si>
  <si>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</si>
  <si>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</si>
  <si>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</si>
  <si>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</si>
  <si>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</si>
  <si>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</si>
  <si>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</si>
  <si>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</si>
  <si>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</si>
  <si>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</si>
  <si>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</si>
  <si>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</si>
  <si>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</si>
  <si>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</si>
  <si>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</si>
  <si>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</si>
  <si>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</si>
  <si>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</si>
  <si>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</si>
  <si>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</si>
  <si>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</si>
  <si>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</si>
  <si>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</si>
  <si>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</si>
  <si>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</si>
  <si>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</si>
  <si>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</si>
  <si>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</si>
  <si>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</si>
  <si>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</si>
  <si>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</si>
  <si>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</si>
  <si>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</si>
  <si>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</si>
  <si>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</si>
  <si>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</si>
  <si>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</si>
  <si>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</si>
  <si>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</si>
  <si>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</si>
  <si>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</si>
  <si>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</si>
  <si>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</si>
  <si>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</si>
  <si>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</si>
  <si>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</si>
  <si>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</si>
  <si>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</si>
  <si>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</si>
  <si>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</si>
  <si>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</si>
  <si>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</si>
  <si>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</si>
  <si>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</si>
  <si>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</si>
  <si>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</si>
  <si>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</si>
  <si>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</si>
  <si>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</si>
  <si>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</si>
  <si>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</si>
  <si>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</si>
  <si>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</si>
  <si>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</si>
  <si>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</si>
  <si>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</si>
  <si>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</si>
  <si>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</si>
  <si>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</si>
  <si>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</si>
  <si>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</si>
  <si>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</si>
  <si>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</si>
  <si>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</si>
  <si>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</si>
  <si>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</si>
  <si>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</si>
  <si>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</si>
  <si>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</si>
  <si>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</si>
  <si>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</si>
  <si>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</si>
  <si>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</si>
  <si>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</si>
  <si>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</si>
  <si>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</si>
  <si>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</si>
  <si>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</si>
  <si>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</si>
  <si>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</si>
  <si>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</si>
  <si>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</si>
  <si>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</si>
  <si>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</si>
  <si>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</si>
  <si>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</si>
  <si>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</si>
  <si>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</si>
  <si>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</si>
  <si>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</si>
  <si>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</si>
  <si>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</si>
  <si>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</si>
  <si>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</si>
  <si>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</si>
  <si>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</si>
  <si>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</si>
  <si>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</si>
  <si>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</si>
  <si>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</si>
  <si>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</si>
  <si>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</si>
  <si>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</si>
  <si>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</si>
  <si>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</si>
  <si>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</si>
  <si>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</si>
  <si>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</si>
  <si>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</si>
  <si>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</si>
  <si>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</si>
  <si>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</si>
  <si>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</si>
  <si>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</si>
  <si>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</si>
  <si>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</si>
  <si>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</si>
  <si>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</si>
  <si>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</si>
  <si>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</si>
  <si>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</si>
  <si>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</si>
  <si>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</si>
  <si>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</si>
  <si>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</si>
  <si>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</si>
  <si>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</si>
  <si>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</si>
  <si>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</si>
  <si>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</si>
  <si>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</si>
  <si>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</si>
  <si>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</si>
  <si>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</si>
  <si>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</si>
  <si>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</si>
  <si>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</si>
  <si>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</si>
  <si>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</si>
  <si>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</si>
  <si>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</si>
  <si>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</si>
  <si>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</si>
  <si>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</si>
  <si>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</si>
  <si>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</si>
  <si>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</si>
  <si>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</si>
  <si>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</si>
  <si>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</si>
  <si>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</si>
  <si>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</si>
  <si>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</si>
  <si>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</si>
  <si>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</si>
  <si>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</si>
  <si>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</si>
  <si>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</si>
  <si>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</si>
  <si>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</si>
  <si>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</si>
  <si>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</si>
  <si>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</si>
  <si>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</si>
  <si>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</si>
  <si>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</si>
  <si>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</si>
  <si>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</si>
  <si>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</si>
  <si>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</si>
  <si>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</si>
  <si>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</si>
  <si>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</si>
  <si>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</si>
  <si>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</si>
  <si>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</si>
  <si>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</si>
  <si>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</si>
  <si>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</si>
  <si>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</si>
  <si>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</si>
  <si>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</si>
  <si>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</si>
  <si>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</si>
  <si>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</si>
  <si>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</si>
  <si>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</si>
  <si>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</si>
  <si>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</si>
  <si>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</si>
  <si>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</si>
  <si>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</si>
  <si>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</si>
  <si>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</si>
  <si>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</si>
  <si>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</si>
  <si>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</si>
  <si>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</si>
  <si>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</si>
  <si>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</si>
  <si>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</si>
  <si>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</si>
  <si>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</si>
  <si>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</si>
  <si>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</si>
  <si>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</si>
  <si>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</si>
  <si>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</si>
  <si>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</si>
  <si>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</si>
  <si>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</si>
  <si>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</si>
  <si>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</si>
  <si>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</si>
  <si>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</si>
  <si>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</si>
  <si>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</si>
  <si>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</si>
  <si>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</si>
  <si>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</si>
  <si>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</si>
  <si>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</si>
  <si>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</si>
  <si>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</si>
  <si>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</si>
  <si>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</si>
  <si>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</si>
  <si>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</si>
  <si>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</si>
  <si>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</si>
  <si>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</si>
  <si>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</si>
  <si>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</si>
  <si>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</si>
  <si>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</si>
  <si>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</si>
  <si>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</si>
  <si>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</si>
  <si>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</si>
  <si>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</si>
  <si>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</si>
  <si>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</si>
  <si>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</si>
  <si>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</si>
  <si>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</si>
  <si>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</si>
  <si>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</si>
  <si>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</si>
  <si>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</si>
  <si>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</si>
  <si>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</si>
  <si>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</si>
  <si>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</si>
  <si>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</si>
  <si>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</si>
  <si>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</si>
  <si>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</si>
  <si>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</si>
  <si>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</si>
  <si>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</si>
  <si>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</si>
  <si>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</si>
  <si>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</si>
  <si>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</si>
  <si>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</si>
  <si>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</si>
  <si>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</si>
  <si>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</si>
  <si>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</si>
  <si>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</si>
  <si>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</si>
  <si>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</si>
  <si>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</si>
  <si>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</si>
  <si>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</si>
  <si>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</si>
  <si>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</si>
  <si>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</si>
  <si>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</si>
  <si>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</si>
  <si>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</si>
  <si>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</si>
  <si>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</si>
  <si>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</si>
  <si>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</si>
  <si>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</si>
  <si>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</si>
  <si>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</si>
  <si>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</si>
  <si>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</si>
  <si>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</si>
  <si>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</si>
  <si>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</si>
  <si>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</si>
  <si>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</si>
  <si>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</si>
  <si>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</si>
  <si>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</si>
  <si>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</si>
  <si>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</si>
  <si>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</si>
  <si>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</si>
  <si>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</si>
  <si>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</si>
  <si>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</si>
  <si>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</si>
  <si>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</si>
  <si>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</si>
  <si>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</si>
  <si>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</si>
  <si>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</si>
  <si>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</si>
  <si>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</si>
  <si>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</si>
  <si>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</si>
  <si>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</si>
  <si>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</si>
  <si>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</si>
  <si>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</si>
  <si>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</si>
  <si>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</si>
  <si>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</si>
  <si>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</si>
  <si>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</si>
  <si>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</si>
  <si>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</si>
  <si>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</si>
  <si>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</si>
  <si>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</si>
  <si>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</si>
  <si>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</si>
  <si>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</si>
  <si>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</si>
  <si>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</si>
  <si>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</si>
  <si>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</si>
  <si>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</si>
  <si>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</si>
  <si>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</si>
  <si>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</si>
  <si>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</si>
  <si>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</si>
  <si>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</si>
  <si>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</si>
  <si>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</si>
  <si>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</si>
  <si>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</si>
  <si>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</si>
  <si>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</si>
  <si>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</si>
  <si>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</si>
  <si>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</si>
  <si>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</si>
  <si>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</si>
  <si>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</si>
  <si>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</si>
  <si>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</si>
  <si>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</si>
  <si>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</si>
  <si>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</si>
  <si>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</si>
  <si>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</si>
  <si>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</si>
  <si>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</si>
  <si>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</si>
  <si>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</si>
  <si>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</si>
  <si>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</si>
  <si>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</si>
  <si>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</si>
  <si>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</si>
  <si>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</si>
  <si>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</si>
  <si>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</si>
  <si>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</si>
  <si>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</si>
  <si>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</si>
  <si>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</si>
  <si>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</si>
  <si>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</si>
  <si>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</si>
  <si>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</si>
  <si>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</si>
  <si>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</si>
  <si>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</si>
  <si>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</si>
  <si>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</si>
  <si>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</si>
  <si>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</si>
  <si>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</si>
  <si>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</si>
  <si>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</si>
  <si>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</si>
  <si>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</si>
  <si>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</si>
  <si>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</si>
  <si>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</si>
  <si>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</si>
  <si>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</si>
  <si>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</si>
  <si>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</si>
  <si>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</si>
  <si>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</si>
  <si>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</si>
  <si>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</si>
  <si>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</si>
  <si>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</si>
  <si>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</si>
  <si>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</si>
  <si>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</si>
  <si>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</si>
  <si>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</si>
  <si>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</si>
  <si>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</si>
  <si>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</si>
  <si>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</si>
  <si>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</si>
  <si>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</si>
  <si>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</si>
  <si>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</si>
  <si>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</si>
  <si>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</si>
  <si>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</si>
  <si>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</si>
  <si>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</si>
  <si>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</si>
  <si>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</si>
  <si>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</si>
  <si>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</si>
  <si>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</si>
  <si>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</si>
  <si>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</si>
  <si>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</si>
  <si>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</si>
  <si>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</si>
  <si>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</si>
  <si>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</si>
  <si>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</si>
  <si>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</si>
  <si>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</si>
  <si>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</si>
  <si>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</si>
  <si>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</si>
  <si>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</si>
  <si>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</si>
  <si>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</si>
  <si>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</si>
  <si>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</si>
  <si>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</si>
  <si>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</si>
  <si>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</si>
  <si>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</si>
  <si>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</si>
  <si>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</si>
  <si>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</si>
  <si>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</si>
  <si>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</si>
  <si>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</si>
  <si>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</si>
  <si>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</si>
  <si>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</si>
  <si>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</si>
  <si>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</si>
  <si>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</si>
  <si>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</si>
  <si>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</si>
  <si>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</si>
  <si>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</si>
  <si>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</si>
  <si>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</si>
  <si>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</si>
  <si>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</si>
  <si>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</si>
  <si>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</si>
  <si>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</si>
  <si>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</si>
  <si>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</si>
  <si>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</si>
  <si>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</si>
  <si>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Desk</t>
  </si>
  <si>
    <t>Notebook</t>
  </si>
  <si>
    <t>Printer</t>
  </si>
  <si>
    <t>Mouse</t>
  </si>
  <si>
    <t>Monitor</t>
  </si>
  <si>
    <t>File Holder</t>
  </si>
  <si>
    <t>Chair</t>
  </si>
  <si>
    <t>Keyboard</t>
  </si>
  <si>
    <t>Laptop</t>
  </si>
  <si>
    <t>Stapler</t>
  </si>
  <si>
    <t>Mixer</t>
  </si>
  <si>
    <t>Refrigerator</t>
  </si>
  <si>
    <t>Pen</t>
  </si>
  <si>
    <t>Table</t>
  </si>
  <si>
    <t>Sofa</t>
  </si>
  <si>
    <t>Microwave</t>
  </si>
  <si>
    <t>East</t>
  </si>
  <si>
    <t>West</t>
  </si>
  <si>
    <t>Central</t>
  </si>
  <si>
    <t>South</t>
  </si>
  <si>
    <t>North</t>
  </si>
  <si>
    <t>Bihar</t>
  </si>
  <si>
    <t>Sneha</t>
  </si>
  <si>
    <t>Retail</t>
  </si>
  <si>
    <t>Maharashtra</t>
  </si>
  <si>
    <t>Vikas</t>
  </si>
  <si>
    <t>Wholesale</t>
  </si>
  <si>
    <t>Amit</t>
  </si>
  <si>
    <t>Tamil Nadu</t>
  </si>
  <si>
    <t>Rajasthan</t>
  </si>
  <si>
    <t>UP</t>
  </si>
  <si>
    <t>Karan</t>
  </si>
  <si>
    <t>Gujarat</t>
  </si>
  <si>
    <t>Karnataka</t>
  </si>
  <si>
    <t>Punjab</t>
  </si>
  <si>
    <t>Anjali</t>
  </si>
  <si>
    <t>Delhi</t>
  </si>
  <si>
    <t>West Bengal</t>
  </si>
  <si>
    <t>Priya</t>
  </si>
  <si>
    <t>Rahul</t>
  </si>
  <si>
    <t>Grand Total</t>
  </si>
  <si>
    <t>Sum of Sales Amount</t>
  </si>
  <si>
    <t>Months</t>
  </si>
  <si>
    <t>Sales by Months</t>
  </si>
  <si>
    <t>Total</t>
  </si>
  <si>
    <t>Highest Sales Product</t>
  </si>
  <si>
    <t>Highest sales by Region</t>
  </si>
  <si>
    <t>(blank)</t>
  </si>
  <si>
    <t>Sales by Years</t>
  </si>
  <si>
    <t>Highest Category Sales</t>
  </si>
  <si>
    <t>Highest sales by State</t>
  </si>
  <si>
    <t>Total Sales</t>
  </si>
  <si>
    <t>Highest sales by Salesperson</t>
  </si>
  <si>
    <t>Emily</t>
  </si>
  <si>
    <t>Walmart Sales Dashboard</t>
  </si>
  <si>
    <t>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</si>
</sst>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quot;₹&quot;\ * #,##0_ ;_ &quot;₹&quot;\ * \-#,##0_ ;_ &quot;₹&quot;\ * &quot;-&quot;??_ ;_ @_ "/>
  </numFmts>
  <fonts count="6"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sz val="8"/>
      <name val="Calibri"/>
      <family val="2"/>
      <scheme val="minor"/>
    </font>
    <font>
      <sz val="26"/>
      <color theme="0"/>
      <name val="Amasis MT Pro"/>
      <family val="1"/>
    </font>
  </fonts>
  <fills count="6">
    <fill>
      <patternFill patternType="none"/>
    </fill>
    <fill>
      <patternFill patternType="gray125"/>
    </fill>
    <fill>
      <patternFill patternType="solid">
        <fgColor rgb="FFFFFF00"/>
        <bgColor indexed="64"/>
      </patternFill>
    </fill>
    <fill>
      <patternFill patternType="solid">
        <fgColor theme="4"/>
        <bgColor theme="4"/>
      </patternFill>
    </fill>
    <fill>
      <patternFill patternType="solid">
        <fgColor theme="6" tint="0.79998168889431442"/>
        <bgColor theme="6" tint="0.79998168889431442"/>
      </patternFill>
    </fill>
    <fill>
      <patternFill patternType="solid">
        <fgColor rgb="FF002060"/>
        <bgColor indexed="64"/>
      </patternFill>
    </fill>
  </fills>
  <borders count="18">
    <border>
      <left/>
      <right/>
      <top/>
      <bottom/>
      <diagonal/>
    </border>
    <border>
      <left/>
      <right/>
      <top/>
      <bottom style="thin">
        <color theme="4" tint="0.39997558519241921"/>
      </bottom>
      <diagonal/>
    </border>
    <border>
      <left style="thin">
        <color theme="6"/>
      </left>
      <right/>
      <top style="thin">
        <color theme="6"/>
      </top>
      <bottom/>
      <diagonal/>
    </border>
    <border>
      <left style="thin">
        <color theme="6"/>
      </left>
      <right/>
      <top style="medium">
        <color theme="6"/>
      </top>
      <bottom/>
      <diagonal/>
    </border>
    <border>
      <left style="thin">
        <color theme="6"/>
      </left>
      <right/>
      <top style="thin">
        <color theme="6"/>
      </top>
      <bottom style="thin">
        <color theme="4" tint="0.39997558519241921"/>
      </bottom>
      <diagonal/>
    </border>
    <border>
      <left style="thin">
        <color theme="6"/>
      </left>
      <right/>
      <top style="medium">
        <color theme="6"/>
      </top>
      <bottom style="thin">
        <color theme="4" tint="0.39997558519241921"/>
      </bottom>
      <diagonal/>
    </border>
    <border>
      <left/>
      <right/>
      <top style="thin">
        <color theme="6"/>
      </top>
      <bottom/>
      <diagonal/>
    </border>
    <border>
      <left/>
      <right/>
      <top style="medium">
        <color theme="6"/>
      </top>
      <bottom/>
      <diagonal/>
    </border>
    <border>
      <left style="thin">
        <color theme="6"/>
      </left>
      <right/>
      <top/>
      <bottom/>
      <diagonal/>
    </border>
    <border>
      <left/>
      <right/>
      <top style="thin">
        <color theme="6"/>
      </top>
      <bottom style="thin">
        <color theme="4" tint="0.39997558519241921"/>
      </bottom>
      <diagonal/>
    </border>
    <border>
      <left/>
      <right/>
      <top style="medium">
        <color theme="6"/>
      </top>
      <bottom style="thin">
        <color theme="4" tint="0.39997558519241921"/>
      </bottom>
      <diagonal/>
    </border>
    <border>
      <left style="thin">
        <color theme="6"/>
      </left>
      <right/>
      <top/>
      <bottom style="thin">
        <color theme="4" tint="0.39997558519241921"/>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s>
  <cellStyleXfs count="2">
    <xf numFmtId="0" fontId="0" fillId="0" borderId="0"/>
    <xf numFmtId="9" fontId="2" fillId="0" borderId="0" applyFont="0" applyFill="0" applyBorder="0" applyAlignment="0" applyProtection="0"/>
  </cellStyleXfs>
  <cellXfs count="49">
    <xf numFmtId="0" fontId="0" fillId="0" borderId="0" xfId="0"/>
    <xf numFmtId="0" fontId="1" fillId="0" borderId="0" xfId="0" applyFont="1"/>
    <xf numFmtId="14" fontId="0" fillId="0" borderId="0" xfId="0" applyNumberFormat="1"/>
    <xf numFmtId="164" fontId="0" fillId="0" borderId="0" xfId="0" applyNumberFormat="1"/>
    <xf numFmtId="0" fontId="1" fillId="2" borderId="0" xfId="0" applyFont="1" applyFill="1"/>
    <xf numFmtId="0" fontId="0" fillId="4" borderId="3" xfId="0" applyFont="1" applyFill="1" applyBorder="1"/>
    <xf numFmtId="14" fontId="0" fillId="4" borderId="3" xfId="0" applyNumberFormat="1" applyFont="1" applyFill="1" applyBorder="1"/>
    <xf numFmtId="0" fontId="0" fillId="0" borderId="2" xfId="0" applyFont="1" applyBorder="1"/>
    <xf numFmtId="14" fontId="0" fillId="0" borderId="2" xfId="0" applyNumberFormat="1" applyFont="1" applyBorder="1"/>
    <xf numFmtId="0" fontId="0" fillId="4" borderId="2" xfId="0" applyFont="1" applyFill="1" applyBorder="1"/>
    <xf numFmtId="14" fontId="0" fillId="4" borderId="2" xfId="0" applyNumberFormat="1" applyFont="1" applyFill="1" applyBorder="1"/>
    <xf numFmtId="9" fontId="0" fillId="0" borderId="0" xfId="1" applyFont="1"/>
    <xf numFmtId="0" fontId="0" fillId="4" borderId="7" xfId="0" applyFont="1" applyFill="1" applyBorder="1"/>
    <xf numFmtId="0" fontId="0" fillId="0" borderId="6" xfId="0" applyFont="1" applyBorder="1"/>
    <xf numFmtId="0" fontId="0" fillId="4" borderId="6" xfId="0" applyFont="1" applyFill="1" applyBorder="1"/>
    <xf numFmtId="9" fontId="0" fillId="4" borderId="3" xfId="1" applyFont="1" applyFill="1" applyBorder="1"/>
    <xf numFmtId="9" fontId="0" fillId="0" borderId="2" xfId="1" applyFont="1" applyBorder="1"/>
    <xf numFmtId="9" fontId="0" fillId="4" borderId="2" xfId="1" applyFont="1" applyFill="1" applyBorder="1"/>
    <xf numFmtId="0" fontId="1" fillId="0" borderId="0" xfId="0" applyFont="1" applyBorder="1" applyAlignment="1">
      <alignment horizontal="center" vertical="center" wrapText="1"/>
    </xf>
    <xf numFmtId="0" fontId="1" fillId="0" borderId="8" xfId="0" applyFont="1" applyBorder="1" applyAlignment="1">
      <alignment horizontal="center" vertical="center" wrapText="1"/>
    </xf>
    <xf numFmtId="9" fontId="1" fillId="0" borderId="8" xfId="1" applyFont="1" applyBorder="1" applyAlignment="1">
      <alignment horizontal="center" vertical="center" wrapText="1"/>
    </xf>
    <xf numFmtId="0" fontId="0" fillId="4" borderId="5" xfId="0" applyFont="1" applyFill="1" applyBorder="1"/>
    <xf numFmtId="14" fontId="0" fillId="4" borderId="5" xfId="0" applyNumberFormat="1" applyFont="1" applyFill="1" applyBorder="1"/>
    <xf numFmtId="0" fontId="0" fillId="0" borderId="4" xfId="0" applyFont="1" applyBorder="1"/>
    <xf numFmtId="14" fontId="0" fillId="0" borderId="4" xfId="0" applyNumberFormat="1" applyFont="1" applyBorder="1"/>
    <xf numFmtId="0" fontId="0" fillId="4" borderId="4" xfId="0" applyFont="1" applyFill="1" applyBorder="1"/>
    <xf numFmtId="14" fontId="0" fillId="4" borderId="4" xfId="0" applyNumberFormat="1" applyFont="1" applyFill="1" applyBorder="1"/>
    <xf numFmtId="0" fontId="0" fillId="4" borderId="10" xfId="0" applyFont="1" applyFill="1" applyBorder="1"/>
    <xf numFmtId="0" fontId="0" fillId="0" borderId="9" xfId="0" applyFont="1" applyBorder="1"/>
    <xf numFmtId="0" fontId="0" fillId="4" borderId="9" xfId="0" applyFont="1" applyFill="1" applyBorder="1"/>
    <xf numFmtId="9" fontId="0" fillId="4" borderId="5" xfId="1" applyNumberFormat="1" applyFont="1" applyFill="1" applyBorder="1"/>
    <xf numFmtId="9" fontId="0" fillId="0" borderId="4" xfId="1" applyNumberFormat="1" applyFont="1" applyBorder="1"/>
    <xf numFmtId="9" fontId="0" fillId="4" borderId="4" xfId="1" applyNumberFormat="1" applyFont="1" applyFill="1" applyBorder="1"/>
    <xf numFmtId="0" fontId="3" fillId="3" borderId="1" xfId="0" applyFont="1" applyFill="1" applyBorder="1" applyAlignment="1">
      <alignment horizontal="center" vertical="center" wrapText="1"/>
    </xf>
    <xf numFmtId="0" fontId="3" fillId="3" borderId="11" xfId="0" applyFont="1" applyFill="1" applyBorder="1" applyAlignment="1">
      <alignment horizontal="center" vertical="center" wrapText="1"/>
    </xf>
    <xf numFmtId="9" fontId="3" fillId="3" borderId="11" xfId="1" applyNumberFormat="1" applyFont="1" applyFill="1" applyBorder="1" applyAlignment="1">
      <alignment horizontal="center" vertical="center" wrapText="1"/>
    </xf>
    <xf numFmtId="0" fontId="0" fillId="0" borderId="0" xfId="0" applyNumberFormat="1"/>
    <xf numFmtId="0" fontId="1" fillId="2" borderId="0" xfId="0" applyFont="1" applyFill="1" applyAlignment="1">
      <alignment horizontal="center" vertical="center"/>
    </xf>
    <xf numFmtId="0" fontId="0" fillId="0" borderId="0" xfId="0" pivotButton="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0" fontId="1" fillId="2" borderId="0" xfId="0" applyFont="1" applyFill="1" applyAlignment="1">
      <alignment horizontal="center" vertical="center"/>
    </xf>
    <xf numFmtId="0" fontId="0" fillId="5" borderId="0" xfId="0" applyFill="1"/>
    <xf numFmtId="0" fontId="5" fillId="5" borderId="12" xfId="0" applyFont="1" applyFill="1" applyBorder="1" applyAlignment="1">
      <alignment horizontal="center" vertical="center"/>
    </xf>
    <xf numFmtId="0" fontId="5" fillId="5" borderId="13" xfId="0" applyFont="1" applyFill="1" applyBorder="1" applyAlignment="1">
      <alignment horizontal="center" vertical="center"/>
    </xf>
    <xf numFmtId="0" fontId="5" fillId="5" borderId="14" xfId="0" applyFont="1" applyFill="1" applyBorder="1" applyAlignment="1">
      <alignment horizontal="center" vertical="center"/>
    </xf>
    <xf numFmtId="0" fontId="5" fillId="5" borderId="15" xfId="0" applyFont="1" applyFill="1" applyBorder="1" applyAlignment="1">
      <alignment horizontal="center" vertical="center"/>
    </xf>
    <xf numFmtId="0" fontId="5" fillId="5" borderId="16" xfId="0" applyFont="1" applyFill="1" applyBorder="1" applyAlignment="1">
      <alignment horizontal="center" vertical="center"/>
    </xf>
    <xf numFmtId="0" fontId="5" fillId="5" borderId="17" xfId="0" applyFont="1" applyFill="1" applyBorder="1" applyAlignment="1">
      <alignment horizontal="center" vertical="center"/>
    </xf>
  </cellXfs>
  <cellStyles count="2">
    <cellStyle name="Normal" xfId="0" builtinId="0"/>
    <cellStyle name="Percent" xfId="1" builtinId="5"/>
  </cellStyles>
  <dxfs count="117">
    <dxf>
      <numFmt numFmtId="164" formatCode="_ &quot;₹&quot;\ * #,##0_ ;_ &quot;₹&quot;\ * \-#,##0_ ;_ &quot;₹&quot;\ * &quot;-&quot;??_ ;_ @_ "/>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_ &quot;₹&quot;\ * #,##0_ ;_ &quot;₹&quot;\ * \-#,##0_ ;_ &quot;₹&quot;\ * &quot;-&quot;??_ ;_ @_ "/>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64" formatCode="_ &quot;₹&quot;\ * #,##0_ ;_ &quot;₹&quot;\ * \-#,##0_ ;_ &quot;₹&quot;\ * &quot;-&quot;??_ ;_ @_ "/>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64" formatCode="_ &quot;₹&quot;\ * #,##0_ ;_ &quot;₹&quot;\ * \-#,##0_ ;_ &quot;₹&quot;\ * &quot;-&quot;??_ ;_ @_ "/>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 &quot;₹&quot;\ * #,##0_ ;_ &quot;₹&quot;\ * \-#,##0_ ;_ &quot;₹&quot;\ * &quot;-&quot;??_ ;_ @_ "/>
    </dxf>
    <dxf>
      <numFmt numFmtId="164" formatCode="_ &quot;₹&quot;\ * #,##0_ ;_ &quot;₹&quot;\ * \-#,##0_ ;_ &quot;₹&quot;\ * &quot;-&quot;??_ ;_ @_ "/>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center" textRotation="0" wrapText="1" indent="0" justifyLastLine="0" shrinkToFit="0" readingOrder="0"/>
      <border diagonalUp="0" diagonalDown="0" outline="0">
        <left style="thin">
          <color theme="6"/>
        </left>
        <right style="thin">
          <color theme="6"/>
        </right>
        <top/>
        <bottom/>
      </border>
    </dxf>
    <dxf>
      <border outline="0">
        <bottom style="thin">
          <color theme="4" tint="0.39997558519241921"/>
        </bottom>
      </border>
    </dxf>
    <dxf>
      <border outline="0">
        <left style="thin">
          <color theme="6"/>
        </left>
        <right style="thin">
          <color theme="6"/>
        </right>
        <top style="thin">
          <color theme="6"/>
        </top>
        <bottom style="thin">
          <color theme="6"/>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theme="6"/>
        </left>
        <right style="thin">
          <color theme="6"/>
        </right>
        <top/>
        <bottom/>
      </border>
    </dxf>
    <dxf>
      <font>
        <b val="0"/>
        <i val="0"/>
        <strike val="0"/>
        <condense val="0"/>
        <extend val="0"/>
        <outline val="0"/>
        <shadow val="0"/>
        <u val="none"/>
        <vertAlign val="baseline"/>
        <sz val="11"/>
        <color theme="1"/>
        <name val="Calibri"/>
        <family val="2"/>
        <scheme val="minor"/>
      </font>
      <fill>
        <patternFill patternType="solid">
          <fgColor theme="6" tint="0.79998168889431442"/>
          <bgColor theme="6" tint="0.79998168889431442"/>
        </patternFill>
      </fill>
      <border diagonalUp="0" diagonalDown="0">
        <left style="thin">
          <color theme="6"/>
        </left>
        <right/>
        <top style="medium">
          <color theme="6"/>
        </top>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6" tint="0.79998168889431442"/>
          <bgColor theme="6" tint="0.79998168889431442"/>
        </patternFill>
      </fill>
      <border diagonalUp="0" diagonalDown="0">
        <left style="thin">
          <color theme="6"/>
        </left>
        <right/>
        <top style="medium">
          <color theme="6"/>
        </top>
        <bottom/>
        <vertical/>
        <horizontal/>
      </border>
    </dxf>
    <dxf>
      <border outline="0">
        <left style="thin">
          <color theme="6"/>
        </left>
        <right style="thin">
          <color theme="6"/>
        </right>
        <top style="thin">
          <color theme="6"/>
        </top>
      </border>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s>
  <tableStyles count="0" defaultTableStyle="TableStyleMedium2" defaultPivotStyle="PivotStyleLight16"/>
  <colors>
    <mruColors>
      <color rgb="FFF3B9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[Book1.xlsx]Pivot!PivotTable7</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Pivot!$G$3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F45-440E-95C9-04F6733C60A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F45-440E-95C9-04F6733C60A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F45-440E-95C9-04F6733C60A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F45-440E-95C9-04F6733C60A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F45-440E-95C9-04F6733C60AF}"/>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Pivot!$F$4:$F$9</c:f>
              <c:strCache>
                <c:ptCount val="5"/>
                <c:pt idx="0">
                  <c:v>Central</c:v>
                </c:pt>
                <c:pt idx="1">
                  <c:v>East</c:v>
                </c:pt>
                <c:pt idx="2">
                  <c:v>North</c:v>
                </c:pt>
                <c:pt idx="3">
                  <c:v>South</c:v>
                </c:pt>
                <c:pt idx="4">
                  <c:v>West</c:v>
                </c:pt>
              </c:strCache>
            </c:strRef>
          </c:cat>
          <c:val>
            <c:numRef>
              <c:f>Pivot!$G$4:$G$9</c:f>
              <c:numCache>
                <c:formatCode>_ "₹"\ * #,##0_ ;_ "₹"\ * \-#,##0_ ;_ "₹"\ * "-"??_ ;_ @_ </c:formatCode>
                <c:ptCount val="5"/>
                <c:pt idx="0">
                  <c:v>28243680</c:v>
                </c:pt>
                <c:pt idx="1">
                  <c:v>22213280</c:v>
                </c:pt>
                <c:pt idx="2">
                  <c:v>18895480</c:v>
                </c:pt>
                <c:pt idx="3">
                  <c:v>22025620</c:v>
                </c:pt>
                <c:pt idx="4">
                  <c:v>23469240</c:v>
                </c:pt>
              </c:numCache>
            </c:numRef>
          </c:val>
          <c:extLst>
            <c:ext xmlns:c16="http://schemas.microsoft.com/office/drawing/2014/chart" uri="{C3380CC4-5D6E-409C-BE32-E72D297353CC}">
              <c16:uniqueId val="{0000000A-AF45-440E-95C9-04F6733C60AF}"/>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1023899565661164"/>
          <c:y val="0.21600702652785209"/>
          <c:w val="0.19674303274904709"/>
          <c:h val="0.5783925035686329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[Book1.xlsx]Pivot!PivotTable10</c:name>
    <c:fmtId val="6"/>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Variable Display Semib"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4.0246128845287856E-3"/>
              <c:y val="-4.3309772275359586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Variable Display Semib"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4080203246119655E-2"/>
              <c:y val="-2.3534448976037809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Variable Display Semib"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200989167453365"/>
                  <c:h val="6.011589428003309E-2"/>
                </c:manualLayout>
              </c15:layout>
            </c:ext>
          </c:extLst>
        </c:dLbl>
      </c:pivotFmt>
      <c:pivotFmt>
        <c:idx val="8"/>
        <c:spPr>
          <a:solidFill>
            <a:schemeClr val="accent1"/>
          </a:solidFill>
          <a:ln>
            <a:noFill/>
          </a:ln>
          <a:effectLst/>
          <a:sp3d/>
        </c:spPr>
        <c:dLbl>
          <c:idx val="0"/>
          <c:layout>
            <c:manualLayout>
              <c:x val="0"/>
              <c:y val="4.8538440325693712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Variable Display Semib"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2.0123064422643191E-3"/>
              <c:y val="-1.9303618339888823E-4"/>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Variable Display Semib"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7.3783717193897178E-17"/>
              <c:y val="-4.5439701592185659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Variable Display Semib"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1.1145325602273627E-3"/>
              <c:y val="-4.7087040450514307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Variable Display Semib" pitchFamily="2" charset="0"/>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2594925634295731E-2"/>
          <c:y val="0.14249781277340332"/>
          <c:w val="0.93671417655071598"/>
          <c:h val="0.64719962088072325"/>
        </c:manualLayout>
      </c:layout>
      <c:bar3DChart>
        <c:barDir val="col"/>
        <c:grouping val="clustered"/>
        <c:varyColors val="0"/>
        <c:ser>
          <c:idx val="0"/>
          <c:order val="0"/>
          <c:tx>
            <c:strRef>
              <c:f>Pivot!$J$13</c:f>
              <c:strCache>
                <c:ptCount val="1"/>
                <c:pt idx="0">
                  <c:v>Total Sales</c:v>
                </c:pt>
              </c:strCache>
            </c:strRef>
          </c:tx>
          <c:spPr>
            <a:solidFill>
              <a:schemeClr val="accent1"/>
            </a:solidFill>
            <a:ln>
              <a:noFill/>
            </a:ln>
            <a:effectLst/>
            <a:sp3d/>
          </c:spPr>
          <c:invertIfNegative val="0"/>
          <c:dLbls>
            <c:dLbl>
              <c:idx val="0"/>
              <c:layout>
                <c:manualLayout>
                  <c:x val="1.1145325602273627E-3"/>
                  <c:y val="-4.7087040450514307E-3"/>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83B-4DCB-9CF0-A1A47D1C0C12}"/>
                </c:ext>
              </c:extLst>
            </c:dLbl>
            <c:dLbl>
              <c:idx val="1"/>
              <c:layout>
                <c:manualLayout>
                  <c:x val="4.0246128845287856E-3"/>
                  <c:y val="-4.330977227535958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83B-4DCB-9CF0-A1A47D1C0C12}"/>
                </c:ext>
              </c:extLst>
            </c:dLbl>
            <c:dLbl>
              <c:idx val="2"/>
              <c:layout>
                <c:manualLayout>
                  <c:x val="0"/>
                  <c:y val="4.85384403256937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83B-4DCB-9CF0-A1A47D1C0C12}"/>
                </c:ext>
              </c:extLst>
            </c:dLbl>
            <c:dLbl>
              <c:idx val="3"/>
              <c:layout>
                <c:manualLayout>
                  <c:x val="1.4080203246119655E-2"/>
                  <c:y val="-2.3534448976037809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Variable Display Semib"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200989167453365"/>
                      <c:h val="6.011589428003309E-2"/>
                    </c:manualLayout>
                  </c15:layout>
                </c:ext>
                <c:ext xmlns:c16="http://schemas.microsoft.com/office/drawing/2014/chart" uri="{C3380CC4-5D6E-409C-BE32-E72D297353CC}">
                  <c16:uniqueId val="{00000004-A83B-4DCB-9CF0-A1A47D1C0C12}"/>
                </c:ext>
              </c:extLst>
            </c:dLbl>
            <c:dLbl>
              <c:idx val="4"/>
              <c:layout>
                <c:manualLayout>
                  <c:x val="2.0123064422643191E-3"/>
                  <c:y val="-1.9303618339888823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83B-4DCB-9CF0-A1A47D1C0C12}"/>
                </c:ext>
              </c:extLst>
            </c:dLbl>
            <c:dLbl>
              <c:idx val="5"/>
              <c:layout>
                <c:manualLayout>
                  <c:x val="-7.3783717193897178E-17"/>
                  <c:y val="-4.543970159218565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83B-4DCB-9CF0-A1A47D1C0C1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Variable Display Semib" pitchFamily="2"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Pivot!$I$14:$I$22</c:f>
              <c:strCache>
                <c:ptCount val="8"/>
                <c:pt idx="0">
                  <c:v>Emily</c:v>
                </c:pt>
                <c:pt idx="1">
                  <c:v>Vikas</c:v>
                </c:pt>
                <c:pt idx="2">
                  <c:v>Priya</c:v>
                </c:pt>
                <c:pt idx="3">
                  <c:v>Karan</c:v>
                </c:pt>
                <c:pt idx="4">
                  <c:v>Sneha</c:v>
                </c:pt>
                <c:pt idx="5">
                  <c:v>Amit</c:v>
                </c:pt>
                <c:pt idx="6">
                  <c:v>Anjali</c:v>
                </c:pt>
                <c:pt idx="7">
                  <c:v>Rahul</c:v>
                </c:pt>
              </c:strCache>
            </c:strRef>
          </c:cat>
          <c:val>
            <c:numRef>
              <c:f>Pivot!$J$14:$J$22</c:f>
              <c:numCache>
                <c:formatCode>_ "₹"\ * #,##0_ ;_ "₹"\ * \-#,##0_ ;_ "₹"\ * "-"??_ ;_ @_ </c:formatCode>
                <c:ptCount val="8"/>
                <c:pt idx="0">
                  <c:v>22722170</c:v>
                </c:pt>
                <c:pt idx="1">
                  <c:v>17563480</c:v>
                </c:pt>
                <c:pt idx="2">
                  <c:v>16153440</c:v>
                </c:pt>
                <c:pt idx="3">
                  <c:v>15746580</c:v>
                </c:pt>
                <c:pt idx="4">
                  <c:v>13238040</c:v>
                </c:pt>
                <c:pt idx="5">
                  <c:v>13219780</c:v>
                </c:pt>
                <c:pt idx="6">
                  <c:v>9848540</c:v>
                </c:pt>
                <c:pt idx="7">
                  <c:v>6355270</c:v>
                </c:pt>
              </c:numCache>
            </c:numRef>
          </c:val>
          <c:extLst>
            <c:ext xmlns:c16="http://schemas.microsoft.com/office/drawing/2014/chart" uri="{C3380CC4-5D6E-409C-BE32-E72D297353CC}">
              <c16:uniqueId val="{00000000-A83B-4DCB-9CF0-A1A47D1C0C12}"/>
            </c:ext>
          </c:extLst>
        </c:ser>
        <c:ser>
          <c:idx val="1"/>
          <c:order val="1"/>
          <c:tx>
            <c:strRef>
              <c:f>Pivot!$K$13</c:f>
              <c:strCache>
                <c:ptCount val="1"/>
                <c:pt idx="0">
                  <c:v>Total Profit</c:v>
                </c:pt>
              </c:strCache>
            </c:strRef>
          </c:tx>
          <c:spPr>
            <a:solidFill>
              <a:schemeClr val="accent2"/>
            </a:solidFill>
            <a:ln>
              <a:noFill/>
            </a:ln>
            <a:effectLst/>
            <a:sp3d/>
          </c:spPr>
          <c:invertIfNegative val="0"/>
          <c:cat>
            <c:strRef>
              <c:f>Pivot!$I$14:$I$22</c:f>
              <c:strCache>
                <c:ptCount val="8"/>
                <c:pt idx="0">
                  <c:v>Emily</c:v>
                </c:pt>
                <c:pt idx="1">
                  <c:v>Vikas</c:v>
                </c:pt>
                <c:pt idx="2">
                  <c:v>Priya</c:v>
                </c:pt>
                <c:pt idx="3">
                  <c:v>Karan</c:v>
                </c:pt>
                <c:pt idx="4">
                  <c:v>Sneha</c:v>
                </c:pt>
                <c:pt idx="5">
                  <c:v>Amit</c:v>
                </c:pt>
                <c:pt idx="6">
                  <c:v>Anjali</c:v>
                </c:pt>
                <c:pt idx="7">
                  <c:v>Rahul</c:v>
                </c:pt>
              </c:strCache>
            </c:strRef>
          </c:cat>
          <c:val>
            <c:numRef>
              <c:f>Pivot!$K$14:$K$22</c:f>
              <c:numCache>
                <c:formatCode>_ "₹"\ * #,##0_ ;_ "₹"\ * \-#,##0_ ;_ "₹"\ * "-"??_ ;_ @_ </c:formatCode>
                <c:ptCount val="8"/>
                <c:pt idx="0">
                  <c:v>5832284.9000000004</c:v>
                </c:pt>
                <c:pt idx="1">
                  <c:v>4184028.4000000004</c:v>
                </c:pt>
                <c:pt idx="2">
                  <c:v>4243792.6000000006</c:v>
                </c:pt>
                <c:pt idx="3">
                  <c:v>3417700.2</c:v>
                </c:pt>
                <c:pt idx="4">
                  <c:v>3814520.6</c:v>
                </c:pt>
                <c:pt idx="5">
                  <c:v>2836209.4000000004</c:v>
                </c:pt>
                <c:pt idx="6">
                  <c:v>2459006.5999999996</c:v>
                </c:pt>
                <c:pt idx="7">
                  <c:v>1694945.3</c:v>
                </c:pt>
              </c:numCache>
            </c:numRef>
          </c:val>
          <c:extLst>
            <c:ext xmlns:c16="http://schemas.microsoft.com/office/drawing/2014/chart" uri="{C3380CC4-5D6E-409C-BE32-E72D297353CC}">
              <c16:uniqueId val="{00000001-A83B-4DCB-9CF0-A1A47D1C0C12}"/>
            </c:ext>
          </c:extLst>
        </c:ser>
        <c:dLbls>
          <c:showLegendKey val="0"/>
          <c:showVal val="0"/>
          <c:showCatName val="0"/>
          <c:showSerName val="0"/>
          <c:showPercent val="0"/>
          <c:showBubbleSize val="0"/>
        </c:dLbls>
        <c:gapWidth val="150"/>
        <c:shape val="box"/>
        <c:axId val="768003807"/>
        <c:axId val="768000895"/>
        <c:axId val="0"/>
      </c:bar3DChart>
      <c:catAx>
        <c:axId val="76800380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Segoe UI Variable Display Semib" pitchFamily="2" charset="0"/>
                <a:ea typeface="+mn-ea"/>
                <a:cs typeface="+mn-cs"/>
              </a:defRPr>
            </a:pPr>
            <a:endParaRPr lang="en-US"/>
          </a:p>
        </c:txPr>
        <c:crossAx val="768000895"/>
        <c:crosses val="autoZero"/>
        <c:auto val="1"/>
        <c:lblAlgn val="ctr"/>
        <c:lblOffset val="100"/>
        <c:noMultiLvlLbl val="0"/>
      </c:catAx>
      <c:valAx>
        <c:axId val="768000895"/>
        <c:scaling>
          <c:orientation val="minMax"/>
        </c:scaling>
        <c:delete val="0"/>
        <c:axPos val="l"/>
        <c:numFmt formatCode="_ &quot;₹&quot;\ * #,##0_ ;_ &quot;₹&quot;\ * \-#,##0_ ;_ &quot;₹&quot;\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003807"/>
        <c:crosses val="autoZero"/>
        <c:crossBetween val="between"/>
      </c:valAx>
      <c:spPr>
        <a:noFill/>
        <a:ln>
          <a:noFill/>
        </a:ln>
        <a:effectLst/>
      </c:spPr>
    </c:plotArea>
    <c:legend>
      <c:legendPos val="r"/>
      <c:layout>
        <c:manualLayout>
          <c:xMode val="edge"/>
          <c:yMode val="edge"/>
          <c:x val="0.63404007975397925"/>
          <c:y val="2.7129994167395748E-2"/>
          <c:w val="0.35207388949798996"/>
          <c:h val="0.144813721201516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layout>
        <c:manualLayout>
          <c:xMode val="edge"/>
          <c:yMode val="edge"/>
          <c:x val="0.27034241174943419"/>
          <c:y val="2.78805884044311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923227610113897"/>
                  <c:h val="0.13405832240508586"/>
                </c:manualLayout>
              </c15:layout>
            </c:ext>
          </c:extLst>
        </c:dLbl>
      </c:pivotFmt>
      <c:pivotFmt>
        <c:idx val="4"/>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305823106735488"/>
                  <c:h val="0.13405832240508586"/>
                </c:manualLayout>
              </c15:layout>
            </c:ext>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305823106735488"/>
                  <c:h val="0.13405832240508586"/>
                </c:manualLayout>
              </c15:layout>
            </c:ext>
          </c:extLst>
        </c:dLbl>
      </c:pivotFmt>
      <c:pivotFmt>
        <c:idx val="6"/>
        <c:spPr>
          <a:solidFill>
            <a:schemeClr val="accent2">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050759442321091"/>
                  <c:h val="0.13405832240508586"/>
                </c:manualLayout>
              </c15:layout>
            </c:ext>
          </c:extLst>
        </c:dLbl>
      </c:pivotFmt>
    </c:pivotFmts>
    <c:plotArea>
      <c:layout/>
      <c:barChart>
        <c:barDir val="col"/>
        <c:grouping val="clustered"/>
        <c:varyColors val="0"/>
        <c:ser>
          <c:idx val="0"/>
          <c:order val="0"/>
          <c:tx>
            <c:strRef>
              <c:f>Pivot!$N$3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2-2C14-4EC2-8C28-02F0F17E985B}"/>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2C14-4EC2-8C28-02F0F17E985B}"/>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2C14-4EC2-8C28-02F0F17E985B}"/>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25923227610113897"/>
                      <c:h val="0.13405832240508586"/>
                    </c:manualLayout>
                  </c15:layout>
                </c:ext>
                <c:ext xmlns:c16="http://schemas.microsoft.com/office/drawing/2014/chart" uri="{C3380CC4-5D6E-409C-BE32-E72D297353CC}">
                  <c16:uniqueId val="{00000002-2C14-4EC2-8C28-02F0F17E985B}"/>
                </c:ext>
              </c:extLst>
            </c:dLbl>
            <c:dLbl>
              <c:idx val="1"/>
              <c:showLegendKey val="0"/>
              <c:showVal val="1"/>
              <c:showCatName val="0"/>
              <c:showSerName val="0"/>
              <c:showPercent val="0"/>
              <c:showBubbleSize val="0"/>
              <c:extLst>
                <c:ext xmlns:c15="http://schemas.microsoft.com/office/drawing/2012/chart" uri="{CE6537A1-D6FC-4f65-9D91-7224C49458BB}">
                  <c15:layout>
                    <c:manualLayout>
                      <c:w val="0.23305823106735488"/>
                      <c:h val="0.13405832240508586"/>
                    </c:manualLayout>
                  </c15:layout>
                </c:ext>
                <c:ext xmlns:c16="http://schemas.microsoft.com/office/drawing/2014/chart" uri="{C3380CC4-5D6E-409C-BE32-E72D297353CC}">
                  <c16:uniqueId val="{00000003-2C14-4EC2-8C28-02F0F17E985B}"/>
                </c:ext>
              </c:extLst>
            </c:dLbl>
            <c:dLbl>
              <c:idx val="2"/>
              <c:showLegendKey val="0"/>
              <c:showVal val="1"/>
              <c:showCatName val="0"/>
              <c:showSerName val="0"/>
              <c:showPercent val="0"/>
              <c:showBubbleSize val="0"/>
              <c:extLst>
                <c:ext xmlns:c15="http://schemas.microsoft.com/office/drawing/2012/chart" uri="{CE6537A1-D6FC-4f65-9D91-7224C49458BB}">
                  <c15:layout>
                    <c:manualLayout>
                      <c:w val="0.23305823106735488"/>
                      <c:h val="0.13405832240508586"/>
                    </c:manualLayout>
                  </c15:layout>
                </c:ext>
                <c:ext xmlns:c16="http://schemas.microsoft.com/office/drawing/2014/chart" uri="{C3380CC4-5D6E-409C-BE32-E72D297353CC}">
                  <c16:uniqueId val="{00000004-2C14-4EC2-8C28-02F0F17E985B}"/>
                </c:ext>
              </c:extLst>
            </c:dLbl>
            <c:dLbl>
              <c:idx val="3"/>
              <c:showLegendKey val="0"/>
              <c:showVal val="1"/>
              <c:showCatName val="0"/>
              <c:showSerName val="0"/>
              <c:showPercent val="0"/>
              <c:showBubbleSize val="0"/>
              <c:extLst>
                <c:ext xmlns:c15="http://schemas.microsoft.com/office/drawing/2012/chart" uri="{CE6537A1-D6FC-4f65-9D91-7224C49458BB}">
                  <c15:layout>
                    <c:manualLayout>
                      <c:w val="0.25050759442321091"/>
                      <c:h val="0.13405832240508586"/>
                    </c:manualLayout>
                  </c15:layout>
                </c:ext>
                <c:ext xmlns:c16="http://schemas.microsoft.com/office/drawing/2014/chart" uri="{C3380CC4-5D6E-409C-BE32-E72D297353CC}">
                  <c16:uniqueId val="{00000005-2C14-4EC2-8C28-02F0F17E985B}"/>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Pivot!$M$4:$M$8</c:f>
              <c:strCache>
                <c:ptCount val="4"/>
                <c:pt idx="0">
                  <c:v>Electronics</c:v>
                </c:pt>
                <c:pt idx="1">
                  <c:v>Furniture</c:v>
                </c:pt>
                <c:pt idx="2">
                  <c:v>Office Supplies</c:v>
                </c:pt>
                <c:pt idx="3">
                  <c:v>Appliances</c:v>
                </c:pt>
              </c:strCache>
            </c:strRef>
          </c:cat>
          <c:val>
            <c:numRef>
              <c:f>Pivot!$N$4:$N$8</c:f>
              <c:numCache>
                <c:formatCode>_ "₹"\ * #,##0_ ;_ "₹"\ * \-#,##0_ ;_ "₹"\ * "-"??_ ;_ @_ </c:formatCode>
                <c:ptCount val="4"/>
                <c:pt idx="0">
                  <c:v>31229120</c:v>
                </c:pt>
                <c:pt idx="1">
                  <c:v>29798460</c:v>
                </c:pt>
                <c:pt idx="2">
                  <c:v>27471260</c:v>
                </c:pt>
                <c:pt idx="3">
                  <c:v>26348460</c:v>
                </c:pt>
              </c:numCache>
            </c:numRef>
          </c:val>
          <c:extLst>
            <c:ext xmlns:c16="http://schemas.microsoft.com/office/drawing/2014/chart" uri="{C3380CC4-5D6E-409C-BE32-E72D297353CC}">
              <c16:uniqueId val="{00000000-2C14-4EC2-8C28-02F0F17E985B}"/>
            </c:ext>
          </c:extLst>
        </c:ser>
        <c:dLbls>
          <c:showLegendKey val="0"/>
          <c:showVal val="0"/>
          <c:showCatName val="0"/>
          <c:showSerName val="0"/>
          <c:showPercent val="0"/>
          <c:showBubbleSize val="0"/>
        </c:dLbls>
        <c:gapWidth val="219"/>
        <c:overlap val="-27"/>
        <c:axId val="1478566368"/>
        <c:axId val="1478559712"/>
      </c:barChart>
      <c:catAx>
        <c:axId val="147856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559712"/>
        <c:crosses val="autoZero"/>
        <c:auto val="1"/>
        <c:lblAlgn val="ctr"/>
        <c:lblOffset val="100"/>
        <c:noMultiLvlLbl val="0"/>
      </c:catAx>
      <c:valAx>
        <c:axId val="1478559712"/>
        <c:scaling>
          <c:orientation val="minMax"/>
        </c:scaling>
        <c:delete val="1"/>
        <c:axPos val="l"/>
        <c:numFmt formatCode="_ &quot;₹&quot;\ * #,##0_ ;_ &quot;₹&quot;\ * \-#,##0_ ;_ &quot;₹&quot;\ * &quot;-&quot;??_ ;_ @_ " sourceLinked="1"/>
        <c:majorTickMark val="none"/>
        <c:minorTickMark val="none"/>
        <c:tickLblPos val="nextTo"/>
        <c:crossAx val="1478566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_xlchart.v2.6</cx:f>
      </cx:numDim>
    </cx:data>
  </cx:chartData>
  <cx:chart>
    <cx:title pos="t" align="ctr" overlay="0">
      <cx:tx>
        <cx:txData>
          <cx:v>Sales by Product</cx:v>
        </cx:txData>
      </cx:tx>
      <cx:txPr>
        <a:bodyPr spcFirstLastPara="1" vertOverflow="ellipsis" horzOverflow="overflow" wrap="square" lIns="0" tIns="0" rIns="0" bIns="0" anchor="ctr" anchorCtr="1"/>
        <a:lstStyle/>
        <a:p>
          <a:pPr algn="ctr" rtl="0">
            <a:defRPr sz="1800">
              <a:solidFill>
                <a:schemeClr val="tx1"/>
              </a:solidFill>
            </a:defRPr>
          </a:pPr>
          <a:r>
            <a:rPr lang="en-US" sz="1800" b="1" i="0" u="none" strike="noStrike" baseline="0">
              <a:solidFill>
                <a:schemeClr val="tx1"/>
              </a:solidFill>
              <a:latin typeface="Segoe UI Variable Display Semib" pitchFamily="2" charset="0"/>
            </a:rPr>
            <a:t>Sales by Product</a:t>
          </a:r>
        </a:p>
      </cx:txPr>
    </cx:title>
    <cx:plotArea>
      <cx:plotAreaRegion>
        <cx:series layoutId="funnel" uniqueId="{BA593B51-5AED-4412-8FFA-EFEE7B7BFE4A}">
          <cx:dataPt idx="0">
            <cx:spPr>
              <a:solidFill>
                <a:srgbClr val="4472C4">
                  <a:lumMod val="50000"/>
                </a:srgbClr>
              </a:solidFill>
            </cx:spPr>
          </cx:dataPt>
          <cx:dataPt idx="1">
            <cx:spPr>
              <a:solidFill>
                <a:srgbClr val="FFC000">
                  <a:lumMod val="50000"/>
                </a:srgbClr>
              </a:solidFill>
            </cx:spPr>
          </cx:dataPt>
          <cx:dataPt idx="2">
            <cx:spPr>
              <a:solidFill>
                <a:srgbClr val="4472C4">
                  <a:lumMod val="50000"/>
                </a:srgbClr>
              </a:solidFill>
            </cx:spPr>
          </cx:dataPt>
          <cx:dataPt idx="3">
            <cx:spPr>
              <a:solidFill>
                <a:srgbClr val="FFC000">
                  <a:lumMod val="50000"/>
                </a:srgbClr>
              </a:solidFill>
            </cx:spPr>
          </cx:dataPt>
          <cx:dataPt idx="4">
            <cx:spPr>
              <a:solidFill>
                <a:srgbClr val="4472C4">
                  <a:lumMod val="75000"/>
                </a:srgbClr>
              </a:solidFill>
            </cx:spPr>
          </cx:dataPt>
          <cx:dataPt idx="5">
            <cx:spPr>
              <a:solidFill>
                <a:srgbClr val="FFC000">
                  <a:lumMod val="75000"/>
                </a:srgbClr>
              </a:solidFill>
            </cx:spPr>
          </cx:dataPt>
          <cx:dataPt idx="6">
            <cx:spPr>
              <a:solidFill>
                <a:srgbClr val="4472C4">
                  <a:lumMod val="75000"/>
                </a:srgbClr>
              </a:solidFill>
            </cx:spPr>
          </cx:dataPt>
          <cx:dataPt idx="7">
            <cx:spPr>
              <a:solidFill>
                <a:srgbClr val="FFC000">
                  <a:lumMod val="75000"/>
                </a:srgbClr>
              </a:solidFill>
            </cx:spPr>
          </cx:dataPt>
          <cx:dataPt idx="8">
            <cx:spPr>
              <a:solidFill>
                <a:srgbClr val="4472C4">
                  <a:lumMod val="60000"/>
                  <a:lumOff val="40000"/>
                </a:srgbClr>
              </a:solidFill>
            </cx:spPr>
          </cx:dataPt>
          <cx:dataPt idx="9">
            <cx:spPr>
              <a:solidFill>
                <a:srgbClr val="FFC000">
                  <a:lumMod val="60000"/>
                  <a:lumOff val="40000"/>
                </a:srgbClr>
              </a:solidFill>
            </cx:spPr>
          </cx:dataPt>
          <cx:dataPt idx="10">
            <cx:spPr>
              <a:solidFill>
                <a:srgbClr val="4472C4">
                  <a:lumMod val="60000"/>
                  <a:lumOff val="40000"/>
                </a:srgbClr>
              </a:solidFill>
            </cx:spPr>
          </cx:dataPt>
          <cx:dataPt idx="11">
            <cx:spPr>
              <a:solidFill>
                <a:srgbClr val="FFC000">
                  <a:lumMod val="60000"/>
                  <a:lumOff val="40000"/>
                </a:srgbClr>
              </a:solidFill>
            </cx:spPr>
          </cx:dataPt>
          <cx:dataPt idx="12">
            <cx:spPr>
              <a:solidFill>
                <a:srgbClr val="4472C4">
                  <a:lumMod val="40000"/>
                  <a:lumOff val="60000"/>
                </a:srgbClr>
              </a:solidFill>
            </cx:spPr>
          </cx:dataPt>
          <cx:dataPt idx="13">
            <cx:spPr>
              <a:solidFill>
                <a:srgbClr val="FFC000">
                  <a:lumMod val="40000"/>
                  <a:lumOff val="60000"/>
                </a:srgbClr>
              </a:solidFill>
            </cx:spPr>
          </cx:dataPt>
          <cx:dataPt idx="14">
            <cx:spPr>
              <a:solidFill>
                <a:srgbClr val="4472C4">
                  <a:lumMod val="40000"/>
                  <a:lumOff val="60000"/>
                </a:srgbClr>
              </a:solidFill>
            </cx:spPr>
          </cx:dataPt>
          <cx:dataPt idx="15">
            <cx:spPr>
              <a:solidFill>
                <a:srgbClr val="FFC000">
                  <a:lumMod val="40000"/>
                  <a:lumOff val="60000"/>
                </a:srgbClr>
              </a:solidFill>
            </cx:spPr>
          </cx:dataPt>
          <cx:dataLabels>
            <cx:txPr>
              <a:bodyPr spcFirstLastPara="1" vertOverflow="ellipsis" horzOverflow="overflow" wrap="square" lIns="0" tIns="0" rIns="0" bIns="0" anchor="ctr" anchorCtr="1"/>
              <a:lstStyle/>
              <a:p>
                <a:pPr algn="ctr" rtl="0">
                  <a:defRPr sz="1000" b="1">
                    <a:solidFill>
                      <a:schemeClr val="bg1"/>
                    </a:solidFill>
                    <a:latin typeface="Segoe UI Variable Display Semib" pitchFamily="2" charset="0"/>
                    <a:ea typeface="Segoe UI Variable Display Semib" pitchFamily="2" charset="0"/>
                    <a:cs typeface="Segoe UI Variable Display Semib" pitchFamily="2" charset="0"/>
                  </a:defRPr>
                </a:pPr>
                <a:endParaRPr lang="en-US" sz="1000" b="1" i="0" u="none" strike="noStrike" baseline="0">
                  <a:solidFill>
                    <a:schemeClr val="bg1"/>
                  </a:solidFill>
                  <a:latin typeface="Segoe UI Variable Display Semib" pitchFamily="2" charset="0"/>
                </a:endParaRPr>
              </a:p>
            </cx:txPr>
            <cx:dataLabel idx="6">
              <cx:txPr>
                <a:bodyPr spcFirstLastPara="1" vertOverflow="ellipsis" horzOverflow="overflow" wrap="square" lIns="0" tIns="0" rIns="0" bIns="0" anchor="ctr" anchorCtr="1"/>
                <a:lstStyle/>
                <a:p>
                  <a:pPr algn="ctr" rtl="0">
                    <a:defRPr>
                      <a:solidFill>
                        <a:schemeClr val="bg2">
                          <a:lumMod val="25000"/>
                        </a:schemeClr>
                      </a:solidFill>
                    </a:defRPr>
                  </a:pPr>
                  <a:r>
                    <a:rPr lang="en-US" sz="1000" b="1" i="0" u="none" strike="noStrike" baseline="0">
                      <a:solidFill>
                        <a:schemeClr val="bg2">
                          <a:lumMod val="25000"/>
                        </a:schemeClr>
                      </a:solidFill>
                      <a:latin typeface="Segoe UI Variable Display Semib" pitchFamily="2" charset="0"/>
                    </a:rPr>
                    <a:t> ₹ 73,03,580 </a:t>
                  </a:r>
                </a:p>
              </cx:txPr>
            </cx:dataLabel>
            <cx:dataLabel idx="7">
              <cx:txPr>
                <a:bodyPr spcFirstLastPara="1" vertOverflow="ellipsis" horzOverflow="overflow" wrap="square" lIns="0" tIns="0" rIns="0" bIns="0" anchor="ctr" anchorCtr="1"/>
                <a:lstStyle/>
                <a:p>
                  <a:pPr algn="ctr" rtl="0">
                    <a:defRPr>
                      <a:solidFill>
                        <a:schemeClr val="bg2">
                          <a:lumMod val="25000"/>
                        </a:schemeClr>
                      </a:solidFill>
                    </a:defRPr>
                  </a:pPr>
                  <a:r>
                    <a:rPr lang="en-US" sz="1000" b="1" i="0" u="none" strike="noStrike" baseline="0">
                      <a:solidFill>
                        <a:schemeClr val="bg2">
                          <a:lumMod val="25000"/>
                        </a:schemeClr>
                      </a:solidFill>
                      <a:latin typeface="Segoe UI Variable Display Semib" pitchFamily="2" charset="0"/>
                    </a:rPr>
                    <a:t> ₹ 72,12,520 </a:t>
                  </a:r>
                </a:p>
              </cx:txPr>
            </cx:dataLabel>
            <cx:dataLabel idx="8">
              <cx:txPr>
                <a:bodyPr spcFirstLastPara="1" vertOverflow="ellipsis" horzOverflow="overflow" wrap="square" lIns="0" tIns="0" rIns="0" bIns="0" anchor="ctr" anchorCtr="1"/>
                <a:lstStyle/>
                <a:p>
                  <a:pPr algn="ctr" rtl="0">
                    <a:defRPr>
                      <a:solidFill>
                        <a:schemeClr val="bg2">
                          <a:lumMod val="25000"/>
                        </a:schemeClr>
                      </a:solidFill>
                    </a:defRPr>
                  </a:pPr>
                  <a:r>
                    <a:rPr lang="en-US" sz="1000" b="1" i="0" u="none" strike="noStrike" baseline="0">
                      <a:solidFill>
                        <a:schemeClr val="bg2">
                          <a:lumMod val="25000"/>
                        </a:schemeClr>
                      </a:solidFill>
                      <a:latin typeface="Segoe UI Variable Display Semib" pitchFamily="2" charset="0"/>
                    </a:rPr>
                    <a:t> ₹ 70,98,720 </a:t>
                  </a:r>
                </a:p>
              </cx:txPr>
            </cx:dataLabel>
            <cx:dataLabel idx="9">
              <cx:txPr>
                <a:bodyPr spcFirstLastPara="1" vertOverflow="ellipsis" horzOverflow="overflow" wrap="square" lIns="0" tIns="0" rIns="0" bIns="0" anchor="ctr" anchorCtr="1"/>
                <a:lstStyle/>
                <a:p>
                  <a:pPr algn="ctr" rtl="0">
                    <a:defRPr>
                      <a:solidFill>
                        <a:schemeClr val="bg2">
                          <a:lumMod val="25000"/>
                        </a:schemeClr>
                      </a:solidFill>
                    </a:defRPr>
                  </a:pPr>
                  <a:r>
                    <a:rPr lang="en-US" sz="1000" b="1" i="0" u="none" strike="noStrike" baseline="0">
                      <a:solidFill>
                        <a:schemeClr val="bg2">
                          <a:lumMod val="25000"/>
                        </a:schemeClr>
                      </a:solidFill>
                      <a:latin typeface="Segoe UI Variable Display Semib" pitchFamily="2" charset="0"/>
                    </a:rPr>
                    <a:t> ₹ 64,08,780 </a:t>
                  </a:r>
                </a:p>
              </cx:txPr>
            </cx:dataLabel>
            <cx:dataLabel idx="10">
              <cx:txPr>
                <a:bodyPr spcFirstLastPara="1" vertOverflow="ellipsis" horzOverflow="overflow" wrap="square" lIns="0" tIns="0" rIns="0" bIns="0" anchor="ctr" anchorCtr="1"/>
                <a:lstStyle/>
                <a:p>
                  <a:pPr algn="ctr" rtl="0">
                    <a:defRPr>
                      <a:solidFill>
                        <a:schemeClr val="bg2">
                          <a:lumMod val="25000"/>
                        </a:schemeClr>
                      </a:solidFill>
                    </a:defRPr>
                  </a:pPr>
                  <a:r>
                    <a:rPr lang="en-US" sz="1000" b="1" i="0" u="none" strike="noStrike" baseline="0">
                      <a:solidFill>
                        <a:schemeClr val="bg2">
                          <a:lumMod val="25000"/>
                        </a:schemeClr>
                      </a:solidFill>
                      <a:latin typeface="Segoe UI Variable Display Semib" pitchFamily="2" charset="0"/>
                    </a:rPr>
                    <a:t> ₹ 62,83,960 </a:t>
                  </a:r>
                </a:p>
              </cx:txPr>
            </cx:dataLabel>
            <cx:dataLabel idx="11">
              <cx:txPr>
                <a:bodyPr spcFirstLastPara="1" vertOverflow="ellipsis" horzOverflow="overflow" wrap="square" lIns="0" tIns="0" rIns="0" bIns="0" anchor="ctr" anchorCtr="1"/>
                <a:lstStyle/>
                <a:p>
                  <a:pPr algn="ctr" rtl="0">
                    <a:defRPr>
                      <a:solidFill>
                        <a:sysClr val="windowText" lastClr="000000"/>
                      </a:solidFill>
                    </a:defRPr>
                  </a:pPr>
                  <a:r>
                    <a:rPr lang="en-US" sz="1000" b="1" i="0" u="none" strike="noStrike" baseline="0">
                      <a:solidFill>
                        <a:sysClr val="windowText" lastClr="000000"/>
                      </a:solidFill>
                      <a:latin typeface="Segoe UI Variable Display Semib" pitchFamily="2" charset="0"/>
                    </a:rPr>
                    <a:t> ₹ 61,68,500 </a:t>
                  </a:r>
                </a:p>
              </cx:txPr>
            </cx:dataLabel>
            <cx:dataLabel idx="12">
              <cx:txPr>
                <a:bodyPr spcFirstLastPara="1" vertOverflow="ellipsis" horzOverflow="overflow" wrap="square" lIns="0" tIns="0" rIns="0" bIns="0" anchor="ctr" anchorCtr="1"/>
                <a:lstStyle/>
                <a:p>
                  <a:pPr algn="ctr" rtl="0">
                    <a:defRPr>
                      <a:solidFill>
                        <a:sysClr val="windowText" lastClr="000000"/>
                      </a:solidFill>
                    </a:defRPr>
                  </a:pPr>
                  <a:r>
                    <a:rPr lang="en-US" sz="1000" b="1" i="0" u="none" strike="noStrike" baseline="0">
                      <a:solidFill>
                        <a:sysClr val="windowText" lastClr="000000"/>
                      </a:solidFill>
                      <a:latin typeface="Segoe UI Variable Display Semib" pitchFamily="2" charset="0"/>
                    </a:rPr>
                    <a:t> ₹ 60,98,000 </a:t>
                  </a:r>
                </a:p>
              </cx:txPr>
            </cx:dataLabel>
            <cx:dataLabel idx="13">
              <cx:txPr>
                <a:bodyPr spcFirstLastPara="1" vertOverflow="ellipsis" horzOverflow="overflow" wrap="square" lIns="0" tIns="0" rIns="0" bIns="0" anchor="ctr" anchorCtr="1"/>
                <a:lstStyle/>
                <a:p>
                  <a:pPr algn="ctr" rtl="0">
                    <a:defRPr>
                      <a:solidFill>
                        <a:sysClr val="windowText" lastClr="000000"/>
                      </a:solidFill>
                    </a:defRPr>
                  </a:pPr>
                  <a:r>
                    <a:rPr lang="en-US" sz="1000" b="1" i="0" u="none" strike="noStrike" baseline="0">
                      <a:solidFill>
                        <a:sysClr val="windowText" lastClr="000000"/>
                      </a:solidFill>
                      <a:latin typeface="Segoe UI Variable Display Semib" pitchFamily="2" charset="0"/>
                    </a:rPr>
                    <a:t> ₹ 59,79,640 </a:t>
                  </a:r>
                </a:p>
              </cx:txPr>
            </cx:dataLabel>
            <cx:dataLabel idx="14">
              <cx:txPr>
                <a:bodyPr spcFirstLastPara="1" vertOverflow="ellipsis" horzOverflow="overflow" wrap="square" lIns="0" tIns="0" rIns="0" bIns="0" anchor="ctr" anchorCtr="1"/>
                <a:lstStyle/>
                <a:p>
                  <a:pPr algn="ctr" rtl="0">
                    <a:defRPr>
                      <a:solidFill>
                        <a:sysClr val="windowText" lastClr="000000"/>
                      </a:solidFill>
                    </a:defRPr>
                  </a:pPr>
                  <a:r>
                    <a:rPr lang="en-US" sz="1000" b="1" i="0" u="none" strike="noStrike" baseline="0">
                      <a:solidFill>
                        <a:sysClr val="windowText" lastClr="000000"/>
                      </a:solidFill>
                      <a:latin typeface="Segoe UI Variable Display Semib" pitchFamily="2" charset="0"/>
                    </a:rPr>
                    <a:t> ₹ 45,48,340 </a:t>
                  </a:r>
                </a:p>
              </cx:txPr>
            </cx:dataLabel>
            <cx:dataLabel idx="15">
              <cx:txPr>
                <a:bodyPr spcFirstLastPara="1" vertOverflow="ellipsis" horzOverflow="overflow" wrap="square" lIns="0" tIns="0" rIns="0" bIns="0" anchor="ctr" anchorCtr="1"/>
                <a:lstStyle/>
                <a:p>
                  <a:pPr algn="ctr" rtl="0">
                    <a:defRPr>
                      <a:solidFill>
                        <a:sysClr val="windowText" lastClr="000000"/>
                      </a:solidFill>
                    </a:defRPr>
                  </a:pPr>
                  <a:r>
                    <a:rPr lang="en-US" sz="1000" b="1" i="0" u="none" strike="noStrike" baseline="0">
                      <a:solidFill>
                        <a:sysClr val="windowText" lastClr="000000"/>
                      </a:solidFill>
                      <a:latin typeface="Segoe UI Variable Display Semib" pitchFamily="2" charset="0"/>
                    </a:rPr>
                    <a:t> ₹ 35,05,960 </a:t>
                  </a:r>
                </a:p>
              </cx:txPr>
            </cx:dataLabel>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tx1"/>
                </a:solidFill>
                <a:latin typeface="Segoe UI Variable Display Semib" pitchFamily="2" charset="0"/>
                <a:ea typeface="Segoe UI Variable Display Semib" pitchFamily="2" charset="0"/>
                <a:cs typeface="Segoe UI Variable Display Semib" pitchFamily="2" charset="0"/>
              </a:defRPr>
            </a:pPr>
            <a:endParaRPr lang="en-US" sz="900" b="0" i="0" u="none" strike="noStrike" baseline="0">
              <a:solidFill>
                <a:schemeClr val="tx1"/>
              </a:solidFill>
              <a:latin typeface="Segoe UI Variable Display Semib" pitchFamily="2" charset="0"/>
            </a:endParaRPr>
          </a:p>
        </cx:txPr>
      </cx:axis>
    </cx:plotArea>
  </cx:chart>
  <cx:spPr>
    <a:solidFill>
      <a:schemeClr val="accent1">
        <a:lumMod val="20000"/>
        <a:lumOff val="80000"/>
      </a:schemeClr>
    </a:solidFill>
    <a:ln>
      <a:solidFill>
        <a:srgbClr val="002060"/>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54039</xdr:colOff>
      <xdr:row>17</xdr:row>
      <xdr:rowOff>150455</xdr:rowOff>
    </xdr:from>
    <xdr:to>
      <xdr:col>2</xdr:col>
      <xdr:colOff>425514</xdr:colOff>
      <xdr:row>28</xdr:row>
      <xdr:rowOff>145790</xdr:rowOff>
    </xdr:to>
    <xdr:sp macro="" textlink="">
      <xdr:nvSpPr>
        <xdr:cNvPr id="35" name="Rectangle: Rounded Corners 34">
          <a:extLst>
            <a:ext uri="{FF2B5EF4-FFF2-40B4-BE49-F238E27FC236}">
              <a16:creationId xmlns:a16="http://schemas.microsoft.com/office/drawing/2014/main" id="{BDD8AA42-E987-46F5-B0FD-81967C0F341D}"/>
            </a:ext>
          </a:extLst>
        </xdr:cNvPr>
        <xdr:cNvSpPr/>
      </xdr:nvSpPr>
      <xdr:spPr>
        <a:xfrm>
          <a:off x="54039" y="3464766"/>
          <a:ext cx="1596118" cy="2133601"/>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571500</xdr:colOff>
      <xdr:row>2</xdr:row>
      <xdr:rowOff>95250</xdr:rowOff>
    </xdr:from>
    <xdr:to>
      <xdr:col>6</xdr:col>
      <xdr:colOff>352425</xdr:colOff>
      <xdr:row>6</xdr:row>
      <xdr:rowOff>161925</xdr:rowOff>
    </xdr:to>
    <xdr:sp macro="" textlink="">
      <xdr:nvSpPr>
        <xdr:cNvPr id="19" name="Rectangle: Rounded Corners 18">
          <a:extLst>
            <a:ext uri="{FF2B5EF4-FFF2-40B4-BE49-F238E27FC236}">
              <a16:creationId xmlns:a16="http://schemas.microsoft.com/office/drawing/2014/main" id="{00E0C547-4629-4F2E-8226-728F02B01750}"/>
            </a:ext>
          </a:extLst>
        </xdr:cNvPr>
        <xdr:cNvSpPr/>
      </xdr:nvSpPr>
      <xdr:spPr>
        <a:xfrm>
          <a:off x="1790700" y="485775"/>
          <a:ext cx="2219325" cy="828675"/>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57150</xdr:colOff>
      <xdr:row>6</xdr:row>
      <xdr:rowOff>173004</xdr:rowOff>
    </xdr:from>
    <xdr:to>
      <xdr:col>2</xdr:col>
      <xdr:colOff>428625</xdr:colOff>
      <xdr:row>17</xdr:row>
      <xdr:rowOff>29158</xdr:rowOff>
    </xdr:to>
    <xdr:sp macro="" textlink="">
      <xdr:nvSpPr>
        <xdr:cNvPr id="9" name="Rectangle: Rounded Corners 8">
          <a:extLst>
            <a:ext uri="{FF2B5EF4-FFF2-40B4-BE49-F238E27FC236}">
              <a16:creationId xmlns:a16="http://schemas.microsoft.com/office/drawing/2014/main" id="{DB0CC210-B96C-4C53-86E0-C6C0FD824D21}"/>
            </a:ext>
          </a:extLst>
        </xdr:cNvPr>
        <xdr:cNvSpPr/>
      </xdr:nvSpPr>
      <xdr:spPr>
        <a:xfrm>
          <a:off x="57150" y="1349050"/>
          <a:ext cx="1596118" cy="1994419"/>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66675</xdr:colOff>
      <xdr:row>2</xdr:row>
      <xdr:rowOff>85725</xdr:rowOff>
    </xdr:from>
    <xdr:to>
      <xdr:col>2</xdr:col>
      <xdr:colOff>438150</xdr:colOff>
      <xdr:row>6</xdr:row>
      <xdr:rowOff>106913</xdr:rowOff>
    </xdr:to>
    <xdr:sp macro="" textlink="">
      <xdr:nvSpPr>
        <xdr:cNvPr id="8" name="Rectangle: Rounded Corners 7">
          <a:extLst>
            <a:ext uri="{FF2B5EF4-FFF2-40B4-BE49-F238E27FC236}">
              <a16:creationId xmlns:a16="http://schemas.microsoft.com/office/drawing/2014/main" id="{1C854BA6-59D3-4424-9B60-DBA6D5C015E3}"/>
            </a:ext>
          </a:extLst>
        </xdr:cNvPr>
        <xdr:cNvSpPr/>
      </xdr:nvSpPr>
      <xdr:spPr>
        <a:xfrm>
          <a:off x="66675" y="484220"/>
          <a:ext cx="1596118" cy="798739"/>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114300</xdr:colOff>
      <xdr:row>2</xdr:row>
      <xdr:rowOff>145793</xdr:rowOff>
    </xdr:from>
    <xdr:to>
      <xdr:col>2</xdr:col>
      <xdr:colOff>390525</xdr:colOff>
      <xdr:row>6</xdr:row>
      <xdr:rowOff>9719</xdr:rowOff>
    </xdr:to>
    <mc:AlternateContent xmlns:mc="http://schemas.openxmlformats.org/markup-compatibility/2006">
      <mc:Choice xmlns:a14="http://schemas.microsoft.com/office/drawing/2010/main" Requires="a14">
        <xdr:graphicFrame macro="">
          <xdr:nvGraphicFramePr>
            <xdr:cNvPr id="6" name="Year 1">
              <a:extLst>
                <a:ext uri="{FF2B5EF4-FFF2-40B4-BE49-F238E27FC236}">
                  <a16:creationId xmlns:a16="http://schemas.microsoft.com/office/drawing/2014/main" id="{6BF1F1F0-7FEC-4DDE-9E57-0D443DEB4B7A}"/>
                </a:ext>
                <a:ext uri="{C183D7F6-B498-43B3-948B-1728B52AA6E4}">
                  <adec:decorative xmlns:adec="http://schemas.microsoft.com/office/drawing/2017/decorative" val="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14300" y="544288"/>
              <a:ext cx="1500868" cy="6414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7</xdr:row>
      <xdr:rowOff>144624</xdr:rowOff>
    </xdr:from>
    <xdr:to>
      <xdr:col>2</xdr:col>
      <xdr:colOff>390525</xdr:colOff>
      <xdr:row>16</xdr:row>
      <xdr:rowOff>87475</xdr:rowOff>
    </xdr:to>
    <mc:AlternateContent xmlns:mc="http://schemas.openxmlformats.org/markup-compatibility/2006">
      <mc:Choice xmlns:a14="http://schemas.microsoft.com/office/drawing/2010/main" Requires="a14">
        <xdr:graphicFrame macro="">
          <xdr:nvGraphicFramePr>
            <xdr:cNvPr id="7" name="Month 1">
              <a:extLst>
                <a:ext uri="{FF2B5EF4-FFF2-40B4-BE49-F238E27FC236}">
                  <a16:creationId xmlns:a16="http://schemas.microsoft.com/office/drawing/2014/main" id="{51736DFA-535E-4E2C-816F-8AF36E9066A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04775" y="1515058"/>
              <a:ext cx="1510393" cy="1692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76200</xdr:colOff>
      <xdr:row>2</xdr:row>
      <xdr:rowOff>114300</xdr:rowOff>
    </xdr:from>
    <xdr:to>
      <xdr:col>6</xdr:col>
      <xdr:colOff>485774</xdr:colOff>
      <xdr:row>4</xdr:row>
      <xdr:rowOff>66675</xdr:rowOff>
    </xdr:to>
    <xdr:sp macro="" textlink="">
      <xdr:nvSpPr>
        <xdr:cNvPr id="17" name="Rectangle 16">
          <a:extLst>
            <a:ext uri="{FF2B5EF4-FFF2-40B4-BE49-F238E27FC236}">
              <a16:creationId xmlns:a16="http://schemas.microsoft.com/office/drawing/2014/main" id="{881C0F27-3415-4425-B180-2E3D97A4D1CD}"/>
            </a:ext>
          </a:extLst>
        </xdr:cNvPr>
        <xdr:cNvSpPr/>
      </xdr:nvSpPr>
      <xdr:spPr>
        <a:xfrm>
          <a:off x="1905000" y="504825"/>
          <a:ext cx="2238374"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a:solidFill>
                <a:schemeClr val="tx1"/>
              </a:solidFill>
              <a:latin typeface="Segoe UI Variable Display Semib" pitchFamily="2" charset="0"/>
            </a:rPr>
            <a:t>Total</a:t>
          </a:r>
          <a:r>
            <a:rPr lang="en-IN" sz="2000" baseline="0">
              <a:solidFill>
                <a:schemeClr val="tx1"/>
              </a:solidFill>
              <a:latin typeface="Segoe UI Variable Display Semib" pitchFamily="2" charset="0"/>
            </a:rPr>
            <a:t> Revenue💰</a:t>
          </a:r>
          <a:endParaRPr lang="en-IN" sz="2000">
            <a:solidFill>
              <a:schemeClr val="tx1"/>
            </a:solidFill>
            <a:latin typeface="Segoe UI Variable Display Semib" pitchFamily="2" charset="0"/>
          </a:endParaRPr>
        </a:p>
      </xdr:txBody>
    </xdr:sp>
    <xdr:clientData/>
  </xdr:twoCellAnchor>
  <xdr:twoCellAnchor>
    <xdr:from>
      <xdr:col>3</xdr:col>
      <xdr:colOff>228600</xdr:colOff>
      <xdr:row>4</xdr:row>
      <xdr:rowOff>133350</xdr:rowOff>
    </xdr:from>
    <xdr:to>
      <xdr:col>6</xdr:col>
      <xdr:colOff>76200</xdr:colOff>
      <xdr:row>6</xdr:row>
      <xdr:rowOff>57150</xdr:rowOff>
    </xdr:to>
    <xdr:sp macro="" textlink="">
      <xdr:nvSpPr>
        <xdr:cNvPr id="21" name="Rectangle 20">
          <a:extLst>
            <a:ext uri="{FF2B5EF4-FFF2-40B4-BE49-F238E27FC236}">
              <a16:creationId xmlns:a16="http://schemas.microsoft.com/office/drawing/2014/main" id="{52D85BBC-FF00-4E67-BC5E-008BF5A84443}"/>
            </a:ext>
          </a:extLst>
        </xdr:cNvPr>
        <xdr:cNvSpPr/>
      </xdr:nvSpPr>
      <xdr:spPr>
        <a:xfrm>
          <a:off x="2057400" y="904875"/>
          <a:ext cx="1676400" cy="3048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95251</xdr:colOff>
      <xdr:row>4</xdr:row>
      <xdr:rowOff>104775</xdr:rowOff>
    </xdr:from>
    <xdr:to>
      <xdr:col>6</xdr:col>
      <xdr:colOff>123825</xdr:colOff>
      <xdr:row>6</xdr:row>
      <xdr:rowOff>57150</xdr:rowOff>
    </xdr:to>
    <xdr:sp macro="" textlink="Pivot!A12">
      <xdr:nvSpPr>
        <xdr:cNvPr id="20" name="Rectangle 19">
          <a:extLst>
            <a:ext uri="{FF2B5EF4-FFF2-40B4-BE49-F238E27FC236}">
              <a16:creationId xmlns:a16="http://schemas.microsoft.com/office/drawing/2014/main" id="{AA9F9CB2-BA27-470F-82A4-0C7CC038D4EB}"/>
            </a:ext>
          </a:extLst>
        </xdr:cNvPr>
        <xdr:cNvSpPr/>
      </xdr:nvSpPr>
      <xdr:spPr>
        <a:xfrm>
          <a:off x="1924051" y="876300"/>
          <a:ext cx="1857374"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2CB2858-72C5-4099-BFA5-2F5041F4D3F2}" type="TxLink">
            <a:rPr lang="en-US" sz="2000" b="1" i="0" u="none" strike="noStrike">
              <a:solidFill>
                <a:srgbClr val="000000"/>
              </a:solidFill>
              <a:latin typeface="Segoe UI Variable Display Semib" pitchFamily="2" charset="0"/>
              <a:ea typeface="Calibri"/>
              <a:cs typeface="Calibri"/>
            </a:rPr>
            <a:t> ₹ 11,48,47,300 </a:t>
          </a:fld>
          <a:endParaRPr lang="en-IN" sz="2800" b="1">
            <a:solidFill>
              <a:schemeClr val="tx1"/>
            </a:solidFill>
            <a:latin typeface="Segoe UI Variable Display Semib" pitchFamily="2" charset="0"/>
          </a:endParaRPr>
        </a:p>
      </xdr:txBody>
    </xdr:sp>
    <xdr:clientData/>
  </xdr:twoCellAnchor>
  <xdr:twoCellAnchor>
    <xdr:from>
      <xdr:col>6</xdr:col>
      <xdr:colOff>495300</xdr:colOff>
      <xdr:row>2</xdr:row>
      <xdr:rowOff>85725</xdr:rowOff>
    </xdr:from>
    <xdr:to>
      <xdr:col>9</xdr:col>
      <xdr:colOff>428625</xdr:colOff>
      <xdr:row>6</xdr:row>
      <xdr:rowOff>152400</xdr:rowOff>
    </xdr:to>
    <xdr:sp macro="" textlink="">
      <xdr:nvSpPr>
        <xdr:cNvPr id="24" name="Rectangle: Rounded Corners 23">
          <a:extLst>
            <a:ext uri="{FF2B5EF4-FFF2-40B4-BE49-F238E27FC236}">
              <a16:creationId xmlns:a16="http://schemas.microsoft.com/office/drawing/2014/main" id="{D86DD91F-6CC1-4567-9742-15B817B89E4F}"/>
            </a:ext>
          </a:extLst>
        </xdr:cNvPr>
        <xdr:cNvSpPr/>
      </xdr:nvSpPr>
      <xdr:spPr>
        <a:xfrm>
          <a:off x="4152900" y="476250"/>
          <a:ext cx="2066925" cy="828675"/>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590550</xdr:colOff>
      <xdr:row>2</xdr:row>
      <xdr:rowOff>104775</xdr:rowOff>
    </xdr:from>
    <xdr:to>
      <xdr:col>10</xdr:col>
      <xdr:colOff>85724</xdr:colOff>
      <xdr:row>4</xdr:row>
      <xdr:rowOff>57150</xdr:rowOff>
    </xdr:to>
    <xdr:sp macro="" textlink="">
      <xdr:nvSpPr>
        <xdr:cNvPr id="25" name="Rectangle 24">
          <a:extLst>
            <a:ext uri="{FF2B5EF4-FFF2-40B4-BE49-F238E27FC236}">
              <a16:creationId xmlns:a16="http://schemas.microsoft.com/office/drawing/2014/main" id="{B56FCBEA-2E7B-42A9-9C5E-C8B5EEE43A63}"/>
            </a:ext>
          </a:extLst>
        </xdr:cNvPr>
        <xdr:cNvSpPr/>
      </xdr:nvSpPr>
      <xdr:spPr>
        <a:xfrm>
          <a:off x="4248150" y="495300"/>
          <a:ext cx="2238374"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a:solidFill>
                <a:schemeClr val="tx1"/>
              </a:solidFill>
              <a:latin typeface="Segoe UI Variable Display Semib" pitchFamily="2" charset="0"/>
            </a:rPr>
            <a:t>Total</a:t>
          </a:r>
          <a:r>
            <a:rPr lang="en-IN" sz="2000" baseline="0">
              <a:solidFill>
                <a:schemeClr val="tx1"/>
              </a:solidFill>
              <a:latin typeface="Segoe UI Variable Display Semib" pitchFamily="2" charset="0"/>
            </a:rPr>
            <a:t> Profit</a:t>
          </a:r>
          <a:endParaRPr lang="en-IN" sz="2000">
            <a:solidFill>
              <a:schemeClr val="tx1"/>
            </a:solidFill>
            <a:latin typeface="Segoe UI Variable Display Semib" pitchFamily="2" charset="0"/>
          </a:endParaRPr>
        </a:p>
      </xdr:txBody>
    </xdr:sp>
    <xdr:clientData/>
  </xdr:twoCellAnchor>
  <xdr:twoCellAnchor>
    <xdr:from>
      <xdr:col>6</xdr:col>
      <xdr:colOff>619125</xdr:colOff>
      <xdr:row>4</xdr:row>
      <xdr:rowOff>95250</xdr:rowOff>
    </xdr:from>
    <xdr:to>
      <xdr:col>9</xdr:col>
      <xdr:colOff>295274</xdr:colOff>
      <xdr:row>6</xdr:row>
      <xdr:rowOff>47625</xdr:rowOff>
    </xdr:to>
    <xdr:sp macro="" textlink="Pivot!A13">
      <xdr:nvSpPr>
        <xdr:cNvPr id="26" name="Rectangle 25">
          <a:extLst>
            <a:ext uri="{FF2B5EF4-FFF2-40B4-BE49-F238E27FC236}">
              <a16:creationId xmlns:a16="http://schemas.microsoft.com/office/drawing/2014/main" id="{464EC592-7BF0-4D56-ABBB-B685ADBB6035}"/>
            </a:ext>
          </a:extLst>
        </xdr:cNvPr>
        <xdr:cNvSpPr/>
      </xdr:nvSpPr>
      <xdr:spPr>
        <a:xfrm>
          <a:off x="4276725" y="866775"/>
          <a:ext cx="1809749" cy="333375"/>
        </a:xfrm>
        <a:prstGeom prst="rect">
          <a:avLst/>
        </a:prstGeom>
        <a:solidFill>
          <a:schemeClr val="accent4">
            <a:lumMod val="20000"/>
            <a:lumOff val="80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7721AE0-5890-4756-9F8E-501E75DFA520}" type="TxLink">
            <a:rPr lang="en-US" sz="2000" b="1" i="0" u="none" strike="noStrike">
              <a:solidFill>
                <a:srgbClr val="000000"/>
              </a:solidFill>
              <a:latin typeface="Segoe UI Variable Display Semib" pitchFamily="2" charset="0"/>
              <a:ea typeface="Calibri"/>
              <a:cs typeface="Calibri"/>
            </a:rPr>
            <a:t> ₹ 2,84,82,488 </a:t>
          </a:fld>
          <a:endParaRPr lang="en-IN" sz="4400" b="1">
            <a:solidFill>
              <a:schemeClr val="tx1"/>
            </a:solidFill>
            <a:latin typeface="Segoe UI Variable Display Semib" pitchFamily="2" charset="0"/>
          </a:endParaRPr>
        </a:p>
      </xdr:txBody>
    </xdr:sp>
    <xdr:clientData/>
  </xdr:twoCellAnchor>
  <xdr:twoCellAnchor editAs="oneCell">
    <xdr:from>
      <xdr:col>8</xdr:col>
      <xdr:colOff>495301</xdr:colOff>
      <xdr:row>2</xdr:row>
      <xdr:rowOff>76201</xdr:rowOff>
    </xdr:from>
    <xdr:to>
      <xdr:col>9</xdr:col>
      <xdr:colOff>304801</xdr:colOff>
      <xdr:row>4</xdr:row>
      <xdr:rowOff>114301</xdr:rowOff>
    </xdr:to>
    <xdr:pic>
      <xdr:nvPicPr>
        <xdr:cNvPr id="28" name="Graphic 27" descr="Coins with solid fill">
          <a:extLst>
            <a:ext uri="{FF2B5EF4-FFF2-40B4-BE49-F238E27FC236}">
              <a16:creationId xmlns:a16="http://schemas.microsoft.com/office/drawing/2014/main" id="{9C4F1582-0938-4E32-9E2A-08E0DAFEC0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rot="20919213">
          <a:off x="5676901" y="466726"/>
          <a:ext cx="419100" cy="419100"/>
        </a:xfrm>
        <a:prstGeom prst="rect">
          <a:avLst/>
        </a:prstGeom>
      </xdr:spPr>
    </xdr:pic>
    <xdr:clientData/>
  </xdr:twoCellAnchor>
  <xdr:twoCellAnchor>
    <xdr:from>
      <xdr:col>3</xdr:col>
      <xdr:colOff>0</xdr:colOff>
      <xdr:row>7</xdr:row>
      <xdr:rowOff>104775</xdr:rowOff>
    </xdr:from>
    <xdr:to>
      <xdr:col>9</xdr:col>
      <xdr:colOff>447675</xdr:colOff>
      <xdr:row>28</xdr:row>
      <xdr:rowOff>152400</xdr:rowOff>
    </xdr:to>
    <mc:AlternateContent xmlns:mc="http://schemas.openxmlformats.org/markup-compatibility/2006">
      <mc:Choice xmlns:cx2="http://schemas.microsoft.com/office/drawing/2015/10/21/chartex" Requires="cx2">
        <xdr:graphicFrame macro="">
          <xdr:nvGraphicFramePr>
            <xdr:cNvPr id="29" name="Chart 28">
              <a:extLst>
                <a:ext uri="{FF2B5EF4-FFF2-40B4-BE49-F238E27FC236}">
                  <a16:creationId xmlns:a16="http://schemas.microsoft.com/office/drawing/2014/main" id="{7B133B4E-A4A8-4135-9659-07C3FD3937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828800" y="1447800"/>
              <a:ext cx="4410075" cy="40481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533400</xdr:colOff>
      <xdr:row>2</xdr:row>
      <xdr:rowOff>76200</xdr:rowOff>
    </xdr:from>
    <xdr:to>
      <xdr:col>15</xdr:col>
      <xdr:colOff>213827</xdr:colOff>
      <xdr:row>13</xdr:row>
      <xdr:rowOff>152400</xdr:rowOff>
    </xdr:to>
    <xdr:graphicFrame macro="">
      <xdr:nvGraphicFramePr>
        <xdr:cNvPr id="30" name="Chart 29">
          <a:extLst>
            <a:ext uri="{FF2B5EF4-FFF2-40B4-BE49-F238E27FC236}">
              <a16:creationId xmlns:a16="http://schemas.microsoft.com/office/drawing/2014/main" id="{2CE3835C-FD82-4EE4-8EBB-A29C47337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561975</xdr:colOff>
      <xdr:row>14</xdr:row>
      <xdr:rowOff>57150</xdr:rowOff>
    </xdr:from>
    <xdr:to>
      <xdr:col>20</xdr:col>
      <xdr:colOff>155510</xdr:colOff>
      <xdr:row>28</xdr:row>
      <xdr:rowOff>133350</xdr:rowOff>
    </xdr:to>
    <xdr:graphicFrame macro="">
      <xdr:nvGraphicFramePr>
        <xdr:cNvPr id="32" name="Chart 31">
          <a:extLst>
            <a:ext uri="{FF2B5EF4-FFF2-40B4-BE49-F238E27FC236}">
              <a16:creationId xmlns:a16="http://schemas.microsoft.com/office/drawing/2014/main" id="{0FEFBA4D-2A3A-4717-8FF0-65967A472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106914</xdr:colOff>
      <xdr:row>18</xdr:row>
      <xdr:rowOff>106913</xdr:rowOff>
    </xdr:from>
    <xdr:to>
      <xdr:col>2</xdr:col>
      <xdr:colOff>369337</xdr:colOff>
      <xdr:row>27</xdr:row>
      <xdr:rowOff>184668</xdr:rowOff>
    </xdr:to>
    <mc:AlternateContent xmlns:mc="http://schemas.openxmlformats.org/markup-compatibility/2006">
      <mc:Choice xmlns:a14="http://schemas.microsoft.com/office/drawing/2010/main" Requires="a14">
        <xdr:graphicFrame macro="">
          <xdr:nvGraphicFramePr>
            <xdr:cNvPr id="34" name="State">
              <a:extLst>
                <a:ext uri="{FF2B5EF4-FFF2-40B4-BE49-F238E27FC236}">
                  <a16:creationId xmlns:a16="http://schemas.microsoft.com/office/drawing/2014/main" id="{BD834A73-C4AA-4A97-B4C5-611D2D26111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06914" y="3615612"/>
              <a:ext cx="1487066" cy="1827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291581</xdr:colOff>
      <xdr:row>2</xdr:row>
      <xdr:rowOff>87475</xdr:rowOff>
    </xdr:from>
    <xdr:to>
      <xdr:col>20</xdr:col>
      <xdr:colOff>145790</xdr:colOff>
      <xdr:row>13</xdr:row>
      <xdr:rowOff>126352</xdr:rowOff>
    </xdr:to>
    <xdr:graphicFrame macro="">
      <xdr:nvGraphicFramePr>
        <xdr:cNvPr id="37" name="Chart 36">
          <a:extLst>
            <a:ext uri="{FF2B5EF4-FFF2-40B4-BE49-F238E27FC236}">
              <a16:creationId xmlns:a16="http://schemas.microsoft.com/office/drawing/2014/main" id="{D0E7AA51-A653-4B3D-8B5E-F3E662F1D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 Pethad" refreshedDate="46165.91426203704" missingItemsLimit="0" createdVersion="7" refreshedVersion="7" minRefreshableVersion="3" recordCount="1077" xr:uid="{A7B905C8-8535-447E-AB2F-627654592D7F}">
  <cacheSource type="worksheet">
    <worksheetSource ref="A1:P1048576" sheet="Append1"/>
  </cacheSource>
  <cacheFields count="16">
    <cacheField name="Order ID" numFmtId="0">
      <sharedItems containsBlank="1"/>
    </cacheField>
    <cacheField name="Date" numFmtId="14">
      <sharedItems containsNonDate="0" containsDate="1" containsString="0" containsBlank="1" minDate="2024-01-01T00:00:00" maxDate="2025-12-29T00:00:00" count="544">
        <d v="2024-01-01T00:00:00"/>
        <d v="2024-01-02T00:00:00"/>
        <d v="2024-01-04T00:00:00"/>
        <d v="2024-01-06T00:00:00"/>
        <d v="2024-01-07T00:00:00"/>
        <d v="2024-01-08T00:00:00"/>
        <d v="2024-01-09T00:00:00"/>
        <d v="2024-01-10T00:00:00"/>
        <d v="2024-01-11T00:00:00"/>
        <d v="2024-01-12T00:00:00"/>
        <d v="2024-01-13T00:00:00"/>
        <d v="2024-01-14T00:00:00"/>
        <d v="2024-01-16T00:00:00"/>
        <d v="2024-01-17T00:00:00"/>
        <d v="2024-01-19T00:00:00"/>
        <d v="2024-01-20T00:00:00"/>
        <d v="2024-01-21T00:00:00"/>
        <d v="2024-01-22T00:00:00"/>
        <d v="2024-01-23T00:00:00"/>
        <d v="2024-01-24T00:00:00"/>
        <d v="2024-01-25T00:00:00"/>
        <d v="2024-01-26T00:00:00"/>
        <d v="2024-01-27T00:00:00"/>
        <d v="2024-01-28T00:00:00"/>
        <d v="2024-01-29T00:00:00"/>
        <d v="2024-01-30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6T00:00:00"/>
        <d v="2024-02-17T00:00:00"/>
        <d v="2024-02-18T00:00:00"/>
        <d v="2024-02-21T00:00:00"/>
        <d v="2024-02-22T00:00:00"/>
        <d v="2024-02-25T00:00:00"/>
        <d v="2024-02-26T00:00:00"/>
        <d v="2024-02-27T00:00:00"/>
        <d v="2024-02-28T00:00:00"/>
        <d v="2024-03-01T00:00:00"/>
        <d v="2024-03-02T00:00:00"/>
        <d v="2024-03-03T00:00:00"/>
        <d v="2024-03-04T00:00:00"/>
        <d v="2024-03-05T00:00:00"/>
        <d v="2024-03-06T00:00:00"/>
        <d v="2024-03-07T00:00:00"/>
        <d v="2024-03-08T00:00:00"/>
        <d v="2024-03-09T00:00:00"/>
        <d v="2024-03-10T00:00:00"/>
        <d v="2024-03-11T00:00:00"/>
        <d v="2024-03-12T00:00:00"/>
        <d v="2024-03-14T00:00:00"/>
        <d v="2024-03-15T00:00:00"/>
        <d v="2024-03-16T00:00:00"/>
        <d v="2024-03-18T00:00:00"/>
        <d v="2024-03-19T00:00:00"/>
        <d v="2024-03-20T00:00:00"/>
        <d v="2024-03-21T00:00:00"/>
        <d v="2024-03-23T00:00:00"/>
        <d v="2024-03-24T00:00:00"/>
        <d v="2024-03-25T00:00:00"/>
        <d v="2024-03-26T00:00:00"/>
        <d v="2024-03-27T00:00:00"/>
        <d v="2024-03-28T00:00:00"/>
        <d v="2024-03-29T00:00:00"/>
        <d v="2024-03-30T00:00:00"/>
        <d v="2024-04-01T00:00:00"/>
        <d v="2024-04-02T00:00:00"/>
        <d v="2024-04-03T00:00:00"/>
        <d v="2024-04-06T00:00:00"/>
        <d v="2024-04-07T00:00:00"/>
        <d v="2024-04-09T00:00:00"/>
        <d v="2024-04-10T00:00:00"/>
        <d v="2024-04-11T00:00:00"/>
        <d v="2024-04-12T00:00:00"/>
        <d v="2024-04-13T00:00:00"/>
        <d v="2024-04-14T00:00:00"/>
        <d v="2024-04-15T00:00:00"/>
        <d v="2024-04-18T00:00:00"/>
        <d v="2024-04-19T00:00:00"/>
        <d v="2024-04-20T00:00:00"/>
        <d v="2024-04-22T00:00:00"/>
        <d v="2024-04-25T00:00:00"/>
        <d v="2024-04-26T00:00:00"/>
        <d v="2024-04-27T00:00:00"/>
        <d v="2024-04-29T00:00:00"/>
        <d v="2024-04-30T00:00:00"/>
        <d v="2024-05-01T00:00:00"/>
        <d v="2024-05-03T00:00:00"/>
        <d v="2024-05-04T00:00:00"/>
        <d v="2024-05-05T00:00:00"/>
        <d v="2024-05-06T00:00:00"/>
        <d v="2024-05-08T00:00:00"/>
        <d v="2024-05-09T00:00:00"/>
        <d v="2024-05-10T00:00:00"/>
        <d v="2024-05-11T00:00:00"/>
        <d v="2024-05-14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6-01T00:00:00"/>
        <d v="2024-06-02T00:00:00"/>
        <d v="2024-06-03T00:00:00"/>
        <d v="2024-06-04T00:00:00"/>
        <d v="2024-06-05T00:00:00"/>
        <d v="2024-06-07T00:00:00"/>
        <d v="2024-06-08T00:00:00"/>
        <d v="2024-06-09T00:00:00"/>
        <d v="2024-06-10T00:00:00"/>
        <d v="2024-06-11T00:00:00"/>
        <d v="2024-06-12T00:00:00"/>
        <d v="2024-06-13T00:00:00"/>
        <d v="2024-06-14T00:00:00"/>
        <d v="2024-06-15T00:00:00"/>
        <d v="2024-06-16T00:00:00"/>
        <d v="2024-06-17T00:00:00"/>
        <d v="2024-06-19T00:00:00"/>
        <d v="2024-06-20T00:00:00"/>
        <d v="2024-06-22T00:00:00"/>
        <d v="2024-06-23T00:00:00"/>
        <d v="2024-06-26T00:00:00"/>
        <d v="2024-06-27T00:00:00"/>
        <d v="2024-06-29T00:00:00"/>
        <d v="2024-06-30T00:00:00"/>
        <d v="2024-07-01T00:00:00"/>
        <d v="2024-07-03T00:00:00"/>
        <d v="2024-07-04T00:00:00"/>
        <d v="2024-07-05T00:00:00"/>
        <d v="2024-07-07T00:00:00"/>
        <d v="2024-07-09T00:00:00"/>
        <d v="2024-07-11T00:00:00"/>
        <d v="2024-07-12T00:00:00"/>
        <d v="2024-07-13T00:00:00"/>
        <d v="2024-07-14T00:00:00"/>
        <d v="2024-07-15T00:00:00"/>
        <d v="2024-07-16T00:00:00"/>
        <d v="2024-07-17T00:00:00"/>
        <d v="2024-07-18T00:00:00"/>
        <d v="2024-07-19T00:00:00"/>
        <d v="2024-07-21T00:00:00"/>
        <d v="2024-07-22T00:00:00"/>
        <d v="2024-07-23T00:00:00"/>
        <d v="2024-07-24T00:00:00"/>
        <d v="2024-07-25T00:00:00"/>
        <d v="2024-07-26T00:00:00"/>
        <d v="2024-07-27T00:00:00"/>
        <d v="2024-07-28T00:00:00"/>
        <d v="2024-08-02T00:00:00"/>
        <d v="2024-08-03T00:00:00"/>
        <d v="2024-08-04T00:00:00"/>
        <d v="2024-08-05T00:00:00"/>
        <d v="2024-08-06T00:00:00"/>
        <d v="2024-08-07T00:00:00"/>
        <d v="2024-08-09T00:00:00"/>
        <d v="2024-08-10T00:00:00"/>
        <d v="2024-08-11T00:00:00"/>
        <d v="2024-08-12T00:00:00"/>
        <d v="2024-08-14T00:00:00"/>
        <d v="2024-08-15T00:00:00"/>
        <d v="2024-08-16T00:00:00"/>
        <d v="2024-08-17T00:00:00"/>
        <d v="2024-08-18T00:00:00"/>
        <d v="2024-08-19T00:00:00"/>
        <d v="2024-08-21T00:00:00"/>
        <d v="2024-08-24T00:00:00"/>
        <d v="2024-08-25T00:00:00"/>
        <d v="2024-08-27T00:00:00"/>
        <d v="2024-08-28T00:00:00"/>
        <d v="2024-08-29T00:00:00"/>
        <d v="2024-08-30T00:00:00"/>
        <d v="2024-09-01T00:00:00"/>
        <d v="2024-09-03T00:00:00"/>
        <d v="2024-09-04T00:00:00"/>
        <d v="2024-09-05T00:00:00"/>
        <d v="2024-09-06T00:00:00"/>
        <d v="2024-09-07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30T00:00:00"/>
        <d v="2024-10-01T00:00:00"/>
        <d v="2024-10-02T00:00:00"/>
        <d v="2024-10-03T00:00:00"/>
        <d v="2024-10-04T00:00:00"/>
        <d v="2024-10-05T00:00:00"/>
        <d v="2024-10-06T00:00:00"/>
        <d v="2024-10-07T00:00:00"/>
        <d v="2024-10-08T00:00:00"/>
        <d v="2024-10-11T00:00:00"/>
        <d v="2024-10-12T00:00:00"/>
        <d v="2024-10-13T00:00:00"/>
        <d v="2024-10-14T00:00:00"/>
        <d v="2024-10-15T00:00:00"/>
        <d v="2024-10-16T00:00:00"/>
        <d v="2024-10-18T00:00:00"/>
        <d v="2024-10-19T00:00:00"/>
        <d v="2024-10-21T00:00:00"/>
        <d v="2024-10-22T00:00:00"/>
        <d v="2024-10-23T00:00:00"/>
        <d v="2024-10-24T00:00:00"/>
        <d v="2024-10-27T00:00:00"/>
        <d v="2024-10-30T00:00:00"/>
        <d v="2024-11-01T00:00:00"/>
        <d v="2024-11-02T00:00:00"/>
        <d v="2024-11-04T00:00:00"/>
        <d v="2024-11-05T00:00:00"/>
        <d v="2024-11-06T00:00:00"/>
        <d v="2024-11-07T00:00:00"/>
        <d v="2024-11-08T00:00:00"/>
        <d v="2024-11-09T00:00:00"/>
        <d v="2024-11-10T00:00:00"/>
        <d v="2024-11-11T00:00:00"/>
        <d v="2024-11-12T00:00:00"/>
        <d v="2024-11-13T00:00:00"/>
        <d v="2024-11-14T00:00:00"/>
        <d v="2024-11-15T00:00:00"/>
        <d v="2024-11-16T00:00:00"/>
        <d v="2024-11-18T00:00:00"/>
        <d v="2024-11-19T00:00:00"/>
        <d v="2024-11-20T00:00:00"/>
        <d v="2024-11-22T00:00:00"/>
        <d v="2024-11-24T00:00:00"/>
        <d v="2024-11-25T00:00:00"/>
        <d v="2024-11-26T00:00:00"/>
        <d v="2024-11-28T00:00:00"/>
        <d v="2024-11-29T00:00:00"/>
        <d v="2024-12-01T00:00:00"/>
        <d v="2024-12-02T00:00:00"/>
        <d v="2024-12-03T00:00:00"/>
        <d v="2024-12-04T00:00:00"/>
        <d v="2024-12-05T00:00:00"/>
        <d v="2024-12-06T00:00:00"/>
        <d v="2024-12-07T00:00:00"/>
        <d v="2024-12-09T00:00:00"/>
        <d v="2024-12-11T00:00:00"/>
        <d v="2024-12-12T00:00:00"/>
        <d v="2024-12-13T00:00:00"/>
        <d v="2024-12-14T00:00:00"/>
        <d v="2024-12-15T00:00:00"/>
        <d v="2024-12-16T00:00:00"/>
        <d v="2024-12-17T00:00:00"/>
        <d v="2024-12-19T00:00:00"/>
        <d v="2024-12-20T00:00:00"/>
        <d v="2024-12-23T00:00:00"/>
        <d v="2024-12-24T00:00:00"/>
        <d v="2024-12-25T00:00:00"/>
        <d v="2024-12-28T00:00:00"/>
        <d v="2024-12-29T00:00:00"/>
        <d v="2024-12-30T00:00:00"/>
        <d v="2025-01-03T00:00:00"/>
        <d v="2025-01-05T00:00:00"/>
        <d v="2025-01-06T00:00:00"/>
        <d v="2025-01-07T00:00:00"/>
        <d v="2025-01-08T00:00:00"/>
        <d v="2025-01-09T00:00:00"/>
        <d v="2025-01-10T00:00:00"/>
        <d v="2025-01-11T00:00:00"/>
        <d v="2025-01-13T00:00:00"/>
        <d v="2025-01-15T00:00:00"/>
        <d v="2025-01-16T00:00:00"/>
        <d v="2025-01-18T00:00:00"/>
        <d v="2025-01-20T00:00:00"/>
        <d v="2025-01-23T00:00:00"/>
        <d v="2025-01-24T00:00:00"/>
        <d v="2025-01-25T00:00:00"/>
        <d v="2025-01-26T00:00:00"/>
        <d v="2025-01-27T00:00:00"/>
        <d v="2025-01-28T00:00:00"/>
        <d v="2025-02-01T00:00:00"/>
        <d v="2025-02-02T00:00:00"/>
        <d v="2025-02-03T00:00:00"/>
        <d v="2025-02-04T00:00:00"/>
        <d v="2025-02-05T00:00:00"/>
        <d v="2025-02-06T00:00:00"/>
        <d v="2025-02-07T00:00:00"/>
        <d v="2025-02-08T00:00:00"/>
        <d v="2025-02-10T00:00:00"/>
        <d v="2025-02-11T00:00:00"/>
        <d v="2025-02-12T00:00:00"/>
        <d v="2025-02-13T00:00:00"/>
        <d v="2025-02-14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7T00:00:00"/>
        <d v="2025-03-08T00:00:00"/>
        <d v="2025-03-09T00:00:00"/>
        <d v="2025-03-10T00:00:00"/>
        <d v="2025-03-11T00:00:00"/>
        <d v="2025-03-12T00:00:00"/>
        <d v="2025-03-13T00:00:00"/>
        <d v="2025-03-15T00:00:00"/>
        <d v="2025-03-17T00:00:00"/>
        <d v="2025-03-18T00:00:00"/>
        <d v="2025-03-22T00:00:00"/>
        <d v="2025-03-23T00:00:00"/>
        <d v="2025-03-24T00:00:00"/>
        <d v="2025-03-26T00:00:00"/>
        <d v="2025-03-27T00:00:00"/>
        <d v="2025-03-28T00:00:00"/>
        <d v="2025-04-02T00:00:00"/>
        <d v="2025-04-03T00:00:00"/>
        <d v="2025-04-04T00:00:00"/>
        <d v="2025-04-06T00:00:00"/>
        <d v="2025-04-07T00:00:00"/>
        <d v="2025-04-08T00:00:00"/>
        <d v="2025-04-09T00:00:00"/>
        <d v="2025-04-10T00:00:00"/>
        <d v="2025-04-11T00:00:00"/>
        <d v="2025-04-12T00:00:00"/>
        <d v="2025-04-13T00:00:00"/>
        <d v="2025-04-14T00:00:00"/>
        <d v="2025-04-15T00:00:00"/>
        <d v="2025-04-18T00:00:00"/>
        <d v="2025-04-19T00:00:00"/>
        <d v="2025-04-21T00:00:00"/>
        <d v="2025-04-23T00:00:00"/>
        <d v="2025-04-24T00:00:00"/>
        <d v="2025-04-25T00:00:00"/>
        <d v="2025-04-26T00:00:00"/>
        <d v="2025-04-27T00:00:00"/>
        <d v="2025-05-01T00:00:00"/>
        <d v="2025-05-02T00:00:00"/>
        <d v="2025-05-03T00:00:00"/>
        <d v="2025-05-04T00:00:00"/>
        <d v="2025-05-06T00:00:00"/>
        <d v="2025-05-07T00:00:00"/>
        <d v="2025-05-08T00:00:00"/>
        <d v="2025-05-09T00:00:00"/>
        <d v="2025-05-11T00:00:00"/>
        <d v="2025-05-12T00:00:00"/>
        <d v="2025-05-13T00:00:00"/>
        <d v="2025-05-15T00:00:00"/>
        <d v="2025-05-17T00:00:00"/>
        <d v="2025-05-20T00:00:00"/>
        <d v="2025-05-21T00:00:00"/>
        <d v="2025-05-23T00:00:00"/>
        <d v="2025-05-25T00:00:00"/>
        <d v="2025-05-26T00:00:00"/>
        <d v="2025-05-27T00:00:00"/>
        <d v="2025-06-02T00:00:00"/>
        <d v="2025-06-03T00:00:00"/>
        <d v="2025-06-04T00:00:00"/>
        <d v="2025-06-05T00:00:00"/>
        <d v="2025-06-06T00:00:00"/>
        <d v="2025-06-07T00:00:00"/>
        <d v="2025-06-08T00:00:00"/>
        <d v="2025-06-09T00:00:00"/>
        <d v="2025-06-10T00:00:00"/>
        <d v="2025-06-11T00:00:00"/>
        <d v="2025-06-13T00:00:00"/>
        <d v="2025-06-14T00:00:00"/>
        <d v="2025-06-15T00:00:00"/>
        <d v="2025-06-16T00:00:00"/>
        <d v="2025-06-17T00:00:00"/>
        <d v="2025-06-18T00:00:00"/>
        <d v="2025-06-19T00:00:00"/>
        <d v="2025-06-23T00:00:00"/>
        <d v="2025-06-24T00:00:00"/>
        <d v="2025-06-25T00:00:00"/>
        <d v="2025-06-26T00:00:00"/>
        <d v="2025-06-28T00:00:00"/>
        <d v="2025-07-01T00:00:00"/>
        <d v="2025-07-02T00:00:00"/>
        <d v="2025-07-05T00:00:00"/>
        <d v="2025-07-08T00:00:00"/>
        <d v="2025-07-09T00:00:00"/>
        <d v="2025-07-11T00:00:00"/>
        <d v="2025-07-12T00:00:00"/>
        <d v="2025-07-13T00:00:00"/>
        <d v="2025-07-14T00:00:00"/>
        <d v="2025-07-15T00:00:00"/>
        <d v="2025-07-17T00:00:00"/>
        <d v="2025-07-19T00:00:00"/>
        <d v="2025-07-21T00:00:00"/>
        <d v="2025-07-22T00:00:00"/>
        <d v="2025-07-23T00:00:00"/>
        <d v="2025-07-24T00:00:00"/>
        <d v="2025-07-25T00:00:00"/>
        <d v="2025-07-26T00:00:00"/>
        <d v="2025-07-27T00:00:00"/>
        <d v="2025-08-03T00:00:00"/>
        <d v="2025-08-04T00:00:00"/>
        <d v="2025-08-06T00:00:00"/>
        <d v="2025-08-07T00:00:00"/>
        <d v="2025-08-08T00:00:00"/>
        <d v="2025-08-09T00:00:00"/>
        <d v="2025-08-10T00:00:00"/>
        <d v="2025-08-11T00:00:00"/>
        <d v="2025-08-12T00:00:00"/>
        <d v="2025-08-13T00:00:00"/>
        <d v="2025-08-16T00:00:00"/>
        <d v="2025-08-17T00:00:00"/>
        <d v="2025-08-18T00:00:00"/>
        <d v="2025-08-19T00:00:00"/>
        <d v="2025-08-20T00:00:00"/>
        <d v="2025-08-21T00:00:00"/>
        <d v="2025-08-22T00:00:00"/>
        <d v="2025-08-23T00:00:00"/>
        <d v="2025-08-25T00:00:00"/>
        <d v="2025-08-28T00:00:00"/>
        <d v="2025-09-02T00:00:00"/>
        <d v="2025-09-03T00:00:00"/>
        <d v="2025-09-04T00:00:00"/>
        <d v="2025-09-05T00:00:00"/>
        <d v="2025-09-06T00:00:00"/>
        <d v="2025-09-07T00:00:00"/>
        <d v="2025-09-08T00:00:00"/>
        <d v="2025-09-09T00:00:00"/>
        <d v="2025-09-10T00:00:00"/>
        <d v="2025-09-11T00:00:00"/>
        <d v="2025-09-13T00:00:00"/>
        <d v="2025-09-15T00:00:00"/>
        <d v="2025-09-16T00:00:00"/>
        <d v="2025-09-17T00:00:00"/>
        <d v="2025-09-19T00:00:00"/>
        <d v="2025-09-20T00:00:00"/>
        <d v="2025-09-21T00:00:00"/>
        <d v="2025-09-22T00:00:00"/>
        <d v="2025-09-23T00:00:00"/>
        <d v="2025-09-26T00:00:00"/>
        <d v="2025-09-27T00:00:00"/>
        <d v="2025-09-28T00:00:00"/>
        <d v="2025-10-01T00:00:00"/>
        <d v="2025-10-02T00:00:00"/>
        <d v="2025-10-03T00:00:00"/>
        <d v="2025-10-06T00:00:00"/>
        <d v="2025-10-07T00:00:00"/>
        <d v="2025-10-09T00:00:00"/>
        <d v="2025-10-10T00:00:00"/>
        <d v="2025-10-11T00:00:00"/>
        <d v="2025-10-12T00:00:00"/>
        <d v="2025-10-13T00:00:00"/>
        <d v="2025-10-14T00:00:00"/>
        <d v="2025-10-15T00:00:00"/>
        <d v="2025-10-17T00:00:00"/>
        <d v="2025-10-19T00:00:00"/>
        <d v="2025-10-20T00:00:00"/>
        <d v="2025-10-21T00:00:00"/>
        <d v="2025-10-22T00:00:00"/>
        <d v="2025-10-23T00:00:00"/>
        <d v="2025-10-24T00:00:00"/>
        <d v="2025-10-25T00:00:00"/>
        <d v="2025-10-26T00:00:00"/>
        <d v="2025-10-27T00:00:00"/>
        <d v="2025-11-03T00:00:00"/>
        <d v="2025-11-04T00:00:00"/>
        <d v="2025-11-05T00:00:00"/>
        <d v="2025-11-06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3T00:00:00"/>
        <d v="2025-11-24T00:00:00"/>
        <d v="2025-11-26T00:00:00"/>
        <d v="2025-11-28T00:00:00"/>
        <d v="2025-12-01T00:00:00"/>
        <d v="2025-12-03T00:00:00"/>
        <d v="2025-12-04T00:00:00"/>
        <d v="2025-12-05T00:00:00"/>
        <d v="2025-12-06T00:00:00"/>
        <d v="2025-12-07T00:00:00"/>
        <d v="2025-12-08T00:00:00"/>
        <d v="2025-12-09T00:00:00"/>
        <d v="2025-12-10T00:00:00"/>
        <d v="2025-12-11T00:00:00"/>
        <d v="2025-12-12T00:00:00"/>
        <d v="2025-12-13T00:00:00"/>
        <d v="2025-12-14T00:00:00"/>
        <d v="2025-12-15T00:00:00"/>
        <d v="2025-12-17T00:00:00"/>
        <d v="2025-12-18T00:00:00"/>
        <d v="2025-12-20T00:00:00"/>
        <d v="2025-12-21T00:00:00"/>
        <d v="2025-12-22T00:00:00"/>
        <d v="2025-12-23T00:00:00"/>
        <d v="2025-12-24T00:00:00"/>
        <d v="2025-12-25T00:00:00"/>
        <d v="2025-12-26T00:00:00"/>
        <d v="2025-12-27T00:00:00"/>
        <d v="2025-12-28T00:00:00"/>
        <m/>
      </sharedItems>
    </cacheField>
    <cacheField name="Month" numFmtId="0">
      <sharedItems containsBlank="1" count="13">
        <s v="May"/>
        <s v="Jun"/>
        <s v="Aug"/>
        <s v="Dec"/>
        <s v="Nov"/>
        <s v="Jul"/>
        <s v="Apr"/>
        <s v="Jan"/>
        <s v="Mar"/>
        <s v="Sep"/>
        <s v="Feb"/>
        <s v="Oct"/>
        <m/>
      </sharedItems>
    </cacheField>
    <cacheField name="Year" numFmtId="0">
      <sharedItems containsString="0" containsBlank="1" containsNumber="1" containsInteger="1" minValue="2024" maxValue="2025" count="3">
        <n v="2024"/>
        <n v="2025"/>
        <m/>
      </sharedItems>
    </cacheField>
    <cacheField name="Product Name" numFmtId="0">
      <sharedItems containsBlank="1" count="17">
        <s v="Notebook"/>
        <s v="Stapler"/>
        <s v="Table"/>
        <s v="Chair"/>
        <s v="Pen"/>
        <s v="Mixer"/>
        <s v="Microwave"/>
        <s v="Printer"/>
        <s v="File Holder"/>
        <s v="Refrigerator"/>
        <s v="Mouse"/>
        <s v="Sofa"/>
        <s v="Desk"/>
        <s v="Keyboard"/>
        <s v="Laptop"/>
        <s v="Monitor"/>
        <m/>
      </sharedItems>
    </cacheField>
    <cacheField name="Category" numFmtId="0">
      <sharedItems containsBlank="1" count="5">
        <s v="Office Supplies"/>
        <s v="Furniture"/>
        <s v="Appliances"/>
        <s v="Electronics"/>
        <m/>
      </sharedItems>
    </cacheField>
    <cacheField name="Region" numFmtId="0">
      <sharedItems containsBlank="1" count="6">
        <s v="West"/>
        <s v="East"/>
        <s v="North"/>
        <s v="South"/>
        <s v="Central"/>
        <m/>
      </sharedItems>
    </cacheField>
    <cacheField name="State" numFmtId="0">
      <sharedItems containsBlank="1" count="11">
        <s v="Tamil Nadu"/>
        <s v="Delhi"/>
        <s v="Karnataka"/>
        <s v="Rajasthan"/>
        <s v="Punjab"/>
        <s v="Bihar"/>
        <s v="Maharashtra"/>
        <s v="West Bengal"/>
        <s v="UP"/>
        <s v="Gujarat"/>
        <m/>
      </sharedItems>
    </cacheField>
    <cacheField name="Salesperson" numFmtId="0">
      <sharedItems containsBlank="1" count="9">
        <s v="Emily"/>
        <s v="Karan"/>
        <s v="Amit"/>
        <s v="Sneha"/>
        <s v="Anjali"/>
        <s v="Priya"/>
        <s v="Vikas"/>
        <s v="Rahul"/>
        <m/>
      </sharedItems>
    </cacheField>
    <cacheField name="Customer Type" numFmtId="0">
      <sharedItems containsBlank="1" count="3">
        <s v="Wholesale"/>
        <s v="Retail"/>
        <m/>
      </sharedItems>
    </cacheField>
    <cacheField name="Quantity" numFmtId="0">
      <sharedItems containsString="0" containsBlank="1" containsNumber="1" containsInteger="1" minValue="1" maxValue="20"/>
    </cacheField>
    <cacheField name="Unit Price" numFmtId="0">
      <sharedItems containsString="0" containsBlank="1" containsNumber="1" containsInteger="1" minValue="20" maxValue="55000"/>
    </cacheField>
    <cacheField name="Sales Amount" numFmtId="0">
      <sharedItems containsString="0" containsBlank="1" containsNumber="1" containsInteger="1" minValue="20" maxValue="1100000"/>
    </cacheField>
    <cacheField name="Cost" numFmtId="0">
      <sharedItems containsString="0" containsBlank="1" containsNumber="1" minValue="13.2" maxValue="836000"/>
    </cacheField>
    <cacheField name="Profit" numFmtId="0">
      <sharedItems containsString="0" containsBlank="1" containsNumber="1" minValue="2.6000000000000014" maxValue="396000"/>
    </cacheField>
    <cacheField name="Profit %" numFmtId="9">
      <sharedItems containsString="0" containsBlank="1" containsNumber="1" minValue="0.1" maxValue="0.4"/>
    </cacheField>
  </cacheFields>
  <extLst>
    <ext xmlns:x14="http://schemas.microsoft.com/office/spreadsheetml/2009/9/main" uri="{725AE2AE-9491-48be-B2B4-4EB974FC3084}">
      <x14:pivotCacheDefinition pivotCacheId="19772284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7">
  <r>
    <s v="ORD0070"/>
    <x v="0"/>
    <x v="0"/>
    <x v="0"/>
    <x v="0"/>
    <x v="0"/>
    <x v="0"/>
    <x v="0"/>
    <x v="0"/>
    <x v="0"/>
    <n v="3"/>
    <n v="1200"/>
    <n v="3600"/>
    <n v="3204"/>
    <n v="396"/>
    <n v="0.11"/>
  </r>
  <r>
    <s v="ORD0320"/>
    <x v="0"/>
    <x v="1"/>
    <x v="0"/>
    <x v="1"/>
    <x v="0"/>
    <x v="1"/>
    <x v="0"/>
    <x v="1"/>
    <x v="0"/>
    <n v="1"/>
    <n v="3500"/>
    <n v="3500"/>
    <n v="2450"/>
    <n v="1050"/>
    <n v="0.3"/>
  </r>
  <r>
    <s v="ORD0472"/>
    <x v="0"/>
    <x v="2"/>
    <x v="0"/>
    <x v="2"/>
    <x v="1"/>
    <x v="0"/>
    <x v="1"/>
    <x v="2"/>
    <x v="1"/>
    <n v="4"/>
    <n v="300"/>
    <n v="1200"/>
    <n v="768"/>
    <n v="432"/>
    <n v="0.36"/>
  </r>
  <r>
    <s v="ORD0073"/>
    <x v="1"/>
    <x v="3"/>
    <x v="0"/>
    <x v="1"/>
    <x v="0"/>
    <x v="0"/>
    <x v="2"/>
    <x v="2"/>
    <x v="0"/>
    <n v="3"/>
    <n v="300"/>
    <n v="900"/>
    <n v="693"/>
    <n v="207"/>
    <n v="0.23"/>
  </r>
  <r>
    <s v="ORD0092"/>
    <x v="1"/>
    <x v="4"/>
    <x v="0"/>
    <x v="0"/>
    <x v="0"/>
    <x v="0"/>
    <x v="3"/>
    <x v="2"/>
    <x v="0"/>
    <n v="2"/>
    <n v="55000"/>
    <n v="110000"/>
    <n v="74800"/>
    <n v="35200"/>
    <n v="0.32"/>
  </r>
  <r>
    <s v="ORD0336"/>
    <x v="2"/>
    <x v="5"/>
    <x v="0"/>
    <x v="0"/>
    <x v="0"/>
    <x v="1"/>
    <x v="4"/>
    <x v="3"/>
    <x v="0"/>
    <n v="14"/>
    <n v="700"/>
    <n v="9800"/>
    <n v="7056"/>
    <n v="2744"/>
    <n v="0.28000000000000003"/>
  </r>
  <r>
    <s v="ORD0155"/>
    <x v="3"/>
    <x v="6"/>
    <x v="0"/>
    <x v="3"/>
    <x v="1"/>
    <x v="0"/>
    <x v="5"/>
    <x v="2"/>
    <x v="0"/>
    <n v="12"/>
    <n v="150"/>
    <n v="1800"/>
    <n v="1332"/>
    <n v="468"/>
    <n v="0.26"/>
  </r>
  <r>
    <s v="ORD0238"/>
    <x v="4"/>
    <x v="2"/>
    <x v="0"/>
    <x v="4"/>
    <x v="0"/>
    <x v="0"/>
    <x v="0"/>
    <x v="2"/>
    <x v="0"/>
    <n v="1"/>
    <n v="150"/>
    <n v="150"/>
    <n v="97.5"/>
    <n v="52.5"/>
    <n v="0.35"/>
  </r>
  <r>
    <s v="ORD0232"/>
    <x v="5"/>
    <x v="7"/>
    <x v="0"/>
    <x v="5"/>
    <x v="2"/>
    <x v="1"/>
    <x v="1"/>
    <x v="4"/>
    <x v="1"/>
    <n v="7"/>
    <n v="300"/>
    <n v="2100"/>
    <n v="1491"/>
    <n v="609"/>
    <n v="0.28999999999999998"/>
  </r>
  <r>
    <s v="ORD0311"/>
    <x v="5"/>
    <x v="7"/>
    <x v="0"/>
    <x v="6"/>
    <x v="2"/>
    <x v="2"/>
    <x v="6"/>
    <x v="5"/>
    <x v="0"/>
    <n v="8"/>
    <n v="12000"/>
    <n v="96000"/>
    <n v="78720"/>
    <n v="17280"/>
    <n v="0.18"/>
  </r>
  <r>
    <s v="ORD0398"/>
    <x v="6"/>
    <x v="8"/>
    <x v="0"/>
    <x v="7"/>
    <x v="3"/>
    <x v="3"/>
    <x v="0"/>
    <x v="5"/>
    <x v="1"/>
    <n v="14"/>
    <n v="8000"/>
    <n v="112000"/>
    <n v="76160"/>
    <n v="35840"/>
    <n v="0.32"/>
  </r>
  <r>
    <s v="ORD0203"/>
    <x v="7"/>
    <x v="4"/>
    <x v="0"/>
    <x v="1"/>
    <x v="0"/>
    <x v="1"/>
    <x v="4"/>
    <x v="3"/>
    <x v="0"/>
    <n v="8"/>
    <n v="50"/>
    <n v="400"/>
    <n v="248"/>
    <n v="152"/>
    <n v="0.38"/>
  </r>
  <r>
    <s v="ORD0231"/>
    <x v="7"/>
    <x v="4"/>
    <x v="0"/>
    <x v="1"/>
    <x v="0"/>
    <x v="1"/>
    <x v="4"/>
    <x v="2"/>
    <x v="0"/>
    <n v="8"/>
    <n v="25000"/>
    <n v="200000"/>
    <n v="172000"/>
    <n v="28000"/>
    <n v="0.14000000000000001"/>
  </r>
  <r>
    <s v="ORD0537"/>
    <x v="7"/>
    <x v="2"/>
    <x v="0"/>
    <x v="6"/>
    <x v="2"/>
    <x v="1"/>
    <x v="2"/>
    <x v="2"/>
    <x v="1"/>
    <n v="15"/>
    <n v="50"/>
    <n v="750"/>
    <n v="667.5"/>
    <n v="82.5"/>
    <n v="0.11"/>
  </r>
  <r>
    <s v="ORD0306"/>
    <x v="8"/>
    <x v="9"/>
    <x v="0"/>
    <x v="8"/>
    <x v="0"/>
    <x v="1"/>
    <x v="7"/>
    <x v="2"/>
    <x v="0"/>
    <n v="8"/>
    <n v="300"/>
    <n v="2400"/>
    <n v="2136"/>
    <n v="264"/>
    <n v="0.11"/>
  </r>
  <r>
    <s v="ORD0246"/>
    <x v="9"/>
    <x v="10"/>
    <x v="0"/>
    <x v="6"/>
    <x v="2"/>
    <x v="1"/>
    <x v="6"/>
    <x v="5"/>
    <x v="1"/>
    <n v="13"/>
    <n v="1200"/>
    <n v="15600"/>
    <n v="12324"/>
    <n v="3276"/>
    <n v="0.21"/>
  </r>
  <r>
    <s v="ORD0205"/>
    <x v="10"/>
    <x v="9"/>
    <x v="0"/>
    <x v="0"/>
    <x v="0"/>
    <x v="0"/>
    <x v="5"/>
    <x v="2"/>
    <x v="1"/>
    <n v="17"/>
    <n v="50"/>
    <n v="850"/>
    <n v="586.5"/>
    <n v="263.5"/>
    <n v="0.31"/>
  </r>
  <r>
    <s v="ORD0304"/>
    <x v="10"/>
    <x v="5"/>
    <x v="0"/>
    <x v="9"/>
    <x v="2"/>
    <x v="2"/>
    <x v="4"/>
    <x v="0"/>
    <x v="1"/>
    <n v="13"/>
    <n v="15000"/>
    <n v="195000"/>
    <n v="152100"/>
    <n v="42900"/>
    <n v="0.22"/>
  </r>
  <r>
    <s v="ORD0513"/>
    <x v="10"/>
    <x v="2"/>
    <x v="0"/>
    <x v="9"/>
    <x v="2"/>
    <x v="4"/>
    <x v="4"/>
    <x v="4"/>
    <x v="1"/>
    <n v="7"/>
    <n v="25000"/>
    <n v="175000"/>
    <n v="143500"/>
    <n v="31500"/>
    <n v="0.18"/>
  </r>
  <r>
    <s v="ORD0059"/>
    <x v="11"/>
    <x v="6"/>
    <x v="0"/>
    <x v="3"/>
    <x v="1"/>
    <x v="3"/>
    <x v="2"/>
    <x v="0"/>
    <x v="0"/>
    <n v="15"/>
    <n v="25000"/>
    <n v="375000"/>
    <n v="270000"/>
    <n v="105000"/>
    <n v="0.28000000000000003"/>
  </r>
  <r>
    <s v="ORD0449"/>
    <x v="11"/>
    <x v="8"/>
    <x v="0"/>
    <x v="8"/>
    <x v="0"/>
    <x v="4"/>
    <x v="0"/>
    <x v="0"/>
    <x v="1"/>
    <n v="2"/>
    <n v="50"/>
    <n v="100"/>
    <n v="80"/>
    <n v="20"/>
    <n v="0.2"/>
  </r>
  <r>
    <s v="ORD0319"/>
    <x v="12"/>
    <x v="9"/>
    <x v="0"/>
    <x v="10"/>
    <x v="3"/>
    <x v="1"/>
    <x v="3"/>
    <x v="2"/>
    <x v="1"/>
    <n v="2"/>
    <n v="8000"/>
    <n v="16000"/>
    <n v="10240"/>
    <n v="5760"/>
    <n v="0.36"/>
  </r>
  <r>
    <s v="ORD0334"/>
    <x v="12"/>
    <x v="5"/>
    <x v="0"/>
    <x v="2"/>
    <x v="1"/>
    <x v="2"/>
    <x v="2"/>
    <x v="1"/>
    <x v="1"/>
    <n v="11"/>
    <n v="50"/>
    <n v="550"/>
    <n v="357.5"/>
    <n v="192.5"/>
    <n v="0.35"/>
  </r>
  <r>
    <s v="ORD0263"/>
    <x v="13"/>
    <x v="10"/>
    <x v="0"/>
    <x v="6"/>
    <x v="2"/>
    <x v="1"/>
    <x v="6"/>
    <x v="5"/>
    <x v="1"/>
    <n v="3"/>
    <n v="55000"/>
    <n v="165000"/>
    <n v="140250"/>
    <n v="24750"/>
    <n v="0.15"/>
  </r>
  <r>
    <s v="ORD0374"/>
    <x v="14"/>
    <x v="0"/>
    <x v="0"/>
    <x v="11"/>
    <x v="1"/>
    <x v="3"/>
    <x v="5"/>
    <x v="6"/>
    <x v="0"/>
    <n v="12"/>
    <n v="45000"/>
    <n v="540000"/>
    <n v="442800"/>
    <n v="97200"/>
    <n v="0.18"/>
  </r>
  <r>
    <s v="ORD0379"/>
    <x v="14"/>
    <x v="6"/>
    <x v="0"/>
    <x v="7"/>
    <x v="3"/>
    <x v="0"/>
    <x v="6"/>
    <x v="1"/>
    <x v="0"/>
    <n v="6"/>
    <n v="8000"/>
    <n v="48000"/>
    <n v="38400"/>
    <n v="9600"/>
    <n v="0.2"/>
  </r>
  <r>
    <s v="ORD0389"/>
    <x v="14"/>
    <x v="9"/>
    <x v="0"/>
    <x v="1"/>
    <x v="0"/>
    <x v="3"/>
    <x v="5"/>
    <x v="6"/>
    <x v="1"/>
    <n v="4"/>
    <n v="300"/>
    <n v="1200"/>
    <n v="1008"/>
    <n v="192"/>
    <n v="0.16"/>
  </r>
  <r>
    <s v="ORD0519"/>
    <x v="14"/>
    <x v="5"/>
    <x v="0"/>
    <x v="2"/>
    <x v="1"/>
    <x v="0"/>
    <x v="6"/>
    <x v="6"/>
    <x v="0"/>
    <n v="17"/>
    <n v="50"/>
    <n v="850"/>
    <n v="680"/>
    <n v="170"/>
    <n v="0.2"/>
  </r>
  <r>
    <s v="ORD0489"/>
    <x v="15"/>
    <x v="3"/>
    <x v="0"/>
    <x v="3"/>
    <x v="1"/>
    <x v="4"/>
    <x v="2"/>
    <x v="5"/>
    <x v="1"/>
    <n v="13"/>
    <n v="25000"/>
    <n v="325000"/>
    <n v="243750"/>
    <n v="81250"/>
    <n v="0.25"/>
  </r>
  <r>
    <s v="ORD0493"/>
    <x v="16"/>
    <x v="1"/>
    <x v="0"/>
    <x v="1"/>
    <x v="0"/>
    <x v="4"/>
    <x v="7"/>
    <x v="4"/>
    <x v="1"/>
    <n v="20"/>
    <n v="20"/>
    <n v="400"/>
    <n v="276"/>
    <n v="124"/>
    <n v="0.31"/>
  </r>
  <r>
    <s v="ORD0506"/>
    <x v="16"/>
    <x v="6"/>
    <x v="0"/>
    <x v="3"/>
    <x v="1"/>
    <x v="4"/>
    <x v="0"/>
    <x v="5"/>
    <x v="1"/>
    <n v="5"/>
    <n v="7000"/>
    <n v="35000"/>
    <n v="30800"/>
    <n v="4200"/>
    <n v="0.12"/>
  </r>
  <r>
    <s v="ORD0248"/>
    <x v="17"/>
    <x v="6"/>
    <x v="0"/>
    <x v="4"/>
    <x v="0"/>
    <x v="1"/>
    <x v="0"/>
    <x v="0"/>
    <x v="0"/>
    <n v="20"/>
    <n v="50"/>
    <n v="1000"/>
    <n v="610"/>
    <n v="390"/>
    <n v="0.39"/>
  </r>
  <r>
    <s v="ORD0040"/>
    <x v="18"/>
    <x v="1"/>
    <x v="0"/>
    <x v="4"/>
    <x v="0"/>
    <x v="1"/>
    <x v="0"/>
    <x v="3"/>
    <x v="0"/>
    <n v="12"/>
    <n v="25000"/>
    <n v="300000"/>
    <n v="186000"/>
    <n v="114000"/>
    <n v="0.38"/>
  </r>
  <r>
    <s v="ORD0200"/>
    <x v="19"/>
    <x v="5"/>
    <x v="0"/>
    <x v="1"/>
    <x v="0"/>
    <x v="4"/>
    <x v="0"/>
    <x v="2"/>
    <x v="1"/>
    <n v="1"/>
    <n v="4000"/>
    <n v="4000"/>
    <n v="3600"/>
    <n v="400"/>
    <n v="0.1"/>
  </r>
  <r>
    <s v="ORD0018"/>
    <x v="20"/>
    <x v="2"/>
    <x v="0"/>
    <x v="5"/>
    <x v="2"/>
    <x v="2"/>
    <x v="1"/>
    <x v="4"/>
    <x v="1"/>
    <n v="10"/>
    <n v="1200"/>
    <n v="12000"/>
    <n v="7680"/>
    <n v="4320"/>
    <n v="0.36"/>
  </r>
  <r>
    <s v="ORD0080"/>
    <x v="21"/>
    <x v="1"/>
    <x v="0"/>
    <x v="12"/>
    <x v="1"/>
    <x v="1"/>
    <x v="0"/>
    <x v="3"/>
    <x v="1"/>
    <n v="18"/>
    <n v="150"/>
    <n v="2700"/>
    <n v="1971"/>
    <n v="729"/>
    <n v="0.27"/>
  </r>
  <r>
    <s v="ORD0132"/>
    <x v="21"/>
    <x v="3"/>
    <x v="0"/>
    <x v="1"/>
    <x v="0"/>
    <x v="2"/>
    <x v="6"/>
    <x v="1"/>
    <x v="0"/>
    <n v="5"/>
    <n v="300"/>
    <n v="1500"/>
    <n v="1065"/>
    <n v="435"/>
    <n v="0.28999999999999998"/>
  </r>
  <r>
    <s v="ORD0309"/>
    <x v="21"/>
    <x v="0"/>
    <x v="0"/>
    <x v="10"/>
    <x v="3"/>
    <x v="1"/>
    <x v="4"/>
    <x v="0"/>
    <x v="0"/>
    <n v="9"/>
    <n v="12000"/>
    <n v="108000"/>
    <n v="78840"/>
    <n v="29160"/>
    <n v="0.27"/>
  </r>
  <r>
    <s v="ORD0098"/>
    <x v="22"/>
    <x v="2"/>
    <x v="0"/>
    <x v="13"/>
    <x v="3"/>
    <x v="2"/>
    <x v="2"/>
    <x v="0"/>
    <x v="1"/>
    <n v="8"/>
    <n v="1200"/>
    <n v="9600"/>
    <n v="8352"/>
    <n v="1248"/>
    <n v="0.13"/>
  </r>
  <r>
    <s v="ORD0373"/>
    <x v="22"/>
    <x v="3"/>
    <x v="0"/>
    <x v="14"/>
    <x v="3"/>
    <x v="4"/>
    <x v="4"/>
    <x v="1"/>
    <x v="0"/>
    <n v="14"/>
    <n v="700"/>
    <n v="9800"/>
    <n v="6860"/>
    <n v="2940"/>
    <n v="0.3"/>
  </r>
  <r>
    <s v="ORD0172"/>
    <x v="23"/>
    <x v="4"/>
    <x v="0"/>
    <x v="14"/>
    <x v="3"/>
    <x v="0"/>
    <x v="0"/>
    <x v="0"/>
    <x v="1"/>
    <n v="6"/>
    <n v="50"/>
    <n v="300"/>
    <n v="255"/>
    <n v="45"/>
    <n v="0.15"/>
  </r>
  <r>
    <s v="ORD0031"/>
    <x v="24"/>
    <x v="9"/>
    <x v="0"/>
    <x v="3"/>
    <x v="1"/>
    <x v="4"/>
    <x v="2"/>
    <x v="0"/>
    <x v="0"/>
    <n v="8"/>
    <n v="55000"/>
    <n v="440000"/>
    <n v="347600"/>
    <n v="92400"/>
    <n v="0.21"/>
  </r>
  <r>
    <s v="ORD0120"/>
    <x v="24"/>
    <x v="9"/>
    <x v="0"/>
    <x v="14"/>
    <x v="3"/>
    <x v="1"/>
    <x v="1"/>
    <x v="5"/>
    <x v="0"/>
    <n v="9"/>
    <n v="20"/>
    <n v="180"/>
    <n v="131.4"/>
    <n v="48.599999999999994"/>
    <n v="0.26999999999999996"/>
  </r>
  <r>
    <s v="ORD0450"/>
    <x v="24"/>
    <x v="5"/>
    <x v="0"/>
    <x v="1"/>
    <x v="0"/>
    <x v="3"/>
    <x v="7"/>
    <x v="5"/>
    <x v="1"/>
    <n v="9"/>
    <n v="12000"/>
    <n v="108000"/>
    <n v="77760"/>
    <n v="30240"/>
    <n v="0.28000000000000003"/>
  </r>
  <r>
    <s v="ORD0199"/>
    <x v="25"/>
    <x v="3"/>
    <x v="0"/>
    <x v="12"/>
    <x v="1"/>
    <x v="0"/>
    <x v="7"/>
    <x v="6"/>
    <x v="0"/>
    <n v="11"/>
    <n v="55000"/>
    <n v="605000"/>
    <n v="477950"/>
    <n v="127050"/>
    <n v="0.21"/>
  </r>
  <r>
    <s v="ORD0050"/>
    <x v="26"/>
    <x v="10"/>
    <x v="0"/>
    <x v="9"/>
    <x v="2"/>
    <x v="4"/>
    <x v="4"/>
    <x v="0"/>
    <x v="1"/>
    <n v="10"/>
    <n v="7000"/>
    <n v="70000"/>
    <n v="54600"/>
    <n v="15400"/>
    <n v="0.22"/>
  </r>
  <r>
    <s v="ORD0062"/>
    <x v="26"/>
    <x v="3"/>
    <x v="0"/>
    <x v="5"/>
    <x v="2"/>
    <x v="1"/>
    <x v="2"/>
    <x v="1"/>
    <x v="1"/>
    <n v="20"/>
    <n v="7000"/>
    <n v="140000"/>
    <n v="119000"/>
    <n v="21000"/>
    <n v="0.15"/>
  </r>
  <r>
    <s v="ORD0103"/>
    <x v="26"/>
    <x v="7"/>
    <x v="0"/>
    <x v="8"/>
    <x v="0"/>
    <x v="0"/>
    <x v="7"/>
    <x v="5"/>
    <x v="0"/>
    <n v="11"/>
    <n v="50"/>
    <n v="550"/>
    <n v="478.5"/>
    <n v="71.5"/>
    <n v="0.13"/>
  </r>
  <r>
    <s v="ORD0121"/>
    <x v="26"/>
    <x v="0"/>
    <x v="0"/>
    <x v="10"/>
    <x v="3"/>
    <x v="3"/>
    <x v="7"/>
    <x v="0"/>
    <x v="1"/>
    <n v="7"/>
    <n v="3500"/>
    <n v="24500"/>
    <n v="21805"/>
    <n v="2695"/>
    <n v="0.11"/>
  </r>
  <r>
    <s v="ORD0225"/>
    <x v="26"/>
    <x v="1"/>
    <x v="0"/>
    <x v="10"/>
    <x v="3"/>
    <x v="3"/>
    <x v="2"/>
    <x v="0"/>
    <x v="0"/>
    <n v="10"/>
    <n v="1200"/>
    <n v="12000"/>
    <n v="7560"/>
    <n v="4440"/>
    <n v="0.37"/>
  </r>
  <r>
    <s v="ORD0183"/>
    <x v="27"/>
    <x v="2"/>
    <x v="0"/>
    <x v="1"/>
    <x v="0"/>
    <x v="4"/>
    <x v="1"/>
    <x v="6"/>
    <x v="1"/>
    <n v="9"/>
    <n v="300"/>
    <n v="2700"/>
    <n v="2079"/>
    <n v="621"/>
    <n v="0.23"/>
  </r>
  <r>
    <s v="ORD0251"/>
    <x v="27"/>
    <x v="3"/>
    <x v="0"/>
    <x v="9"/>
    <x v="2"/>
    <x v="2"/>
    <x v="4"/>
    <x v="6"/>
    <x v="1"/>
    <n v="16"/>
    <n v="150"/>
    <n v="2400"/>
    <n v="2088"/>
    <n v="312"/>
    <n v="0.13"/>
  </r>
  <r>
    <s v="ORD0008"/>
    <x v="28"/>
    <x v="10"/>
    <x v="0"/>
    <x v="8"/>
    <x v="0"/>
    <x v="1"/>
    <x v="8"/>
    <x v="1"/>
    <x v="0"/>
    <n v="20"/>
    <n v="20"/>
    <n v="400"/>
    <n v="328"/>
    <n v="72"/>
    <n v="0.18"/>
  </r>
  <r>
    <s v="ORD0227"/>
    <x v="29"/>
    <x v="9"/>
    <x v="0"/>
    <x v="10"/>
    <x v="3"/>
    <x v="0"/>
    <x v="9"/>
    <x v="1"/>
    <x v="1"/>
    <n v="14"/>
    <n v="4000"/>
    <n v="56000"/>
    <n v="39760"/>
    <n v="16240"/>
    <n v="0.28999999999999998"/>
  </r>
  <r>
    <s v="ORD0017"/>
    <x v="30"/>
    <x v="1"/>
    <x v="0"/>
    <x v="8"/>
    <x v="0"/>
    <x v="0"/>
    <x v="3"/>
    <x v="4"/>
    <x v="0"/>
    <n v="3"/>
    <n v="15000"/>
    <n v="45000"/>
    <n v="40050"/>
    <n v="4950"/>
    <n v="0.11"/>
  </r>
  <r>
    <s v="ORD0215"/>
    <x v="30"/>
    <x v="10"/>
    <x v="0"/>
    <x v="11"/>
    <x v="1"/>
    <x v="2"/>
    <x v="8"/>
    <x v="4"/>
    <x v="0"/>
    <n v="3"/>
    <n v="45000"/>
    <n v="135000"/>
    <n v="101250"/>
    <n v="33750"/>
    <n v="0.25"/>
  </r>
  <r>
    <s v="ORD0538"/>
    <x v="30"/>
    <x v="8"/>
    <x v="0"/>
    <x v="13"/>
    <x v="3"/>
    <x v="0"/>
    <x v="2"/>
    <x v="4"/>
    <x v="1"/>
    <n v="14"/>
    <n v="55000"/>
    <n v="770000"/>
    <n v="492800"/>
    <n v="277200"/>
    <n v="0.36"/>
  </r>
  <r>
    <s v="ORD0010"/>
    <x v="31"/>
    <x v="7"/>
    <x v="0"/>
    <x v="8"/>
    <x v="0"/>
    <x v="3"/>
    <x v="9"/>
    <x v="1"/>
    <x v="1"/>
    <n v="3"/>
    <n v="25000"/>
    <n v="75000"/>
    <n v="56250"/>
    <n v="18750"/>
    <n v="0.25"/>
  </r>
  <r>
    <s v="ORD0025"/>
    <x v="31"/>
    <x v="2"/>
    <x v="0"/>
    <x v="12"/>
    <x v="1"/>
    <x v="4"/>
    <x v="7"/>
    <x v="1"/>
    <x v="1"/>
    <n v="18"/>
    <n v="3500"/>
    <n v="63000"/>
    <n v="51030"/>
    <n v="11970"/>
    <n v="0.19"/>
  </r>
  <r>
    <s v="ORD0531"/>
    <x v="31"/>
    <x v="7"/>
    <x v="0"/>
    <x v="7"/>
    <x v="3"/>
    <x v="2"/>
    <x v="7"/>
    <x v="5"/>
    <x v="1"/>
    <n v="4"/>
    <n v="20"/>
    <n v="80"/>
    <n v="62.4"/>
    <n v="17.600000000000001"/>
    <n v="0.22000000000000003"/>
  </r>
  <r>
    <s v="ORD0148"/>
    <x v="32"/>
    <x v="1"/>
    <x v="0"/>
    <x v="3"/>
    <x v="1"/>
    <x v="0"/>
    <x v="7"/>
    <x v="5"/>
    <x v="1"/>
    <n v="5"/>
    <n v="150"/>
    <n v="750"/>
    <n v="675"/>
    <n v="75"/>
    <n v="0.1"/>
  </r>
  <r>
    <s v="ORD0296"/>
    <x v="32"/>
    <x v="10"/>
    <x v="0"/>
    <x v="15"/>
    <x v="3"/>
    <x v="2"/>
    <x v="0"/>
    <x v="0"/>
    <x v="1"/>
    <n v="9"/>
    <n v="50"/>
    <n v="450"/>
    <n v="279"/>
    <n v="171"/>
    <n v="0.38"/>
  </r>
  <r>
    <s v="ORD0107"/>
    <x v="33"/>
    <x v="5"/>
    <x v="0"/>
    <x v="13"/>
    <x v="3"/>
    <x v="4"/>
    <x v="0"/>
    <x v="0"/>
    <x v="0"/>
    <n v="13"/>
    <n v="9000"/>
    <n v="117000"/>
    <n v="70200"/>
    <n v="46800"/>
    <n v="0.4"/>
  </r>
  <r>
    <s v="ORD0483"/>
    <x v="33"/>
    <x v="10"/>
    <x v="0"/>
    <x v="13"/>
    <x v="3"/>
    <x v="0"/>
    <x v="1"/>
    <x v="0"/>
    <x v="1"/>
    <n v="20"/>
    <n v="4000"/>
    <n v="80000"/>
    <n v="66400"/>
    <n v="13600"/>
    <n v="0.17"/>
  </r>
  <r>
    <s v="ORD0119"/>
    <x v="34"/>
    <x v="10"/>
    <x v="0"/>
    <x v="2"/>
    <x v="1"/>
    <x v="2"/>
    <x v="4"/>
    <x v="5"/>
    <x v="1"/>
    <n v="2"/>
    <n v="3500"/>
    <n v="7000"/>
    <n v="4340"/>
    <n v="2660"/>
    <n v="0.38"/>
  </r>
  <r>
    <s v="ORD0456"/>
    <x v="35"/>
    <x v="7"/>
    <x v="0"/>
    <x v="2"/>
    <x v="1"/>
    <x v="4"/>
    <x v="3"/>
    <x v="4"/>
    <x v="0"/>
    <n v="12"/>
    <n v="25000"/>
    <n v="300000"/>
    <n v="213000"/>
    <n v="87000"/>
    <n v="0.28999999999999998"/>
  </r>
  <r>
    <s v="ORD0180"/>
    <x v="36"/>
    <x v="10"/>
    <x v="0"/>
    <x v="8"/>
    <x v="0"/>
    <x v="4"/>
    <x v="2"/>
    <x v="0"/>
    <x v="1"/>
    <n v="13"/>
    <n v="50"/>
    <n v="650"/>
    <n v="455"/>
    <n v="195"/>
    <n v="0.3"/>
  </r>
  <r>
    <s v="ORD0509"/>
    <x v="36"/>
    <x v="8"/>
    <x v="0"/>
    <x v="11"/>
    <x v="1"/>
    <x v="2"/>
    <x v="2"/>
    <x v="4"/>
    <x v="1"/>
    <n v="1"/>
    <n v="4000"/>
    <n v="4000"/>
    <n v="3440"/>
    <n v="560"/>
    <n v="0.14000000000000001"/>
  </r>
  <r>
    <s v="ORD0250"/>
    <x v="37"/>
    <x v="2"/>
    <x v="0"/>
    <x v="2"/>
    <x v="1"/>
    <x v="4"/>
    <x v="6"/>
    <x v="0"/>
    <x v="1"/>
    <n v="16"/>
    <n v="3500"/>
    <n v="56000"/>
    <n v="36960"/>
    <n v="19040"/>
    <n v="0.34"/>
  </r>
  <r>
    <s v="ORD0204"/>
    <x v="38"/>
    <x v="0"/>
    <x v="0"/>
    <x v="5"/>
    <x v="2"/>
    <x v="1"/>
    <x v="4"/>
    <x v="3"/>
    <x v="0"/>
    <n v="13"/>
    <n v="20"/>
    <n v="260"/>
    <n v="228.8"/>
    <n v="31.199999999999989"/>
    <n v="0.11999999999999995"/>
  </r>
  <r>
    <s v="ORD0207"/>
    <x v="38"/>
    <x v="4"/>
    <x v="0"/>
    <x v="15"/>
    <x v="3"/>
    <x v="0"/>
    <x v="1"/>
    <x v="2"/>
    <x v="0"/>
    <n v="4"/>
    <n v="25000"/>
    <n v="100000"/>
    <n v="73000"/>
    <n v="27000"/>
    <n v="0.27"/>
  </r>
  <r>
    <s v="ORD0457"/>
    <x v="38"/>
    <x v="11"/>
    <x v="0"/>
    <x v="6"/>
    <x v="2"/>
    <x v="2"/>
    <x v="9"/>
    <x v="0"/>
    <x v="1"/>
    <n v="14"/>
    <n v="4000"/>
    <n v="56000"/>
    <n v="49840"/>
    <n v="6160"/>
    <n v="0.11"/>
  </r>
  <r>
    <s v="ORD0329"/>
    <x v="39"/>
    <x v="4"/>
    <x v="0"/>
    <x v="2"/>
    <x v="1"/>
    <x v="0"/>
    <x v="6"/>
    <x v="0"/>
    <x v="1"/>
    <n v="15"/>
    <n v="150"/>
    <n v="2250"/>
    <n v="1395"/>
    <n v="855"/>
    <n v="0.38"/>
  </r>
  <r>
    <s v="ORD0496"/>
    <x v="39"/>
    <x v="3"/>
    <x v="0"/>
    <x v="13"/>
    <x v="3"/>
    <x v="2"/>
    <x v="2"/>
    <x v="0"/>
    <x v="0"/>
    <n v="9"/>
    <n v="7000"/>
    <n v="63000"/>
    <n v="49140"/>
    <n v="13860"/>
    <n v="0.22"/>
  </r>
  <r>
    <s v="ORD0158"/>
    <x v="40"/>
    <x v="8"/>
    <x v="0"/>
    <x v="12"/>
    <x v="1"/>
    <x v="1"/>
    <x v="3"/>
    <x v="1"/>
    <x v="0"/>
    <n v="10"/>
    <n v="3500"/>
    <n v="35000"/>
    <n v="24850"/>
    <n v="10150"/>
    <n v="0.28999999999999998"/>
  </r>
  <r>
    <s v="ORD0162"/>
    <x v="41"/>
    <x v="3"/>
    <x v="0"/>
    <x v="4"/>
    <x v="0"/>
    <x v="1"/>
    <x v="4"/>
    <x v="4"/>
    <x v="0"/>
    <n v="18"/>
    <n v="12000"/>
    <n v="216000"/>
    <n v="129600"/>
    <n v="86400"/>
    <n v="0.4"/>
  </r>
  <r>
    <s v="ORD0240"/>
    <x v="41"/>
    <x v="10"/>
    <x v="0"/>
    <x v="4"/>
    <x v="0"/>
    <x v="4"/>
    <x v="7"/>
    <x v="6"/>
    <x v="0"/>
    <n v="3"/>
    <n v="45000"/>
    <n v="135000"/>
    <n v="91800"/>
    <n v="43200"/>
    <n v="0.32"/>
  </r>
  <r>
    <s v="ORD0291"/>
    <x v="41"/>
    <x v="10"/>
    <x v="0"/>
    <x v="9"/>
    <x v="2"/>
    <x v="3"/>
    <x v="5"/>
    <x v="0"/>
    <x v="1"/>
    <n v="6"/>
    <n v="12000"/>
    <n v="72000"/>
    <n v="64080"/>
    <n v="7920"/>
    <n v="0.11"/>
  </r>
  <r>
    <s v="ORD0454"/>
    <x v="42"/>
    <x v="4"/>
    <x v="0"/>
    <x v="11"/>
    <x v="1"/>
    <x v="3"/>
    <x v="1"/>
    <x v="6"/>
    <x v="1"/>
    <n v="10"/>
    <n v="3500"/>
    <n v="35000"/>
    <n v="21000"/>
    <n v="14000"/>
    <n v="0.4"/>
  </r>
  <r>
    <s v="ORD0013"/>
    <x v="43"/>
    <x v="8"/>
    <x v="0"/>
    <x v="12"/>
    <x v="1"/>
    <x v="4"/>
    <x v="2"/>
    <x v="2"/>
    <x v="1"/>
    <n v="9"/>
    <n v="8000"/>
    <n v="72000"/>
    <n v="62640"/>
    <n v="9360"/>
    <n v="0.13"/>
  </r>
  <r>
    <s v="ORD0090"/>
    <x v="43"/>
    <x v="9"/>
    <x v="0"/>
    <x v="0"/>
    <x v="0"/>
    <x v="0"/>
    <x v="2"/>
    <x v="0"/>
    <x v="1"/>
    <n v="1"/>
    <n v="4000"/>
    <n v="4000"/>
    <n v="2600"/>
    <n v="1400"/>
    <n v="0.35"/>
  </r>
  <r>
    <s v="ORD0353"/>
    <x v="44"/>
    <x v="2"/>
    <x v="0"/>
    <x v="9"/>
    <x v="2"/>
    <x v="1"/>
    <x v="3"/>
    <x v="1"/>
    <x v="0"/>
    <n v="11"/>
    <n v="55000"/>
    <n v="605000"/>
    <n v="496100"/>
    <n v="108900"/>
    <n v="0.18"/>
  </r>
  <r>
    <s v="ORD0009"/>
    <x v="45"/>
    <x v="0"/>
    <x v="0"/>
    <x v="3"/>
    <x v="1"/>
    <x v="1"/>
    <x v="8"/>
    <x v="3"/>
    <x v="0"/>
    <n v="12"/>
    <n v="8000"/>
    <n v="96000"/>
    <n v="62400"/>
    <n v="33600"/>
    <n v="0.35"/>
  </r>
  <r>
    <s v="ORD0117"/>
    <x v="46"/>
    <x v="11"/>
    <x v="0"/>
    <x v="10"/>
    <x v="3"/>
    <x v="1"/>
    <x v="0"/>
    <x v="2"/>
    <x v="1"/>
    <n v="18"/>
    <n v="50"/>
    <n v="900"/>
    <n v="711"/>
    <n v="189"/>
    <n v="0.21"/>
  </r>
  <r>
    <s v="ORD0220"/>
    <x v="46"/>
    <x v="1"/>
    <x v="0"/>
    <x v="2"/>
    <x v="1"/>
    <x v="0"/>
    <x v="5"/>
    <x v="3"/>
    <x v="1"/>
    <n v="19"/>
    <n v="12000"/>
    <n v="228000"/>
    <n v="173280"/>
    <n v="54720"/>
    <n v="0.24"/>
  </r>
  <r>
    <s v="ORD0491"/>
    <x v="46"/>
    <x v="11"/>
    <x v="0"/>
    <x v="2"/>
    <x v="1"/>
    <x v="4"/>
    <x v="1"/>
    <x v="0"/>
    <x v="0"/>
    <n v="8"/>
    <n v="20"/>
    <n v="160"/>
    <n v="132.80000000000001"/>
    <n v="27.199999999999989"/>
    <n v="0.16999999999999993"/>
  </r>
  <r>
    <s v="ORD0039"/>
    <x v="47"/>
    <x v="2"/>
    <x v="0"/>
    <x v="10"/>
    <x v="3"/>
    <x v="3"/>
    <x v="8"/>
    <x v="0"/>
    <x v="1"/>
    <n v="7"/>
    <n v="20"/>
    <n v="140"/>
    <n v="96.6"/>
    <n v="43.400000000000006"/>
    <n v="0.31000000000000005"/>
  </r>
  <r>
    <s v="ORD0277"/>
    <x v="47"/>
    <x v="1"/>
    <x v="0"/>
    <x v="3"/>
    <x v="1"/>
    <x v="4"/>
    <x v="1"/>
    <x v="0"/>
    <x v="0"/>
    <n v="20"/>
    <n v="150"/>
    <n v="3000"/>
    <n v="2520"/>
    <n v="480"/>
    <n v="0.16"/>
  </r>
  <r>
    <s v="ORD0368"/>
    <x v="47"/>
    <x v="9"/>
    <x v="0"/>
    <x v="13"/>
    <x v="3"/>
    <x v="4"/>
    <x v="8"/>
    <x v="0"/>
    <x v="0"/>
    <n v="8"/>
    <n v="8000"/>
    <n v="64000"/>
    <n v="40960"/>
    <n v="23040"/>
    <n v="0.36"/>
  </r>
  <r>
    <s v="ORD0348"/>
    <x v="48"/>
    <x v="0"/>
    <x v="0"/>
    <x v="12"/>
    <x v="1"/>
    <x v="2"/>
    <x v="2"/>
    <x v="1"/>
    <x v="0"/>
    <n v="8"/>
    <n v="50"/>
    <n v="400"/>
    <n v="264"/>
    <n v="136"/>
    <n v="0.34"/>
  </r>
  <r>
    <s v="ORD0181"/>
    <x v="49"/>
    <x v="10"/>
    <x v="0"/>
    <x v="0"/>
    <x v="0"/>
    <x v="3"/>
    <x v="1"/>
    <x v="1"/>
    <x v="1"/>
    <n v="9"/>
    <n v="150"/>
    <n v="1350"/>
    <n v="958.5"/>
    <n v="391.5"/>
    <n v="0.28999999999999998"/>
  </r>
  <r>
    <s v="ORD0201"/>
    <x v="49"/>
    <x v="3"/>
    <x v="0"/>
    <x v="9"/>
    <x v="2"/>
    <x v="3"/>
    <x v="4"/>
    <x v="0"/>
    <x v="1"/>
    <n v="2"/>
    <n v="9000"/>
    <n v="18000"/>
    <n v="10980"/>
    <n v="7020"/>
    <n v="0.39"/>
  </r>
  <r>
    <s v="ORD0216"/>
    <x v="49"/>
    <x v="10"/>
    <x v="0"/>
    <x v="3"/>
    <x v="1"/>
    <x v="1"/>
    <x v="0"/>
    <x v="4"/>
    <x v="0"/>
    <n v="6"/>
    <n v="1200"/>
    <n v="7200"/>
    <n v="5328"/>
    <n v="1872"/>
    <n v="0.26"/>
  </r>
  <r>
    <s v="ORD0315"/>
    <x v="49"/>
    <x v="11"/>
    <x v="0"/>
    <x v="3"/>
    <x v="1"/>
    <x v="3"/>
    <x v="7"/>
    <x v="3"/>
    <x v="1"/>
    <n v="9"/>
    <n v="1200"/>
    <n v="10800"/>
    <n v="9504"/>
    <n v="1296"/>
    <n v="0.12"/>
  </r>
  <r>
    <s v="ORD0356"/>
    <x v="49"/>
    <x v="9"/>
    <x v="0"/>
    <x v="12"/>
    <x v="1"/>
    <x v="1"/>
    <x v="6"/>
    <x v="2"/>
    <x v="1"/>
    <n v="18"/>
    <n v="55000"/>
    <n v="990000"/>
    <n v="811800"/>
    <n v="178200"/>
    <n v="0.18"/>
  </r>
  <r>
    <s v="ORD0104"/>
    <x v="50"/>
    <x v="2"/>
    <x v="0"/>
    <x v="3"/>
    <x v="1"/>
    <x v="4"/>
    <x v="0"/>
    <x v="0"/>
    <x v="0"/>
    <n v="9"/>
    <n v="3500"/>
    <n v="31500"/>
    <n v="26460"/>
    <n v="5040"/>
    <n v="0.16"/>
  </r>
  <r>
    <s v="ORD0127"/>
    <x v="50"/>
    <x v="9"/>
    <x v="0"/>
    <x v="5"/>
    <x v="2"/>
    <x v="4"/>
    <x v="4"/>
    <x v="4"/>
    <x v="1"/>
    <n v="12"/>
    <n v="20"/>
    <n v="240"/>
    <n v="192"/>
    <n v="48"/>
    <n v="0.2"/>
  </r>
  <r>
    <s v="ORD0128"/>
    <x v="50"/>
    <x v="3"/>
    <x v="0"/>
    <x v="3"/>
    <x v="1"/>
    <x v="0"/>
    <x v="6"/>
    <x v="0"/>
    <x v="1"/>
    <n v="19"/>
    <n v="55000"/>
    <n v="1045000"/>
    <n v="836000"/>
    <n v="209000"/>
    <n v="0.2"/>
  </r>
  <r>
    <s v="ORD0377"/>
    <x v="51"/>
    <x v="10"/>
    <x v="0"/>
    <x v="1"/>
    <x v="0"/>
    <x v="4"/>
    <x v="3"/>
    <x v="0"/>
    <x v="1"/>
    <n v="9"/>
    <n v="300"/>
    <n v="2700"/>
    <n v="2133"/>
    <n v="567"/>
    <n v="0.21"/>
  </r>
  <r>
    <s v="ORD0276"/>
    <x v="52"/>
    <x v="11"/>
    <x v="0"/>
    <x v="6"/>
    <x v="2"/>
    <x v="2"/>
    <x v="5"/>
    <x v="0"/>
    <x v="0"/>
    <n v="18"/>
    <n v="300"/>
    <n v="5400"/>
    <n v="4050"/>
    <n v="1350"/>
    <n v="0.25"/>
  </r>
  <r>
    <s v="ORD0302"/>
    <x v="52"/>
    <x v="6"/>
    <x v="0"/>
    <x v="15"/>
    <x v="3"/>
    <x v="1"/>
    <x v="6"/>
    <x v="1"/>
    <x v="0"/>
    <n v="15"/>
    <n v="20"/>
    <n v="300"/>
    <n v="204"/>
    <n v="96"/>
    <n v="0.32"/>
  </r>
  <r>
    <s v="ORD0339"/>
    <x v="52"/>
    <x v="3"/>
    <x v="0"/>
    <x v="13"/>
    <x v="3"/>
    <x v="0"/>
    <x v="9"/>
    <x v="2"/>
    <x v="0"/>
    <n v="17"/>
    <n v="12000"/>
    <n v="204000"/>
    <n v="183600"/>
    <n v="20400"/>
    <n v="0.1"/>
  </r>
  <r>
    <s v="ORD0006"/>
    <x v="53"/>
    <x v="8"/>
    <x v="0"/>
    <x v="15"/>
    <x v="3"/>
    <x v="1"/>
    <x v="5"/>
    <x v="0"/>
    <x v="1"/>
    <n v="9"/>
    <n v="1200"/>
    <n v="10800"/>
    <n v="6480"/>
    <n v="4320"/>
    <n v="0.4"/>
  </r>
  <r>
    <s v="ORD0135"/>
    <x v="54"/>
    <x v="10"/>
    <x v="0"/>
    <x v="8"/>
    <x v="0"/>
    <x v="2"/>
    <x v="0"/>
    <x v="3"/>
    <x v="0"/>
    <n v="2"/>
    <n v="9000"/>
    <n v="18000"/>
    <n v="11340"/>
    <n v="6660"/>
    <n v="0.37"/>
  </r>
  <r>
    <s v="ORD0262"/>
    <x v="54"/>
    <x v="11"/>
    <x v="0"/>
    <x v="14"/>
    <x v="3"/>
    <x v="2"/>
    <x v="8"/>
    <x v="0"/>
    <x v="1"/>
    <n v="1"/>
    <n v="55000"/>
    <n v="55000"/>
    <n v="36850"/>
    <n v="18150"/>
    <n v="0.33"/>
  </r>
  <r>
    <s v="ORD0333"/>
    <x v="54"/>
    <x v="3"/>
    <x v="0"/>
    <x v="9"/>
    <x v="2"/>
    <x v="0"/>
    <x v="2"/>
    <x v="1"/>
    <x v="1"/>
    <n v="5"/>
    <n v="150"/>
    <n v="750"/>
    <n v="600"/>
    <n v="150"/>
    <n v="0.2"/>
  </r>
  <r>
    <s v="ORD0460"/>
    <x v="54"/>
    <x v="1"/>
    <x v="0"/>
    <x v="6"/>
    <x v="2"/>
    <x v="1"/>
    <x v="5"/>
    <x v="0"/>
    <x v="1"/>
    <n v="3"/>
    <n v="700"/>
    <n v="2100"/>
    <n v="1344"/>
    <n v="756"/>
    <n v="0.36"/>
  </r>
  <r>
    <s v="ORD0131"/>
    <x v="55"/>
    <x v="7"/>
    <x v="0"/>
    <x v="15"/>
    <x v="3"/>
    <x v="3"/>
    <x v="3"/>
    <x v="1"/>
    <x v="0"/>
    <n v="1"/>
    <n v="12000"/>
    <n v="12000"/>
    <n v="10320"/>
    <n v="1680"/>
    <n v="0.14000000000000001"/>
  </r>
  <r>
    <s v="ORD0534"/>
    <x v="56"/>
    <x v="1"/>
    <x v="0"/>
    <x v="10"/>
    <x v="3"/>
    <x v="2"/>
    <x v="1"/>
    <x v="6"/>
    <x v="0"/>
    <n v="1"/>
    <n v="15000"/>
    <n v="15000"/>
    <n v="13500"/>
    <n v="1500"/>
    <n v="0.1"/>
  </r>
  <r>
    <s v="ORD0473"/>
    <x v="57"/>
    <x v="0"/>
    <x v="0"/>
    <x v="11"/>
    <x v="1"/>
    <x v="2"/>
    <x v="2"/>
    <x v="4"/>
    <x v="1"/>
    <n v="8"/>
    <n v="15000"/>
    <n v="120000"/>
    <n v="108000"/>
    <n v="12000"/>
    <n v="0.1"/>
  </r>
  <r>
    <s v="ORD0189"/>
    <x v="58"/>
    <x v="8"/>
    <x v="0"/>
    <x v="3"/>
    <x v="1"/>
    <x v="2"/>
    <x v="2"/>
    <x v="2"/>
    <x v="0"/>
    <n v="14"/>
    <n v="12000"/>
    <n v="168000"/>
    <n v="126000"/>
    <n v="42000"/>
    <n v="0.25"/>
  </r>
  <r>
    <s v="ORD0316"/>
    <x v="58"/>
    <x v="9"/>
    <x v="0"/>
    <x v="6"/>
    <x v="2"/>
    <x v="0"/>
    <x v="4"/>
    <x v="0"/>
    <x v="0"/>
    <n v="11"/>
    <n v="8000"/>
    <n v="88000"/>
    <n v="62480"/>
    <n v="25520"/>
    <n v="0.28999999999999998"/>
  </r>
  <r>
    <s v="ORD0369"/>
    <x v="58"/>
    <x v="2"/>
    <x v="0"/>
    <x v="13"/>
    <x v="3"/>
    <x v="0"/>
    <x v="0"/>
    <x v="3"/>
    <x v="0"/>
    <n v="3"/>
    <n v="20"/>
    <n v="60"/>
    <n v="36.6"/>
    <n v="23.4"/>
    <n v="0.38999999999999996"/>
  </r>
  <r>
    <s v="ORD0086"/>
    <x v="59"/>
    <x v="11"/>
    <x v="0"/>
    <x v="3"/>
    <x v="1"/>
    <x v="0"/>
    <x v="3"/>
    <x v="6"/>
    <x v="0"/>
    <n v="1"/>
    <n v="150"/>
    <n v="150"/>
    <n v="132"/>
    <n v="18"/>
    <n v="0.12"/>
  </r>
  <r>
    <s v="ORD0394"/>
    <x v="59"/>
    <x v="8"/>
    <x v="0"/>
    <x v="12"/>
    <x v="1"/>
    <x v="1"/>
    <x v="4"/>
    <x v="1"/>
    <x v="0"/>
    <n v="1"/>
    <n v="9000"/>
    <n v="9000"/>
    <n v="7110"/>
    <n v="1890"/>
    <n v="0.21"/>
  </r>
  <r>
    <s v="ORD0458"/>
    <x v="59"/>
    <x v="2"/>
    <x v="0"/>
    <x v="10"/>
    <x v="3"/>
    <x v="2"/>
    <x v="6"/>
    <x v="1"/>
    <x v="0"/>
    <n v="1"/>
    <n v="20"/>
    <n v="20"/>
    <n v="15.6"/>
    <n v="4.4000000000000004"/>
    <n v="0.22000000000000003"/>
  </r>
  <r>
    <s v="ORD0478"/>
    <x v="60"/>
    <x v="10"/>
    <x v="0"/>
    <x v="9"/>
    <x v="2"/>
    <x v="2"/>
    <x v="5"/>
    <x v="3"/>
    <x v="1"/>
    <n v="9"/>
    <n v="700"/>
    <n v="6300"/>
    <n v="5103"/>
    <n v="1197"/>
    <n v="0.19"/>
  </r>
  <r>
    <s v="ORD0385"/>
    <x v="61"/>
    <x v="7"/>
    <x v="0"/>
    <x v="6"/>
    <x v="2"/>
    <x v="1"/>
    <x v="6"/>
    <x v="6"/>
    <x v="1"/>
    <n v="5"/>
    <n v="20"/>
    <n v="100"/>
    <n v="90"/>
    <n v="10"/>
    <n v="0.1"/>
  </r>
  <r>
    <s v="ORD0258"/>
    <x v="62"/>
    <x v="4"/>
    <x v="0"/>
    <x v="5"/>
    <x v="2"/>
    <x v="3"/>
    <x v="4"/>
    <x v="5"/>
    <x v="0"/>
    <n v="12"/>
    <n v="8000"/>
    <n v="96000"/>
    <n v="74880"/>
    <n v="21120"/>
    <n v="0.22"/>
  </r>
  <r>
    <s v="ORD0324"/>
    <x v="63"/>
    <x v="7"/>
    <x v="0"/>
    <x v="9"/>
    <x v="2"/>
    <x v="1"/>
    <x v="8"/>
    <x v="6"/>
    <x v="1"/>
    <n v="14"/>
    <n v="700"/>
    <n v="9800"/>
    <n v="6076"/>
    <n v="3724"/>
    <n v="0.38"/>
  </r>
  <r>
    <s v="ORD0191"/>
    <x v="64"/>
    <x v="6"/>
    <x v="0"/>
    <x v="11"/>
    <x v="1"/>
    <x v="3"/>
    <x v="2"/>
    <x v="0"/>
    <x v="0"/>
    <n v="6"/>
    <n v="50"/>
    <n v="300"/>
    <n v="183"/>
    <n v="117"/>
    <n v="0.39"/>
  </r>
  <r>
    <s v="ORD0294"/>
    <x v="64"/>
    <x v="4"/>
    <x v="0"/>
    <x v="10"/>
    <x v="3"/>
    <x v="1"/>
    <x v="8"/>
    <x v="6"/>
    <x v="0"/>
    <n v="18"/>
    <n v="300"/>
    <n v="5400"/>
    <n v="3888"/>
    <n v="1512"/>
    <n v="0.28000000000000003"/>
  </r>
  <r>
    <s v="ORD0295"/>
    <x v="64"/>
    <x v="7"/>
    <x v="0"/>
    <x v="4"/>
    <x v="0"/>
    <x v="3"/>
    <x v="0"/>
    <x v="0"/>
    <x v="0"/>
    <n v="18"/>
    <n v="12000"/>
    <n v="216000"/>
    <n v="170640"/>
    <n v="45360"/>
    <n v="0.21"/>
  </r>
  <r>
    <s v="ORD0530"/>
    <x v="64"/>
    <x v="10"/>
    <x v="0"/>
    <x v="6"/>
    <x v="2"/>
    <x v="1"/>
    <x v="5"/>
    <x v="5"/>
    <x v="1"/>
    <n v="2"/>
    <n v="45000"/>
    <n v="90000"/>
    <n v="56700"/>
    <n v="33300"/>
    <n v="0.37"/>
  </r>
  <r>
    <s v="ORD0048"/>
    <x v="65"/>
    <x v="10"/>
    <x v="0"/>
    <x v="0"/>
    <x v="0"/>
    <x v="4"/>
    <x v="5"/>
    <x v="1"/>
    <x v="1"/>
    <n v="10"/>
    <n v="15000"/>
    <n v="150000"/>
    <n v="108000"/>
    <n v="42000"/>
    <n v="0.28000000000000003"/>
  </r>
  <r>
    <s v="ORD0242"/>
    <x v="65"/>
    <x v="10"/>
    <x v="0"/>
    <x v="13"/>
    <x v="3"/>
    <x v="0"/>
    <x v="9"/>
    <x v="2"/>
    <x v="0"/>
    <n v="8"/>
    <n v="12000"/>
    <n v="96000"/>
    <n v="79680"/>
    <n v="16320"/>
    <n v="0.17"/>
  </r>
  <r>
    <s v="ORD0285"/>
    <x v="66"/>
    <x v="4"/>
    <x v="0"/>
    <x v="14"/>
    <x v="3"/>
    <x v="0"/>
    <x v="3"/>
    <x v="1"/>
    <x v="0"/>
    <n v="4"/>
    <n v="45000"/>
    <n v="180000"/>
    <n v="113400"/>
    <n v="66600"/>
    <n v="0.37"/>
  </r>
  <r>
    <s v="ORD0443"/>
    <x v="66"/>
    <x v="9"/>
    <x v="0"/>
    <x v="9"/>
    <x v="2"/>
    <x v="3"/>
    <x v="3"/>
    <x v="3"/>
    <x v="1"/>
    <n v="4"/>
    <n v="55000"/>
    <n v="220000"/>
    <n v="176000"/>
    <n v="44000"/>
    <n v="0.2"/>
  </r>
  <r>
    <s v="ORD0441"/>
    <x v="67"/>
    <x v="6"/>
    <x v="0"/>
    <x v="13"/>
    <x v="3"/>
    <x v="2"/>
    <x v="9"/>
    <x v="0"/>
    <x v="1"/>
    <n v="7"/>
    <n v="300"/>
    <n v="2100"/>
    <n v="1701"/>
    <n v="399"/>
    <n v="0.19"/>
  </r>
  <r>
    <s v="ORD0424"/>
    <x v="68"/>
    <x v="4"/>
    <x v="0"/>
    <x v="15"/>
    <x v="3"/>
    <x v="1"/>
    <x v="5"/>
    <x v="2"/>
    <x v="1"/>
    <n v="11"/>
    <n v="700"/>
    <n v="7700"/>
    <n v="5082"/>
    <n v="2618"/>
    <n v="0.34"/>
  </r>
  <r>
    <s v="ORD0016"/>
    <x v="69"/>
    <x v="4"/>
    <x v="0"/>
    <x v="1"/>
    <x v="0"/>
    <x v="0"/>
    <x v="8"/>
    <x v="4"/>
    <x v="0"/>
    <n v="16"/>
    <n v="3500"/>
    <n v="56000"/>
    <n v="48720"/>
    <n v="7280"/>
    <n v="0.13"/>
  </r>
  <r>
    <s v="ORD0298"/>
    <x v="69"/>
    <x v="6"/>
    <x v="0"/>
    <x v="5"/>
    <x v="2"/>
    <x v="1"/>
    <x v="1"/>
    <x v="1"/>
    <x v="0"/>
    <n v="2"/>
    <n v="700"/>
    <n v="1400"/>
    <n v="1120"/>
    <n v="280"/>
    <n v="0.2"/>
  </r>
  <r>
    <s v="ORD0411"/>
    <x v="69"/>
    <x v="0"/>
    <x v="0"/>
    <x v="14"/>
    <x v="3"/>
    <x v="2"/>
    <x v="9"/>
    <x v="6"/>
    <x v="0"/>
    <n v="1"/>
    <n v="700"/>
    <n v="700"/>
    <n v="581"/>
    <n v="119"/>
    <n v="0.17"/>
  </r>
  <r>
    <s v="ORD0164"/>
    <x v="70"/>
    <x v="1"/>
    <x v="0"/>
    <x v="2"/>
    <x v="1"/>
    <x v="2"/>
    <x v="0"/>
    <x v="5"/>
    <x v="0"/>
    <n v="20"/>
    <n v="55000"/>
    <n v="1100000"/>
    <n v="704000"/>
    <n v="396000"/>
    <n v="0.36"/>
  </r>
  <r>
    <s v="ORD0244"/>
    <x v="70"/>
    <x v="9"/>
    <x v="0"/>
    <x v="7"/>
    <x v="3"/>
    <x v="4"/>
    <x v="7"/>
    <x v="6"/>
    <x v="0"/>
    <n v="7"/>
    <n v="20"/>
    <n v="140"/>
    <n v="85.4"/>
    <n v="54.599999999999994"/>
    <n v="0.38999999999999996"/>
  </r>
  <r>
    <s v="ORD0023"/>
    <x v="71"/>
    <x v="0"/>
    <x v="0"/>
    <x v="4"/>
    <x v="0"/>
    <x v="4"/>
    <x v="8"/>
    <x v="2"/>
    <x v="0"/>
    <n v="9"/>
    <n v="1200"/>
    <n v="10800"/>
    <n v="9612"/>
    <n v="1188"/>
    <n v="0.11"/>
  </r>
  <r>
    <s v="ORD0106"/>
    <x v="71"/>
    <x v="3"/>
    <x v="0"/>
    <x v="7"/>
    <x v="3"/>
    <x v="0"/>
    <x v="5"/>
    <x v="5"/>
    <x v="1"/>
    <n v="14"/>
    <n v="300"/>
    <n v="4200"/>
    <n v="3612"/>
    <n v="588"/>
    <n v="0.14000000000000001"/>
  </r>
  <r>
    <s v="ORD0133"/>
    <x v="72"/>
    <x v="7"/>
    <x v="0"/>
    <x v="2"/>
    <x v="1"/>
    <x v="3"/>
    <x v="3"/>
    <x v="0"/>
    <x v="0"/>
    <n v="4"/>
    <n v="9000"/>
    <n v="36000"/>
    <n v="32400"/>
    <n v="3600"/>
    <n v="0.1"/>
  </r>
  <r>
    <s v="ORD0114"/>
    <x v="73"/>
    <x v="8"/>
    <x v="0"/>
    <x v="8"/>
    <x v="0"/>
    <x v="4"/>
    <x v="7"/>
    <x v="1"/>
    <x v="0"/>
    <n v="11"/>
    <n v="15000"/>
    <n v="165000"/>
    <n v="141900"/>
    <n v="23100"/>
    <n v="0.14000000000000001"/>
  </r>
  <r>
    <s v="ORD0370"/>
    <x v="73"/>
    <x v="11"/>
    <x v="0"/>
    <x v="3"/>
    <x v="1"/>
    <x v="2"/>
    <x v="0"/>
    <x v="4"/>
    <x v="1"/>
    <n v="19"/>
    <n v="300"/>
    <n v="5700"/>
    <n v="3648"/>
    <n v="2052"/>
    <n v="0.36"/>
  </r>
  <r>
    <s v="ORD0499"/>
    <x v="73"/>
    <x v="9"/>
    <x v="0"/>
    <x v="12"/>
    <x v="1"/>
    <x v="3"/>
    <x v="9"/>
    <x v="6"/>
    <x v="0"/>
    <n v="2"/>
    <n v="8000"/>
    <n v="16000"/>
    <n v="12480"/>
    <n v="3520"/>
    <n v="0.22"/>
  </r>
  <r>
    <s v="ORD0249"/>
    <x v="74"/>
    <x v="5"/>
    <x v="0"/>
    <x v="6"/>
    <x v="2"/>
    <x v="0"/>
    <x v="3"/>
    <x v="5"/>
    <x v="1"/>
    <n v="13"/>
    <n v="20"/>
    <n v="260"/>
    <n v="166.4"/>
    <n v="93.6"/>
    <n v="0.36"/>
  </r>
  <r>
    <s v="ORD0021"/>
    <x v="75"/>
    <x v="9"/>
    <x v="0"/>
    <x v="5"/>
    <x v="2"/>
    <x v="3"/>
    <x v="4"/>
    <x v="2"/>
    <x v="0"/>
    <n v="15"/>
    <n v="15000"/>
    <n v="225000"/>
    <n v="189000"/>
    <n v="36000"/>
    <n v="0.16"/>
  </r>
  <r>
    <s v="ORD0174"/>
    <x v="75"/>
    <x v="8"/>
    <x v="0"/>
    <x v="2"/>
    <x v="1"/>
    <x v="2"/>
    <x v="9"/>
    <x v="1"/>
    <x v="0"/>
    <n v="16"/>
    <n v="25000"/>
    <n v="400000"/>
    <n v="336000"/>
    <n v="64000"/>
    <n v="0.16"/>
  </r>
  <r>
    <s v="ORD0390"/>
    <x v="75"/>
    <x v="5"/>
    <x v="0"/>
    <x v="9"/>
    <x v="2"/>
    <x v="3"/>
    <x v="7"/>
    <x v="0"/>
    <x v="1"/>
    <n v="7"/>
    <n v="9000"/>
    <n v="63000"/>
    <n v="46620"/>
    <n v="16380"/>
    <n v="0.26"/>
  </r>
  <r>
    <s v="ORD0410"/>
    <x v="75"/>
    <x v="10"/>
    <x v="0"/>
    <x v="14"/>
    <x v="3"/>
    <x v="0"/>
    <x v="9"/>
    <x v="5"/>
    <x v="1"/>
    <n v="7"/>
    <n v="700"/>
    <n v="4900"/>
    <n v="4214"/>
    <n v="686"/>
    <n v="0.14000000000000001"/>
  </r>
  <r>
    <s v="ORD0407"/>
    <x v="76"/>
    <x v="1"/>
    <x v="0"/>
    <x v="9"/>
    <x v="2"/>
    <x v="2"/>
    <x v="5"/>
    <x v="0"/>
    <x v="1"/>
    <n v="12"/>
    <n v="25000"/>
    <n v="300000"/>
    <n v="204000"/>
    <n v="96000"/>
    <n v="0.32"/>
  </r>
  <r>
    <s v="ORD0253"/>
    <x v="77"/>
    <x v="6"/>
    <x v="0"/>
    <x v="12"/>
    <x v="1"/>
    <x v="4"/>
    <x v="5"/>
    <x v="0"/>
    <x v="1"/>
    <n v="19"/>
    <n v="7000"/>
    <n v="133000"/>
    <n v="86450"/>
    <n v="46550"/>
    <n v="0.35"/>
  </r>
  <r>
    <s v="ORD0527"/>
    <x v="77"/>
    <x v="11"/>
    <x v="0"/>
    <x v="12"/>
    <x v="1"/>
    <x v="2"/>
    <x v="1"/>
    <x v="4"/>
    <x v="1"/>
    <n v="1"/>
    <n v="15000"/>
    <n v="15000"/>
    <n v="12600"/>
    <n v="2400"/>
    <n v="0.16"/>
  </r>
  <r>
    <s v="ORD0228"/>
    <x v="78"/>
    <x v="0"/>
    <x v="0"/>
    <x v="13"/>
    <x v="3"/>
    <x v="2"/>
    <x v="4"/>
    <x v="3"/>
    <x v="1"/>
    <n v="19"/>
    <n v="20"/>
    <n v="380"/>
    <n v="235.6"/>
    <n v="144.4"/>
    <n v="0.38"/>
  </r>
  <r>
    <s v="ORD0134"/>
    <x v="79"/>
    <x v="5"/>
    <x v="0"/>
    <x v="9"/>
    <x v="2"/>
    <x v="3"/>
    <x v="2"/>
    <x v="3"/>
    <x v="0"/>
    <n v="9"/>
    <n v="150"/>
    <n v="1350"/>
    <n v="810"/>
    <n v="540"/>
    <n v="0.4"/>
  </r>
  <r>
    <s v="ORD0268"/>
    <x v="79"/>
    <x v="6"/>
    <x v="0"/>
    <x v="4"/>
    <x v="0"/>
    <x v="3"/>
    <x v="3"/>
    <x v="5"/>
    <x v="1"/>
    <n v="8"/>
    <n v="45000"/>
    <n v="360000"/>
    <n v="306000"/>
    <n v="54000"/>
    <n v="0.15"/>
  </r>
  <r>
    <s v="ORD0305"/>
    <x v="80"/>
    <x v="7"/>
    <x v="0"/>
    <x v="10"/>
    <x v="3"/>
    <x v="0"/>
    <x v="3"/>
    <x v="4"/>
    <x v="1"/>
    <n v="9"/>
    <n v="4000"/>
    <n v="36000"/>
    <n v="30240"/>
    <n v="5760"/>
    <n v="0.16"/>
  </r>
  <r>
    <s v="ORD0110"/>
    <x v="81"/>
    <x v="1"/>
    <x v="0"/>
    <x v="4"/>
    <x v="0"/>
    <x v="4"/>
    <x v="8"/>
    <x v="3"/>
    <x v="0"/>
    <n v="18"/>
    <n v="8000"/>
    <n v="144000"/>
    <n v="113760"/>
    <n v="30240"/>
    <n v="0.21"/>
  </r>
  <r>
    <s v="ORD0480"/>
    <x v="81"/>
    <x v="9"/>
    <x v="0"/>
    <x v="12"/>
    <x v="1"/>
    <x v="3"/>
    <x v="0"/>
    <x v="4"/>
    <x v="0"/>
    <n v="12"/>
    <n v="150"/>
    <n v="1800"/>
    <n v="1206"/>
    <n v="594"/>
    <n v="0.33"/>
  </r>
  <r>
    <s v="ORD0022"/>
    <x v="82"/>
    <x v="2"/>
    <x v="0"/>
    <x v="1"/>
    <x v="0"/>
    <x v="1"/>
    <x v="7"/>
    <x v="5"/>
    <x v="1"/>
    <n v="11"/>
    <n v="4000"/>
    <n v="44000"/>
    <n v="32560"/>
    <n v="11440"/>
    <n v="0.26"/>
  </r>
  <r>
    <s v="ORD0463"/>
    <x v="82"/>
    <x v="4"/>
    <x v="0"/>
    <x v="2"/>
    <x v="1"/>
    <x v="4"/>
    <x v="1"/>
    <x v="0"/>
    <x v="0"/>
    <n v="2"/>
    <n v="12000"/>
    <n v="24000"/>
    <n v="21120"/>
    <n v="2880"/>
    <n v="0.12"/>
  </r>
  <r>
    <s v="ORD0486"/>
    <x v="82"/>
    <x v="4"/>
    <x v="0"/>
    <x v="3"/>
    <x v="1"/>
    <x v="2"/>
    <x v="6"/>
    <x v="6"/>
    <x v="1"/>
    <n v="19"/>
    <n v="8000"/>
    <n v="152000"/>
    <n v="120080"/>
    <n v="31920"/>
    <n v="0.21"/>
  </r>
  <r>
    <s v="ORD0002"/>
    <x v="83"/>
    <x v="1"/>
    <x v="0"/>
    <x v="12"/>
    <x v="1"/>
    <x v="1"/>
    <x v="5"/>
    <x v="3"/>
    <x v="1"/>
    <n v="10"/>
    <n v="3500"/>
    <n v="35000"/>
    <n v="28700"/>
    <n v="6300"/>
    <n v="0.18"/>
  </r>
  <r>
    <s v="ORD0049"/>
    <x v="83"/>
    <x v="2"/>
    <x v="0"/>
    <x v="12"/>
    <x v="1"/>
    <x v="4"/>
    <x v="2"/>
    <x v="6"/>
    <x v="0"/>
    <n v="20"/>
    <n v="3500"/>
    <n v="70000"/>
    <n v="42000"/>
    <n v="28000"/>
    <n v="0.4"/>
  </r>
  <r>
    <s v="ORD0235"/>
    <x v="83"/>
    <x v="2"/>
    <x v="0"/>
    <x v="6"/>
    <x v="2"/>
    <x v="1"/>
    <x v="8"/>
    <x v="1"/>
    <x v="1"/>
    <n v="18"/>
    <n v="25000"/>
    <n v="450000"/>
    <n v="328500"/>
    <n v="121500"/>
    <n v="0.27"/>
  </r>
  <r>
    <s v="ORD0487"/>
    <x v="83"/>
    <x v="3"/>
    <x v="0"/>
    <x v="5"/>
    <x v="2"/>
    <x v="3"/>
    <x v="9"/>
    <x v="0"/>
    <x v="0"/>
    <n v="13"/>
    <n v="55000"/>
    <n v="715000"/>
    <n v="457600"/>
    <n v="257400"/>
    <n v="0.36"/>
  </r>
  <r>
    <s v="ORD0484"/>
    <x v="84"/>
    <x v="4"/>
    <x v="0"/>
    <x v="9"/>
    <x v="2"/>
    <x v="3"/>
    <x v="2"/>
    <x v="6"/>
    <x v="1"/>
    <n v="11"/>
    <n v="1200"/>
    <n v="13200"/>
    <n v="9636"/>
    <n v="3564"/>
    <n v="0.27"/>
  </r>
  <r>
    <s v="ORD0042"/>
    <x v="85"/>
    <x v="0"/>
    <x v="0"/>
    <x v="5"/>
    <x v="2"/>
    <x v="4"/>
    <x v="8"/>
    <x v="2"/>
    <x v="1"/>
    <n v="18"/>
    <n v="25000"/>
    <n v="450000"/>
    <n v="369000"/>
    <n v="81000"/>
    <n v="0.18"/>
  </r>
  <r>
    <s v="ORD0447"/>
    <x v="85"/>
    <x v="9"/>
    <x v="0"/>
    <x v="5"/>
    <x v="2"/>
    <x v="3"/>
    <x v="8"/>
    <x v="6"/>
    <x v="0"/>
    <n v="15"/>
    <n v="8000"/>
    <n v="120000"/>
    <n v="85200"/>
    <n v="34800"/>
    <n v="0.28999999999999998"/>
  </r>
  <r>
    <s v="ORD0425"/>
    <x v="86"/>
    <x v="0"/>
    <x v="0"/>
    <x v="12"/>
    <x v="1"/>
    <x v="2"/>
    <x v="1"/>
    <x v="5"/>
    <x v="0"/>
    <n v="6"/>
    <n v="150"/>
    <n v="900"/>
    <n v="675"/>
    <n v="225"/>
    <n v="0.25"/>
  </r>
  <r>
    <s v="ORD0482"/>
    <x v="86"/>
    <x v="5"/>
    <x v="0"/>
    <x v="5"/>
    <x v="2"/>
    <x v="4"/>
    <x v="9"/>
    <x v="6"/>
    <x v="1"/>
    <n v="14"/>
    <n v="55000"/>
    <n v="770000"/>
    <n v="654500"/>
    <n v="115500"/>
    <n v="0.15"/>
  </r>
  <r>
    <s v="ORD0365"/>
    <x v="87"/>
    <x v="11"/>
    <x v="0"/>
    <x v="15"/>
    <x v="3"/>
    <x v="4"/>
    <x v="8"/>
    <x v="4"/>
    <x v="1"/>
    <n v="15"/>
    <n v="8000"/>
    <n v="120000"/>
    <n v="88800"/>
    <n v="31200"/>
    <n v="0.26"/>
  </r>
  <r>
    <s v="ORD0391"/>
    <x v="88"/>
    <x v="2"/>
    <x v="0"/>
    <x v="15"/>
    <x v="3"/>
    <x v="3"/>
    <x v="5"/>
    <x v="0"/>
    <x v="1"/>
    <n v="4"/>
    <n v="20"/>
    <n v="80"/>
    <n v="52"/>
    <n v="28"/>
    <n v="0.35"/>
  </r>
  <r>
    <s v="ORD0113"/>
    <x v="89"/>
    <x v="5"/>
    <x v="0"/>
    <x v="14"/>
    <x v="3"/>
    <x v="2"/>
    <x v="9"/>
    <x v="0"/>
    <x v="1"/>
    <n v="5"/>
    <n v="8000"/>
    <n v="40000"/>
    <n v="32400"/>
    <n v="7600"/>
    <n v="0.19"/>
  </r>
  <r>
    <s v="ORD0005"/>
    <x v="90"/>
    <x v="2"/>
    <x v="0"/>
    <x v="10"/>
    <x v="3"/>
    <x v="4"/>
    <x v="0"/>
    <x v="2"/>
    <x v="1"/>
    <n v="9"/>
    <n v="700"/>
    <n v="6300"/>
    <n v="4347"/>
    <n v="1953"/>
    <n v="0.31"/>
  </r>
  <r>
    <s v="ORD0082"/>
    <x v="90"/>
    <x v="8"/>
    <x v="0"/>
    <x v="8"/>
    <x v="0"/>
    <x v="2"/>
    <x v="4"/>
    <x v="0"/>
    <x v="0"/>
    <n v="10"/>
    <n v="4000"/>
    <n v="40000"/>
    <n v="33200"/>
    <n v="6800"/>
    <n v="0.17"/>
  </r>
  <r>
    <s v="ORD0075"/>
    <x v="91"/>
    <x v="8"/>
    <x v="0"/>
    <x v="10"/>
    <x v="3"/>
    <x v="1"/>
    <x v="8"/>
    <x v="2"/>
    <x v="1"/>
    <n v="8"/>
    <n v="8000"/>
    <n v="64000"/>
    <n v="51200"/>
    <n v="12800"/>
    <n v="0.2"/>
  </r>
  <r>
    <s v="ORD0290"/>
    <x v="91"/>
    <x v="11"/>
    <x v="0"/>
    <x v="4"/>
    <x v="0"/>
    <x v="3"/>
    <x v="8"/>
    <x v="5"/>
    <x v="1"/>
    <n v="2"/>
    <n v="1200"/>
    <n v="2400"/>
    <n v="1872"/>
    <n v="528"/>
    <n v="0.22"/>
  </r>
  <r>
    <s v="ORD0310"/>
    <x v="91"/>
    <x v="2"/>
    <x v="0"/>
    <x v="1"/>
    <x v="0"/>
    <x v="2"/>
    <x v="5"/>
    <x v="0"/>
    <x v="0"/>
    <n v="6"/>
    <n v="1200"/>
    <n v="7200"/>
    <n v="6264"/>
    <n v="936"/>
    <n v="0.13"/>
  </r>
  <r>
    <s v="ORD0409"/>
    <x v="91"/>
    <x v="11"/>
    <x v="0"/>
    <x v="7"/>
    <x v="3"/>
    <x v="1"/>
    <x v="3"/>
    <x v="3"/>
    <x v="0"/>
    <n v="13"/>
    <n v="8000"/>
    <n v="104000"/>
    <n v="76960"/>
    <n v="27040"/>
    <n v="0.26"/>
  </r>
  <r>
    <s v="ORD0166"/>
    <x v="92"/>
    <x v="6"/>
    <x v="0"/>
    <x v="13"/>
    <x v="3"/>
    <x v="3"/>
    <x v="6"/>
    <x v="3"/>
    <x v="1"/>
    <n v="17"/>
    <n v="8000"/>
    <n v="136000"/>
    <n v="82960"/>
    <n v="53040"/>
    <n v="0.39"/>
  </r>
  <r>
    <s v="ORD0112"/>
    <x v="93"/>
    <x v="0"/>
    <x v="0"/>
    <x v="10"/>
    <x v="3"/>
    <x v="0"/>
    <x v="8"/>
    <x v="6"/>
    <x v="1"/>
    <n v="9"/>
    <n v="12000"/>
    <n v="108000"/>
    <n v="93960"/>
    <n v="14040"/>
    <n v="0.13"/>
  </r>
  <r>
    <s v="ORD0171"/>
    <x v="93"/>
    <x v="6"/>
    <x v="0"/>
    <x v="11"/>
    <x v="1"/>
    <x v="1"/>
    <x v="4"/>
    <x v="0"/>
    <x v="1"/>
    <n v="19"/>
    <n v="12000"/>
    <n v="228000"/>
    <n v="205200"/>
    <n v="22800"/>
    <n v="0.1"/>
  </r>
  <r>
    <s v="ORD0182"/>
    <x v="93"/>
    <x v="11"/>
    <x v="0"/>
    <x v="1"/>
    <x v="0"/>
    <x v="1"/>
    <x v="9"/>
    <x v="3"/>
    <x v="1"/>
    <n v="14"/>
    <n v="3500"/>
    <n v="49000"/>
    <n v="40670"/>
    <n v="8330"/>
    <n v="0.17"/>
  </r>
  <r>
    <s v="ORD0417"/>
    <x v="93"/>
    <x v="5"/>
    <x v="0"/>
    <x v="8"/>
    <x v="0"/>
    <x v="4"/>
    <x v="7"/>
    <x v="2"/>
    <x v="1"/>
    <n v="19"/>
    <n v="1200"/>
    <n v="22800"/>
    <n v="14136"/>
    <n v="8664"/>
    <n v="0.38"/>
  </r>
  <r>
    <s v="ORD0464"/>
    <x v="93"/>
    <x v="11"/>
    <x v="0"/>
    <x v="11"/>
    <x v="1"/>
    <x v="0"/>
    <x v="9"/>
    <x v="1"/>
    <x v="1"/>
    <n v="9"/>
    <n v="8000"/>
    <n v="72000"/>
    <n v="61920"/>
    <n v="10080"/>
    <n v="0.14000000000000001"/>
  </r>
  <r>
    <s v="ORD0433"/>
    <x v="94"/>
    <x v="1"/>
    <x v="0"/>
    <x v="3"/>
    <x v="1"/>
    <x v="4"/>
    <x v="0"/>
    <x v="5"/>
    <x v="1"/>
    <n v="13"/>
    <n v="9000"/>
    <n v="117000"/>
    <n v="83070"/>
    <n v="33930"/>
    <n v="0.28999999999999998"/>
  </r>
  <r>
    <s v="ORD0047"/>
    <x v="95"/>
    <x v="9"/>
    <x v="0"/>
    <x v="11"/>
    <x v="1"/>
    <x v="3"/>
    <x v="0"/>
    <x v="3"/>
    <x v="1"/>
    <n v="13"/>
    <n v="300"/>
    <n v="3900"/>
    <n v="3237"/>
    <n v="663"/>
    <n v="0.17"/>
  </r>
  <r>
    <s v="ORD0281"/>
    <x v="95"/>
    <x v="2"/>
    <x v="0"/>
    <x v="14"/>
    <x v="3"/>
    <x v="0"/>
    <x v="8"/>
    <x v="6"/>
    <x v="0"/>
    <n v="5"/>
    <n v="45000"/>
    <n v="225000"/>
    <n v="186750"/>
    <n v="38250"/>
    <n v="0.17"/>
  </r>
  <r>
    <s v="ORD0337"/>
    <x v="95"/>
    <x v="1"/>
    <x v="0"/>
    <x v="8"/>
    <x v="0"/>
    <x v="0"/>
    <x v="8"/>
    <x v="2"/>
    <x v="1"/>
    <n v="10"/>
    <n v="7000"/>
    <n v="70000"/>
    <n v="46200"/>
    <n v="23800"/>
    <n v="0.34"/>
  </r>
  <r>
    <s v="ORD0256"/>
    <x v="96"/>
    <x v="3"/>
    <x v="0"/>
    <x v="15"/>
    <x v="3"/>
    <x v="1"/>
    <x v="2"/>
    <x v="0"/>
    <x v="1"/>
    <n v="7"/>
    <n v="25000"/>
    <n v="175000"/>
    <n v="127750"/>
    <n v="47250"/>
    <n v="0.27"/>
  </r>
  <r>
    <s v="ORD0418"/>
    <x v="97"/>
    <x v="8"/>
    <x v="0"/>
    <x v="11"/>
    <x v="1"/>
    <x v="1"/>
    <x v="6"/>
    <x v="3"/>
    <x v="1"/>
    <n v="10"/>
    <n v="12000"/>
    <n v="120000"/>
    <n v="92400"/>
    <n v="27600"/>
    <n v="0.23"/>
  </r>
  <r>
    <s v="ORD0340"/>
    <x v="98"/>
    <x v="0"/>
    <x v="0"/>
    <x v="6"/>
    <x v="2"/>
    <x v="1"/>
    <x v="0"/>
    <x v="6"/>
    <x v="1"/>
    <n v="6"/>
    <n v="300"/>
    <n v="1800"/>
    <n v="1296"/>
    <n v="504"/>
    <n v="0.28000000000000003"/>
  </r>
  <r>
    <s v="ORD0239"/>
    <x v="99"/>
    <x v="3"/>
    <x v="0"/>
    <x v="7"/>
    <x v="3"/>
    <x v="2"/>
    <x v="5"/>
    <x v="2"/>
    <x v="1"/>
    <n v="11"/>
    <n v="12000"/>
    <n v="132000"/>
    <n v="110880"/>
    <n v="21120"/>
    <n v="0.16"/>
  </r>
  <r>
    <s v="ORD0520"/>
    <x v="99"/>
    <x v="6"/>
    <x v="0"/>
    <x v="14"/>
    <x v="3"/>
    <x v="2"/>
    <x v="6"/>
    <x v="0"/>
    <x v="0"/>
    <n v="1"/>
    <n v="25000"/>
    <n v="25000"/>
    <n v="19000"/>
    <n v="6000"/>
    <n v="0.24"/>
  </r>
  <r>
    <s v="ORD0500"/>
    <x v="100"/>
    <x v="4"/>
    <x v="0"/>
    <x v="5"/>
    <x v="2"/>
    <x v="1"/>
    <x v="2"/>
    <x v="0"/>
    <x v="0"/>
    <n v="5"/>
    <n v="9000"/>
    <n v="45000"/>
    <n v="30150"/>
    <n v="14850"/>
    <n v="0.33"/>
  </r>
  <r>
    <s v="ORD0064"/>
    <x v="101"/>
    <x v="4"/>
    <x v="0"/>
    <x v="8"/>
    <x v="0"/>
    <x v="3"/>
    <x v="5"/>
    <x v="4"/>
    <x v="1"/>
    <n v="14"/>
    <n v="300"/>
    <n v="4200"/>
    <n v="3234"/>
    <n v="966"/>
    <n v="0.23"/>
  </r>
  <r>
    <s v="ORD0307"/>
    <x v="101"/>
    <x v="6"/>
    <x v="0"/>
    <x v="1"/>
    <x v="0"/>
    <x v="2"/>
    <x v="9"/>
    <x v="5"/>
    <x v="0"/>
    <n v="10"/>
    <n v="150"/>
    <n v="1500"/>
    <n v="1005"/>
    <n v="495"/>
    <n v="0.33"/>
  </r>
  <r>
    <s v="ORD0015"/>
    <x v="102"/>
    <x v="2"/>
    <x v="0"/>
    <x v="8"/>
    <x v="0"/>
    <x v="3"/>
    <x v="4"/>
    <x v="3"/>
    <x v="0"/>
    <n v="4"/>
    <n v="700"/>
    <n v="2800"/>
    <n v="2296"/>
    <n v="504"/>
    <n v="0.18"/>
  </r>
  <r>
    <s v="ORD0027"/>
    <x v="103"/>
    <x v="2"/>
    <x v="0"/>
    <x v="2"/>
    <x v="1"/>
    <x v="0"/>
    <x v="4"/>
    <x v="6"/>
    <x v="1"/>
    <n v="17"/>
    <n v="3500"/>
    <n v="59500"/>
    <n v="49980"/>
    <n v="9520"/>
    <n v="0.16"/>
  </r>
  <r>
    <s v="ORD0099"/>
    <x v="103"/>
    <x v="3"/>
    <x v="0"/>
    <x v="10"/>
    <x v="3"/>
    <x v="4"/>
    <x v="6"/>
    <x v="0"/>
    <x v="1"/>
    <n v="16"/>
    <n v="15000"/>
    <n v="240000"/>
    <n v="192000"/>
    <n v="48000"/>
    <n v="0.2"/>
  </r>
  <r>
    <s v="ORD0343"/>
    <x v="103"/>
    <x v="10"/>
    <x v="0"/>
    <x v="11"/>
    <x v="1"/>
    <x v="4"/>
    <x v="0"/>
    <x v="1"/>
    <x v="0"/>
    <n v="10"/>
    <n v="300"/>
    <n v="3000"/>
    <n v="2250"/>
    <n v="750"/>
    <n v="0.25"/>
  </r>
  <r>
    <s v="ORD0007"/>
    <x v="104"/>
    <x v="9"/>
    <x v="0"/>
    <x v="12"/>
    <x v="1"/>
    <x v="1"/>
    <x v="3"/>
    <x v="2"/>
    <x v="1"/>
    <n v="11"/>
    <n v="300"/>
    <n v="3300"/>
    <n v="2442"/>
    <n v="858"/>
    <n v="0.26"/>
  </r>
  <r>
    <s v="ORD0083"/>
    <x v="105"/>
    <x v="11"/>
    <x v="0"/>
    <x v="2"/>
    <x v="1"/>
    <x v="1"/>
    <x v="7"/>
    <x v="1"/>
    <x v="1"/>
    <n v="16"/>
    <n v="8000"/>
    <n v="128000"/>
    <n v="104960"/>
    <n v="23040"/>
    <n v="0.18"/>
  </r>
  <r>
    <s v="ORD0129"/>
    <x v="105"/>
    <x v="11"/>
    <x v="0"/>
    <x v="11"/>
    <x v="1"/>
    <x v="4"/>
    <x v="0"/>
    <x v="3"/>
    <x v="1"/>
    <n v="17"/>
    <n v="700"/>
    <n v="11900"/>
    <n v="9758"/>
    <n v="2142"/>
    <n v="0.18"/>
  </r>
  <r>
    <s v="ORD0508"/>
    <x v="105"/>
    <x v="2"/>
    <x v="0"/>
    <x v="8"/>
    <x v="0"/>
    <x v="1"/>
    <x v="5"/>
    <x v="2"/>
    <x v="1"/>
    <n v="12"/>
    <n v="50"/>
    <n v="600"/>
    <n v="414"/>
    <n v="186"/>
    <n v="0.31"/>
  </r>
  <r>
    <s v="ORD0384"/>
    <x v="106"/>
    <x v="1"/>
    <x v="0"/>
    <x v="9"/>
    <x v="2"/>
    <x v="1"/>
    <x v="1"/>
    <x v="5"/>
    <x v="0"/>
    <n v="12"/>
    <n v="3500"/>
    <n v="42000"/>
    <n v="34860"/>
    <n v="7140"/>
    <n v="0.17"/>
  </r>
  <r>
    <s v="ORD0035"/>
    <x v="107"/>
    <x v="11"/>
    <x v="0"/>
    <x v="8"/>
    <x v="0"/>
    <x v="2"/>
    <x v="3"/>
    <x v="3"/>
    <x v="1"/>
    <n v="11"/>
    <n v="20"/>
    <n v="220"/>
    <n v="140.80000000000001"/>
    <n v="79.199999999999989"/>
    <n v="0.35999999999999993"/>
  </r>
  <r>
    <s v="ORD0327"/>
    <x v="108"/>
    <x v="0"/>
    <x v="0"/>
    <x v="9"/>
    <x v="2"/>
    <x v="2"/>
    <x v="5"/>
    <x v="4"/>
    <x v="1"/>
    <n v="12"/>
    <n v="25000"/>
    <n v="300000"/>
    <n v="234000"/>
    <n v="66000"/>
    <n v="0.22"/>
  </r>
  <r>
    <s v="ORD0332"/>
    <x v="108"/>
    <x v="0"/>
    <x v="0"/>
    <x v="5"/>
    <x v="2"/>
    <x v="3"/>
    <x v="0"/>
    <x v="0"/>
    <x v="0"/>
    <n v="18"/>
    <n v="9000"/>
    <n v="162000"/>
    <n v="139320"/>
    <n v="22680"/>
    <n v="0.14000000000000001"/>
  </r>
  <r>
    <s v="ORD0428"/>
    <x v="109"/>
    <x v="9"/>
    <x v="0"/>
    <x v="14"/>
    <x v="3"/>
    <x v="1"/>
    <x v="8"/>
    <x v="5"/>
    <x v="0"/>
    <n v="3"/>
    <n v="45000"/>
    <n v="135000"/>
    <n v="85050"/>
    <n v="49950"/>
    <n v="0.37"/>
  </r>
  <r>
    <s v="ORD0245"/>
    <x v="110"/>
    <x v="2"/>
    <x v="0"/>
    <x v="3"/>
    <x v="1"/>
    <x v="0"/>
    <x v="9"/>
    <x v="0"/>
    <x v="1"/>
    <n v="19"/>
    <n v="300"/>
    <n v="5700"/>
    <n v="4845"/>
    <n v="855"/>
    <n v="0.15"/>
  </r>
  <r>
    <s v="ORD0072"/>
    <x v="111"/>
    <x v="6"/>
    <x v="0"/>
    <x v="12"/>
    <x v="1"/>
    <x v="0"/>
    <x v="5"/>
    <x v="3"/>
    <x v="0"/>
    <n v="4"/>
    <n v="25000"/>
    <n v="100000"/>
    <n v="64000"/>
    <n v="36000"/>
    <n v="0.36"/>
  </r>
  <r>
    <s v="ORD0221"/>
    <x v="111"/>
    <x v="11"/>
    <x v="0"/>
    <x v="11"/>
    <x v="1"/>
    <x v="2"/>
    <x v="0"/>
    <x v="4"/>
    <x v="1"/>
    <n v="11"/>
    <n v="4000"/>
    <n v="44000"/>
    <n v="34320"/>
    <n v="9680"/>
    <n v="0.22"/>
  </r>
  <r>
    <s v="ORD0150"/>
    <x v="112"/>
    <x v="4"/>
    <x v="0"/>
    <x v="0"/>
    <x v="0"/>
    <x v="4"/>
    <x v="5"/>
    <x v="6"/>
    <x v="0"/>
    <n v="14"/>
    <n v="12000"/>
    <n v="168000"/>
    <n v="115920"/>
    <n v="52080"/>
    <n v="0.31"/>
  </r>
  <r>
    <s v="ORD0170"/>
    <x v="112"/>
    <x v="6"/>
    <x v="0"/>
    <x v="7"/>
    <x v="3"/>
    <x v="0"/>
    <x v="2"/>
    <x v="6"/>
    <x v="1"/>
    <n v="17"/>
    <n v="25000"/>
    <n v="425000"/>
    <n v="280500"/>
    <n v="144500"/>
    <n v="0.34"/>
  </r>
  <r>
    <s v="ORD0233"/>
    <x v="112"/>
    <x v="0"/>
    <x v="0"/>
    <x v="12"/>
    <x v="1"/>
    <x v="4"/>
    <x v="4"/>
    <x v="0"/>
    <x v="1"/>
    <n v="16"/>
    <n v="3500"/>
    <n v="56000"/>
    <n v="45360"/>
    <n v="10640"/>
    <n v="0.19"/>
  </r>
  <r>
    <s v="ORD0300"/>
    <x v="112"/>
    <x v="4"/>
    <x v="0"/>
    <x v="1"/>
    <x v="0"/>
    <x v="1"/>
    <x v="6"/>
    <x v="0"/>
    <x v="1"/>
    <n v="3"/>
    <n v="45000"/>
    <n v="135000"/>
    <n v="93150"/>
    <n v="41850"/>
    <n v="0.31"/>
  </r>
  <r>
    <s v="ORD0344"/>
    <x v="113"/>
    <x v="2"/>
    <x v="0"/>
    <x v="15"/>
    <x v="3"/>
    <x v="3"/>
    <x v="1"/>
    <x v="5"/>
    <x v="1"/>
    <n v="1"/>
    <n v="20"/>
    <n v="20"/>
    <n v="17.399999999999999"/>
    <n v="2.6000000000000014"/>
    <n v="0.13000000000000006"/>
  </r>
  <r>
    <s v="ORD0358"/>
    <x v="113"/>
    <x v="3"/>
    <x v="0"/>
    <x v="5"/>
    <x v="2"/>
    <x v="2"/>
    <x v="0"/>
    <x v="1"/>
    <x v="0"/>
    <n v="7"/>
    <n v="150"/>
    <n v="1050"/>
    <n v="903"/>
    <n v="147"/>
    <n v="0.14000000000000001"/>
  </r>
  <r>
    <s v="ORD0176"/>
    <x v="114"/>
    <x v="11"/>
    <x v="0"/>
    <x v="1"/>
    <x v="0"/>
    <x v="0"/>
    <x v="1"/>
    <x v="5"/>
    <x v="1"/>
    <n v="4"/>
    <n v="3500"/>
    <n v="14000"/>
    <n v="10920"/>
    <n v="3080"/>
    <n v="0.22"/>
  </r>
  <r>
    <s v="ORD0341"/>
    <x v="115"/>
    <x v="0"/>
    <x v="0"/>
    <x v="12"/>
    <x v="1"/>
    <x v="0"/>
    <x v="6"/>
    <x v="5"/>
    <x v="0"/>
    <n v="11"/>
    <n v="8000"/>
    <n v="88000"/>
    <n v="77440"/>
    <n v="10560"/>
    <n v="0.12"/>
  </r>
  <r>
    <s v="ORD0448"/>
    <x v="115"/>
    <x v="3"/>
    <x v="0"/>
    <x v="0"/>
    <x v="0"/>
    <x v="0"/>
    <x v="3"/>
    <x v="3"/>
    <x v="1"/>
    <n v="17"/>
    <n v="20"/>
    <n v="340"/>
    <n v="241.4"/>
    <n v="98.6"/>
    <n v="0.28999999999999998"/>
  </r>
  <r>
    <s v="ORD0260"/>
    <x v="116"/>
    <x v="9"/>
    <x v="0"/>
    <x v="1"/>
    <x v="0"/>
    <x v="3"/>
    <x v="7"/>
    <x v="6"/>
    <x v="1"/>
    <n v="17"/>
    <n v="3500"/>
    <n v="59500"/>
    <n v="41055"/>
    <n v="18445"/>
    <n v="0.31"/>
  </r>
  <r>
    <s v="ORD0299"/>
    <x v="117"/>
    <x v="1"/>
    <x v="0"/>
    <x v="0"/>
    <x v="0"/>
    <x v="4"/>
    <x v="5"/>
    <x v="1"/>
    <x v="0"/>
    <n v="17"/>
    <n v="4000"/>
    <n v="68000"/>
    <n v="58480"/>
    <n v="9520"/>
    <n v="0.14000000000000001"/>
  </r>
  <r>
    <s v="ORD0414"/>
    <x v="117"/>
    <x v="0"/>
    <x v="0"/>
    <x v="5"/>
    <x v="2"/>
    <x v="4"/>
    <x v="8"/>
    <x v="0"/>
    <x v="0"/>
    <n v="13"/>
    <n v="150"/>
    <n v="1950"/>
    <n v="1618.5"/>
    <n v="331.5"/>
    <n v="0.17"/>
  </r>
  <r>
    <s v="ORD0507"/>
    <x v="118"/>
    <x v="3"/>
    <x v="0"/>
    <x v="4"/>
    <x v="0"/>
    <x v="2"/>
    <x v="4"/>
    <x v="4"/>
    <x v="0"/>
    <n v="19"/>
    <n v="3500"/>
    <n v="66500"/>
    <n v="53865"/>
    <n v="12635"/>
    <n v="0.19"/>
  </r>
  <r>
    <s v="ORD0517"/>
    <x v="118"/>
    <x v="1"/>
    <x v="0"/>
    <x v="7"/>
    <x v="3"/>
    <x v="1"/>
    <x v="2"/>
    <x v="2"/>
    <x v="0"/>
    <n v="17"/>
    <n v="20"/>
    <n v="340"/>
    <n v="204"/>
    <n v="136"/>
    <n v="0.4"/>
  </r>
  <r>
    <s v="ORD0097"/>
    <x v="119"/>
    <x v="8"/>
    <x v="0"/>
    <x v="5"/>
    <x v="2"/>
    <x v="3"/>
    <x v="6"/>
    <x v="1"/>
    <x v="0"/>
    <n v="4"/>
    <n v="150"/>
    <n v="600"/>
    <n v="390"/>
    <n v="210"/>
    <n v="0.35"/>
  </r>
  <r>
    <s v="ORD0342"/>
    <x v="119"/>
    <x v="3"/>
    <x v="0"/>
    <x v="12"/>
    <x v="1"/>
    <x v="4"/>
    <x v="4"/>
    <x v="2"/>
    <x v="1"/>
    <n v="17"/>
    <n v="50"/>
    <n v="850"/>
    <n v="629"/>
    <n v="221"/>
    <n v="0.26"/>
  </r>
  <r>
    <s v="ORD0501"/>
    <x v="119"/>
    <x v="10"/>
    <x v="0"/>
    <x v="3"/>
    <x v="1"/>
    <x v="3"/>
    <x v="2"/>
    <x v="6"/>
    <x v="0"/>
    <n v="1"/>
    <n v="3500"/>
    <n v="3500"/>
    <n v="2380"/>
    <n v="1120"/>
    <n v="0.32"/>
  </r>
  <r>
    <s v="ORD0100"/>
    <x v="120"/>
    <x v="9"/>
    <x v="0"/>
    <x v="6"/>
    <x v="2"/>
    <x v="1"/>
    <x v="4"/>
    <x v="0"/>
    <x v="0"/>
    <n v="16"/>
    <n v="25000"/>
    <n v="400000"/>
    <n v="320000"/>
    <n v="80000"/>
    <n v="0.2"/>
  </r>
  <r>
    <s v="ORD0533"/>
    <x v="120"/>
    <x v="8"/>
    <x v="0"/>
    <x v="4"/>
    <x v="0"/>
    <x v="3"/>
    <x v="5"/>
    <x v="2"/>
    <x v="1"/>
    <n v="17"/>
    <n v="55000"/>
    <n v="935000"/>
    <n v="570350"/>
    <n v="364650"/>
    <n v="0.39"/>
  </r>
  <r>
    <s v="ORD0052"/>
    <x v="121"/>
    <x v="9"/>
    <x v="0"/>
    <x v="6"/>
    <x v="2"/>
    <x v="3"/>
    <x v="0"/>
    <x v="4"/>
    <x v="0"/>
    <n v="12"/>
    <n v="8000"/>
    <n v="96000"/>
    <n v="63360"/>
    <n v="32640"/>
    <n v="0.34"/>
  </r>
  <r>
    <s v="ORD0440"/>
    <x v="121"/>
    <x v="4"/>
    <x v="0"/>
    <x v="14"/>
    <x v="3"/>
    <x v="1"/>
    <x v="5"/>
    <x v="0"/>
    <x v="0"/>
    <n v="9"/>
    <n v="3500"/>
    <n v="31500"/>
    <n v="27720"/>
    <n v="3780"/>
    <n v="0.12"/>
  </r>
  <r>
    <s v="ORD0037"/>
    <x v="122"/>
    <x v="9"/>
    <x v="0"/>
    <x v="3"/>
    <x v="1"/>
    <x v="1"/>
    <x v="5"/>
    <x v="0"/>
    <x v="0"/>
    <n v="5"/>
    <n v="300"/>
    <n v="1500"/>
    <n v="975"/>
    <n v="525"/>
    <n v="0.35"/>
  </r>
  <r>
    <s v="ORD0202"/>
    <x v="122"/>
    <x v="7"/>
    <x v="0"/>
    <x v="8"/>
    <x v="0"/>
    <x v="1"/>
    <x v="4"/>
    <x v="4"/>
    <x v="1"/>
    <n v="8"/>
    <n v="7000"/>
    <n v="56000"/>
    <n v="39760"/>
    <n v="16240"/>
    <n v="0.28999999999999998"/>
  </r>
  <r>
    <s v="ORD0387"/>
    <x v="122"/>
    <x v="7"/>
    <x v="0"/>
    <x v="0"/>
    <x v="0"/>
    <x v="4"/>
    <x v="1"/>
    <x v="6"/>
    <x v="0"/>
    <n v="3"/>
    <n v="20"/>
    <n v="60"/>
    <n v="45"/>
    <n v="15"/>
    <n v="0.25"/>
  </r>
  <r>
    <s v="ORD0422"/>
    <x v="122"/>
    <x v="9"/>
    <x v="0"/>
    <x v="13"/>
    <x v="3"/>
    <x v="2"/>
    <x v="3"/>
    <x v="3"/>
    <x v="1"/>
    <n v="19"/>
    <n v="150"/>
    <n v="2850"/>
    <n v="2194.5"/>
    <n v="655.5"/>
    <n v="0.23"/>
  </r>
  <r>
    <s v="ORD0214"/>
    <x v="123"/>
    <x v="10"/>
    <x v="0"/>
    <x v="1"/>
    <x v="0"/>
    <x v="4"/>
    <x v="2"/>
    <x v="1"/>
    <x v="0"/>
    <n v="1"/>
    <n v="20"/>
    <n v="20"/>
    <n v="13.2"/>
    <n v="6.8000000000000007"/>
    <n v="0.34"/>
  </r>
  <r>
    <s v="ORD0261"/>
    <x v="124"/>
    <x v="0"/>
    <x v="0"/>
    <x v="13"/>
    <x v="3"/>
    <x v="3"/>
    <x v="6"/>
    <x v="6"/>
    <x v="1"/>
    <n v="14"/>
    <n v="300"/>
    <n v="4200"/>
    <n v="3570"/>
    <n v="630"/>
    <n v="0.15"/>
  </r>
  <r>
    <s v="ORD0074"/>
    <x v="125"/>
    <x v="11"/>
    <x v="0"/>
    <x v="6"/>
    <x v="2"/>
    <x v="2"/>
    <x v="6"/>
    <x v="5"/>
    <x v="1"/>
    <n v="17"/>
    <n v="20"/>
    <n v="340"/>
    <n v="244.8"/>
    <n v="95.199999999999989"/>
    <n v="0.27999999999999997"/>
  </r>
  <r>
    <s v="ORD0146"/>
    <x v="125"/>
    <x v="3"/>
    <x v="0"/>
    <x v="5"/>
    <x v="2"/>
    <x v="2"/>
    <x v="2"/>
    <x v="4"/>
    <x v="1"/>
    <n v="17"/>
    <n v="150"/>
    <n v="2550"/>
    <n v="2269.5"/>
    <n v="280.5"/>
    <n v="0.11"/>
  </r>
  <r>
    <s v="ORD0154"/>
    <x v="125"/>
    <x v="4"/>
    <x v="0"/>
    <x v="11"/>
    <x v="1"/>
    <x v="4"/>
    <x v="5"/>
    <x v="3"/>
    <x v="1"/>
    <n v="4"/>
    <n v="12000"/>
    <n v="48000"/>
    <n v="30240"/>
    <n v="17760"/>
    <n v="0.37"/>
  </r>
  <r>
    <s v="ORD0283"/>
    <x v="125"/>
    <x v="1"/>
    <x v="0"/>
    <x v="12"/>
    <x v="1"/>
    <x v="4"/>
    <x v="0"/>
    <x v="1"/>
    <x v="0"/>
    <n v="16"/>
    <n v="150"/>
    <n v="2400"/>
    <n v="1584"/>
    <n v="816"/>
    <n v="0.34"/>
  </r>
  <r>
    <s v="ORD0403"/>
    <x v="125"/>
    <x v="10"/>
    <x v="0"/>
    <x v="15"/>
    <x v="3"/>
    <x v="4"/>
    <x v="7"/>
    <x v="1"/>
    <x v="1"/>
    <n v="13"/>
    <n v="55000"/>
    <n v="715000"/>
    <n v="579150"/>
    <n v="135850"/>
    <n v="0.19"/>
  </r>
  <r>
    <s v="ORD0462"/>
    <x v="125"/>
    <x v="8"/>
    <x v="0"/>
    <x v="5"/>
    <x v="2"/>
    <x v="1"/>
    <x v="5"/>
    <x v="0"/>
    <x v="0"/>
    <n v="8"/>
    <n v="700"/>
    <n v="5600"/>
    <n v="4536"/>
    <n v="1064"/>
    <n v="0.19"/>
  </r>
  <r>
    <s v="ORD0265"/>
    <x v="126"/>
    <x v="8"/>
    <x v="0"/>
    <x v="5"/>
    <x v="2"/>
    <x v="4"/>
    <x v="1"/>
    <x v="0"/>
    <x v="1"/>
    <n v="20"/>
    <n v="8000"/>
    <n v="160000"/>
    <n v="115200"/>
    <n v="44800"/>
    <n v="0.28000000000000003"/>
  </r>
  <r>
    <s v="ORD0257"/>
    <x v="127"/>
    <x v="0"/>
    <x v="0"/>
    <x v="8"/>
    <x v="0"/>
    <x v="1"/>
    <x v="0"/>
    <x v="0"/>
    <x v="1"/>
    <n v="3"/>
    <n v="4000"/>
    <n v="12000"/>
    <n v="9120"/>
    <n v="2880"/>
    <n v="0.24"/>
  </r>
  <r>
    <s v="ORD0505"/>
    <x v="127"/>
    <x v="6"/>
    <x v="0"/>
    <x v="13"/>
    <x v="3"/>
    <x v="2"/>
    <x v="0"/>
    <x v="3"/>
    <x v="0"/>
    <n v="4"/>
    <n v="4000"/>
    <n v="16000"/>
    <n v="13120"/>
    <n v="2880"/>
    <n v="0.18"/>
  </r>
  <r>
    <s v="ORD0488"/>
    <x v="128"/>
    <x v="1"/>
    <x v="0"/>
    <x v="9"/>
    <x v="2"/>
    <x v="3"/>
    <x v="8"/>
    <x v="2"/>
    <x v="0"/>
    <n v="15"/>
    <n v="700"/>
    <n v="10500"/>
    <n v="8820"/>
    <n v="1680"/>
    <n v="0.16"/>
  </r>
  <r>
    <s v="ORD0079"/>
    <x v="129"/>
    <x v="4"/>
    <x v="0"/>
    <x v="2"/>
    <x v="1"/>
    <x v="0"/>
    <x v="7"/>
    <x v="5"/>
    <x v="0"/>
    <n v="20"/>
    <n v="50"/>
    <n v="1000"/>
    <n v="670"/>
    <n v="330"/>
    <n v="0.33"/>
  </r>
  <r>
    <s v="ORD0125"/>
    <x v="129"/>
    <x v="6"/>
    <x v="0"/>
    <x v="15"/>
    <x v="3"/>
    <x v="3"/>
    <x v="9"/>
    <x v="4"/>
    <x v="1"/>
    <n v="10"/>
    <n v="15000"/>
    <n v="150000"/>
    <n v="118500"/>
    <n v="31500"/>
    <n v="0.21"/>
  </r>
  <r>
    <s v="ORD0421"/>
    <x v="130"/>
    <x v="7"/>
    <x v="0"/>
    <x v="5"/>
    <x v="2"/>
    <x v="2"/>
    <x v="9"/>
    <x v="6"/>
    <x v="1"/>
    <n v="8"/>
    <n v="150"/>
    <n v="1200"/>
    <n v="744"/>
    <n v="456"/>
    <n v="0.38"/>
  </r>
  <r>
    <s v="ORD0504"/>
    <x v="131"/>
    <x v="11"/>
    <x v="0"/>
    <x v="0"/>
    <x v="0"/>
    <x v="3"/>
    <x v="4"/>
    <x v="6"/>
    <x v="1"/>
    <n v="17"/>
    <n v="3500"/>
    <n v="59500"/>
    <n v="47600"/>
    <n v="11900"/>
    <n v="0.2"/>
  </r>
  <r>
    <s v="ORD0058"/>
    <x v="132"/>
    <x v="4"/>
    <x v="0"/>
    <x v="0"/>
    <x v="0"/>
    <x v="1"/>
    <x v="6"/>
    <x v="4"/>
    <x v="0"/>
    <n v="3"/>
    <n v="150"/>
    <n v="450"/>
    <n v="378"/>
    <n v="72"/>
    <n v="0.16"/>
  </r>
  <r>
    <s v="ORD0139"/>
    <x v="132"/>
    <x v="5"/>
    <x v="0"/>
    <x v="2"/>
    <x v="1"/>
    <x v="1"/>
    <x v="4"/>
    <x v="1"/>
    <x v="1"/>
    <n v="13"/>
    <n v="8000"/>
    <n v="104000"/>
    <n v="79040"/>
    <n v="24960"/>
    <n v="0.24"/>
  </r>
  <r>
    <s v="ORD0210"/>
    <x v="132"/>
    <x v="0"/>
    <x v="0"/>
    <x v="0"/>
    <x v="0"/>
    <x v="3"/>
    <x v="9"/>
    <x v="3"/>
    <x v="0"/>
    <n v="2"/>
    <n v="8000"/>
    <n v="16000"/>
    <n v="10880"/>
    <n v="5120"/>
    <n v="0.32"/>
  </r>
  <r>
    <s v="ORD0355"/>
    <x v="132"/>
    <x v="1"/>
    <x v="0"/>
    <x v="1"/>
    <x v="0"/>
    <x v="4"/>
    <x v="9"/>
    <x v="1"/>
    <x v="0"/>
    <n v="10"/>
    <n v="45000"/>
    <n v="450000"/>
    <n v="360000"/>
    <n v="90000"/>
    <n v="0.2"/>
  </r>
  <r>
    <s v="ORD0274"/>
    <x v="133"/>
    <x v="4"/>
    <x v="0"/>
    <x v="15"/>
    <x v="3"/>
    <x v="4"/>
    <x v="5"/>
    <x v="3"/>
    <x v="1"/>
    <n v="1"/>
    <n v="1200"/>
    <n v="1200"/>
    <n v="948"/>
    <n v="252"/>
    <n v="0.21"/>
  </r>
  <r>
    <s v="ORD0444"/>
    <x v="133"/>
    <x v="0"/>
    <x v="0"/>
    <x v="6"/>
    <x v="2"/>
    <x v="4"/>
    <x v="8"/>
    <x v="4"/>
    <x v="1"/>
    <n v="7"/>
    <n v="20"/>
    <n v="140"/>
    <n v="91"/>
    <n v="49"/>
    <n v="0.35"/>
  </r>
  <r>
    <s v="ORD0270"/>
    <x v="134"/>
    <x v="3"/>
    <x v="0"/>
    <x v="13"/>
    <x v="3"/>
    <x v="4"/>
    <x v="0"/>
    <x v="5"/>
    <x v="0"/>
    <n v="7"/>
    <n v="15000"/>
    <n v="105000"/>
    <n v="65100"/>
    <n v="39900"/>
    <n v="0.38"/>
  </r>
  <r>
    <s v="ORD0292"/>
    <x v="134"/>
    <x v="11"/>
    <x v="0"/>
    <x v="4"/>
    <x v="0"/>
    <x v="3"/>
    <x v="2"/>
    <x v="1"/>
    <x v="0"/>
    <n v="1"/>
    <n v="12000"/>
    <n v="12000"/>
    <n v="8040"/>
    <n v="3960"/>
    <n v="0.33"/>
  </r>
  <r>
    <s v="ORD0030"/>
    <x v="135"/>
    <x v="5"/>
    <x v="0"/>
    <x v="14"/>
    <x v="3"/>
    <x v="1"/>
    <x v="5"/>
    <x v="1"/>
    <x v="0"/>
    <n v="6"/>
    <n v="1200"/>
    <n v="7200"/>
    <n v="5688"/>
    <n v="1512"/>
    <n v="0.21"/>
  </r>
  <r>
    <s v="ORD0043"/>
    <x v="135"/>
    <x v="9"/>
    <x v="0"/>
    <x v="11"/>
    <x v="1"/>
    <x v="0"/>
    <x v="2"/>
    <x v="2"/>
    <x v="0"/>
    <n v="10"/>
    <n v="55000"/>
    <n v="550000"/>
    <n v="462000"/>
    <n v="88000"/>
    <n v="0.16"/>
  </r>
  <r>
    <s v="ORD0471"/>
    <x v="135"/>
    <x v="3"/>
    <x v="0"/>
    <x v="4"/>
    <x v="0"/>
    <x v="2"/>
    <x v="0"/>
    <x v="1"/>
    <x v="0"/>
    <n v="13"/>
    <n v="12000"/>
    <n v="156000"/>
    <n v="95160"/>
    <n v="60840"/>
    <n v="0.39"/>
  </r>
  <r>
    <s v="ORD0532"/>
    <x v="135"/>
    <x v="9"/>
    <x v="0"/>
    <x v="6"/>
    <x v="2"/>
    <x v="4"/>
    <x v="1"/>
    <x v="6"/>
    <x v="1"/>
    <n v="5"/>
    <n v="12000"/>
    <n v="60000"/>
    <n v="44400"/>
    <n v="15600"/>
    <n v="0.26"/>
  </r>
  <r>
    <s v="ORD0195"/>
    <x v="136"/>
    <x v="6"/>
    <x v="0"/>
    <x v="0"/>
    <x v="0"/>
    <x v="0"/>
    <x v="9"/>
    <x v="3"/>
    <x v="1"/>
    <n v="8"/>
    <n v="300"/>
    <n v="2400"/>
    <n v="1848"/>
    <n v="552"/>
    <n v="0.23"/>
  </r>
  <r>
    <s v="ORD0138"/>
    <x v="137"/>
    <x v="4"/>
    <x v="0"/>
    <x v="13"/>
    <x v="3"/>
    <x v="2"/>
    <x v="8"/>
    <x v="0"/>
    <x v="1"/>
    <n v="15"/>
    <n v="50"/>
    <n v="750"/>
    <n v="577.5"/>
    <n v="172.5"/>
    <n v="0.23"/>
  </r>
  <r>
    <s v="ORD0325"/>
    <x v="137"/>
    <x v="3"/>
    <x v="0"/>
    <x v="12"/>
    <x v="1"/>
    <x v="4"/>
    <x v="4"/>
    <x v="0"/>
    <x v="0"/>
    <n v="10"/>
    <n v="50"/>
    <n v="500"/>
    <n v="360"/>
    <n v="140"/>
    <n v="0.28000000000000003"/>
  </r>
  <r>
    <s v="ORD0269"/>
    <x v="138"/>
    <x v="1"/>
    <x v="0"/>
    <x v="3"/>
    <x v="1"/>
    <x v="1"/>
    <x v="0"/>
    <x v="2"/>
    <x v="1"/>
    <n v="12"/>
    <n v="9000"/>
    <n v="108000"/>
    <n v="93960"/>
    <n v="14040"/>
    <n v="0.13"/>
  </r>
  <r>
    <s v="ORD0420"/>
    <x v="139"/>
    <x v="9"/>
    <x v="0"/>
    <x v="9"/>
    <x v="2"/>
    <x v="3"/>
    <x v="0"/>
    <x v="5"/>
    <x v="1"/>
    <n v="1"/>
    <n v="55000"/>
    <n v="55000"/>
    <n v="37950"/>
    <n v="17050"/>
    <n v="0.31"/>
  </r>
  <r>
    <s v="ORD0236"/>
    <x v="140"/>
    <x v="9"/>
    <x v="0"/>
    <x v="12"/>
    <x v="1"/>
    <x v="1"/>
    <x v="4"/>
    <x v="3"/>
    <x v="0"/>
    <n v="1"/>
    <n v="9000"/>
    <n v="9000"/>
    <n v="7290"/>
    <n v="1710"/>
    <n v="0.19"/>
  </r>
  <r>
    <s v="ORD0280"/>
    <x v="140"/>
    <x v="4"/>
    <x v="0"/>
    <x v="1"/>
    <x v="0"/>
    <x v="2"/>
    <x v="7"/>
    <x v="2"/>
    <x v="0"/>
    <n v="17"/>
    <n v="12000"/>
    <n v="204000"/>
    <n v="159120"/>
    <n v="44880"/>
    <n v="0.22"/>
  </r>
  <r>
    <s v="ORD0160"/>
    <x v="141"/>
    <x v="8"/>
    <x v="0"/>
    <x v="14"/>
    <x v="3"/>
    <x v="4"/>
    <x v="2"/>
    <x v="3"/>
    <x v="1"/>
    <n v="10"/>
    <n v="50"/>
    <n v="500"/>
    <n v="330"/>
    <n v="170"/>
    <n v="0.34"/>
  </r>
  <r>
    <s v="ORD0435"/>
    <x v="141"/>
    <x v="11"/>
    <x v="0"/>
    <x v="1"/>
    <x v="0"/>
    <x v="0"/>
    <x v="0"/>
    <x v="6"/>
    <x v="1"/>
    <n v="7"/>
    <n v="1200"/>
    <n v="8400"/>
    <n v="5544"/>
    <n v="2856"/>
    <n v="0.34"/>
  </r>
  <r>
    <s v="ORD0167"/>
    <x v="142"/>
    <x v="2"/>
    <x v="0"/>
    <x v="6"/>
    <x v="2"/>
    <x v="0"/>
    <x v="0"/>
    <x v="1"/>
    <x v="0"/>
    <n v="1"/>
    <n v="8000"/>
    <n v="8000"/>
    <n v="5920"/>
    <n v="2080"/>
    <n v="0.26"/>
  </r>
  <r>
    <s v="ORD0140"/>
    <x v="143"/>
    <x v="6"/>
    <x v="0"/>
    <x v="3"/>
    <x v="1"/>
    <x v="3"/>
    <x v="2"/>
    <x v="6"/>
    <x v="0"/>
    <n v="15"/>
    <n v="45000"/>
    <n v="675000"/>
    <n v="553500"/>
    <n v="121500"/>
    <n v="0.18"/>
  </r>
  <r>
    <s v="ORD0502"/>
    <x v="144"/>
    <x v="5"/>
    <x v="0"/>
    <x v="7"/>
    <x v="3"/>
    <x v="0"/>
    <x v="6"/>
    <x v="1"/>
    <x v="0"/>
    <n v="5"/>
    <n v="3500"/>
    <n v="17500"/>
    <n v="15225"/>
    <n v="2275"/>
    <n v="0.13"/>
  </r>
  <r>
    <s v="ORD0041"/>
    <x v="145"/>
    <x v="10"/>
    <x v="0"/>
    <x v="7"/>
    <x v="3"/>
    <x v="3"/>
    <x v="8"/>
    <x v="6"/>
    <x v="1"/>
    <n v="11"/>
    <n v="3500"/>
    <n v="38500"/>
    <n v="24255"/>
    <n v="14245"/>
    <n v="0.37"/>
  </r>
  <r>
    <s v="ORD0206"/>
    <x v="145"/>
    <x v="1"/>
    <x v="0"/>
    <x v="6"/>
    <x v="2"/>
    <x v="1"/>
    <x v="7"/>
    <x v="6"/>
    <x v="1"/>
    <n v="20"/>
    <n v="9000"/>
    <n v="180000"/>
    <n v="153000"/>
    <n v="27000"/>
    <n v="0.15"/>
  </r>
  <r>
    <s v="ORD0282"/>
    <x v="146"/>
    <x v="1"/>
    <x v="0"/>
    <x v="0"/>
    <x v="0"/>
    <x v="2"/>
    <x v="1"/>
    <x v="4"/>
    <x v="1"/>
    <n v="19"/>
    <n v="12000"/>
    <n v="228000"/>
    <n v="191520"/>
    <n v="36480"/>
    <n v="0.16"/>
  </r>
  <r>
    <s v="ORD0149"/>
    <x v="147"/>
    <x v="3"/>
    <x v="0"/>
    <x v="7"/>
    <x v="3"/>
    <x v="0"/>
    <x v="5"/>
    <x v="5"/>
    <x v="0"/>
    <n v="18"/>
    <n v="4000"/>
    <n v="72000"/>
    <n v="53280"/>
    <n v="18720"/>
    <n v="0.26"/>
  </r>
  <r>
    <s v="ORD0247"/>
    <x v="147"/>
    <x v="10"/>
    <x v="0"/>
    <x v="1"/>
    <x v="0"/>
    <x v="3"/>
    <x v="2"/>
    <x v="0"/>
    <x v="0"/>
    <n v="19"/>
    <n v="1200"/>
    <n v="22800"/>
    <n v="16644"/>
    <n v="6156"/>
    <n v="0.27"/>
  </r>
  <r>
    <s v="ORD0431"/>
    <x v="147"/>
    <x v="3"/>
    <x v="0"/>
    <x v="2"/>
    <x v="1"/>
    <x v="0"/>
    <x v="4"/>
    <x v="3"/>
    <x v="1"/>
    <n v="4"/>
    <n v="1200"/>
    <n v="4800"/>
    <n v="3168"/>
    <n v="1632"/>
    <n v="0.34"/>
  </r>
  <r>
    <s v="ORD0078"/>
    <x v="148"/>
    <x v="6"/>
    <x v="0"/>
    <x v="9"/>
    <x v="2"/>
    <x v="4"/>
    <x v="6"/>
    <x v="2"/>
    <x v="1"/>
    <n v="10"/>
    <n v="55000"/>
    <n v="550000"/>
    <n v="434500"/>
    <n v="115500"/>
    <n v="0.21"/>
  </r>
  <r>
    <s v="ORD0492"/>
    <x v="148"/>
    <x v="0"/>
    <x v="0"/>
    <x v="2"/>
    <x v="1"/>
    <x v="1"/>
    <x v="4"/>
    <x v="1"/>
    <x v="1"/>
    <n v="11"/>
    <n v="8000"/>
    <n v="88000"/>
    <n v="56320"/>
    <n v="31680"/>
    <n v="0.36"/>
  </r>
  <r>
    <s v="ORD0012"/>
    <x v="149"/>
    <x v="6"/>
    <x v="0"/>
    <x v="13"/>
    <x v="3"/>
    <x v="0"/>
    <x v="8"/>
    <x v="2"/>
    <x v="1"/>
    <n v="6"/>
    <n v="8000"/>
    <n v="48000"/>
    <n v="39360"/>
    <n v="8640"/>
    <n v="0.18"/>
  </r>
  <r>
    <s v="ORD0137"/>
    <x v="149"/>
    <x v="6"/>
    <x v="0"/>
    <x v="15"/>
    <x v="3"/>
    <x v="1"/>
    <x v="1"/>
    <x v="6"/>
    <x v="1"/>
    <n v="9"/>
    <n v="15000"/>
    <n v="135000"/>
    <n v="117450"/>
    <n v="17550"/>
    <n v="0.13"/>
  </r>
  <r>
    <s v="ORD0218"/>
    <x v="149"/>
    <x v="0"/>
    <x v="0"/>
    <x v="14"/>
    <x v="3"/>
    <x v="4"/>
    <x v="3"/>
    <x v="6"/>
    <x v="1"/>
    <n v="8"/>
    <n v="700"/>
    <n v="5600"/>
    <n v="3696"/>
    <n v="1904"/>
    <n v="0.34"/>
  </r>
  <r>
    <s v="ORD0224"/>
    <x v="150"/>
    <x v="10"/>
    <x v="0"/>
    <x v="2"/>
    <x v="1"/>
    <x v="1"/>
    <x v="8"/>
    <x v="1"/>
    <x v="1"/>
    <n v="13"/>
    <n v="7000"/>
    <n v="91000"/>
    <n v="69160"/>
    <n v="21840"/>
    <n v="0.24"/>
  </r>
  <r>
    <s v="ORD0423"/>
    <x v="150"/>
    <x v="0"/>
    <x v="0"/>
    <x v="0"/>
    <x v="0"/>
    <x v="0"/>
    <x v="2"/>
    <x v="4"/>
    <x v="1"/>
    <n v="10"/>
    <n v="1200"/>
    <n v="12000"/>
    <n v="8040"/>
    <n v="3960"/>
    <n v="0.33"/>
  </r>
  <r>
    <s v="ORD0084"/>
    <x v="151"/>
    <x v="7"/>
    <x v="0"/>
    <x v="11"/>
    <x v="1"/>
    <x v="2"/>
    <x v="8"/>
    <x v="6"/>
    <x v="1"/>
    <n v="18"/>
    <n v="4000"/>
    <n v="72000"/>
    <n v="59040"/>
    <n v="12960"/>
    <n v="0.18"/>
  </r>
  <r>
    <s v="ORD0153"/>
    <x v="152"/>
    <x v="8"/>
    <x v="0"/>
    <x v="4"/>
    <x v="0"/>
    <x v="0"/>
    <x v="3"/>
    <x v="3"/>
    <x v="1"/>
    <n v="18"/>
    <n v="15000"/>
    <n v="270000"/>
    <n v="162000"/>
    <n v="108000"/>
    <n v="0.4"/>
  </r>
  <r>
    <s v="ORD0065"/>
    <x v="153"/>
    <x v="2"/>
    <x v="0"/>
    <x v="1"/>
    <x v="0"/>
    <x v="4"/>
    <x v="2"/>
    <x v="0"/>
    <x v="0"/>
    <n v="12"/>
    <n v="300"/>
    <n v="3600"/>
    <n v="2160"/>
    <n v="1440"/>
    <n v="0.4"/>
  </r>
  <r>
    <s v="ORD0142"/>
    <x v="153"/>
    <x v="11"/>
    <x v="0"/>
    <x v="13"/>
    <x v="3"/>
    <x v="3"/>
    <x v="0"/>
    <x v="5"/>
    <x v="1"/>
    <n v="8"/>
    <n v="150"/>
    <n v="1200"/>
    <n v="1020"/>
    <n v="180"/>
    <n v="0.15"/>
  </r>
  <r>
    <s v="ORD0535"/>
    <x v="153"/>
    <x v="1"/>
    <x v="0"/>
    <x v="0"/>
    <x v="0"/>
    <x v="3"/>
    <x v="8"/>
    <x v="0"/>
    <x v="1"/>
    <n v="9"/>
    <n v="1200"/>
    <n v="10800"/>
    <n v="8964"/>
    <n v="1836"/>
    <n v="0.17"/>
  </r>
  <r>
    <s v="ORD0354"/>
    <x v="154"/>
    <x v="1"/>
    <x v="0"/>
    <x v="12"/>
    <x v="1"/>
    <x v="1"/>
    <x v="9"/>
    <x v="0"/>
    <x v="0"/>
    <n v="13"/>
    <n v="3500"/>
    <n v="45500"/>
    <n v="31850"/>
    <n v="13650"/>
    <n v="0.3"/>
  </r>
  <r>
    <s v="ORD0469"/>
    <x v="155"/>
    <x v="4"/>
    <x v="0"/>
    <x v="11"/>
    <x v="1"/>
    <x v="2"/>
    <x v="3"/>
    <x v="2"/>
    <x v="0"/>
    <n v="15"/>
    <n v="20"/>
    <n v="300"/>
    <n v="228"/>
    <n v="72"/>
    <n v="0.24"/>
  </r>
  <r>
    <s v="ORD0209"/>
    <x v="156"/>
    <x v="11"/>
    <x v="0"/>
    <x v="13"/>
    <x v="3"/>
    <x v="4"/>
    <x v="3"/>
    <x v="3"/>
    <x v="0"/>
    <n v="8"/>
    <n v="4000"/>
    <n v="32000"/>
    <n v="24640"/>
    <n v="7360"/>
    <n v="0.23"/>
  </r>
  <r>
    <s v="ORD0173"/>
    <x v="157"/>
    <x v="0"/>
    <x v="0"/>
    <x v="15"/>
    <x v="3"/>
    <x v="2"/>
    <x v="0"/>
    <x v="1"/>
    <x v="1"/>
    <n v="15"/>
    <n v="25000"/>
    <n v="375000"/>
    <n v="240000"/>
    <n v="135000"/>
    <n v="0.36"/>
  </r>
  <r>
    <s v="ORD0177"/>
    <x v="157"/>
    <x v="4"/>
    <x v="0"/>
    <x v="10"/>
    <x v="3"/>
    <x v="0"/>
    <x v="4"/>
    <x v="0"/>
    <x v="0"/>
    <n v="6"/>
    <n v="9000"/>
    <n v="54000"/>
    <n v="36180"/>
    <n v="17820"/>
    <n v="0.33"/>
  </r>
  <r>
    <s v="ORD0101"/>
    <x v="158"/>
    <x v="7"/>
    <x v="0"/>
    <x v="9"/>
    <x v="2"/>
    <x v="2"/>
    <x v="0"/>
    <x v="1"/>
    <x v="0"/>
    <n v="15"/>
    <n v="55000"/>
    <n v="825000"/>
    <n v="701250"/>
    <n v="123750"/>
    <n v="0.15"/>
  </r>
  <r>
    <s v="ORD0168"/>
    <x v="158"/>
    <x v="8"/>
    <x v="0"/>
    <x v="0"/>
    <x v="0"/>
    <x v="4"/>
    <x v="4"/>
    <x v="0"/>
    <x v="0"/>
    <n v="3"/>
    <n v="7000"/>
    <n v="21000"/>
    <n v="12600"/>
    <n v="8400"/>
    <n v="0.4"/>
  </r>
  <r>
    <s v="ORD0267"/>
    <x v="158"/>
    <x v="8"/>
    <x v="0"/>
    <x v="14"/>
    <x v="3"/>
    <x v="4"/>
    <x v="4"/>
    <x v="3"/>
    <x v="1"/>
    <n v="11"/>
    <n v="8000"/>
    <n v="88000"/>
    <n v="63360"/>
    <n v="24640"/>
    <n v="0.28000000000000003"/>
  </r>
  <r>
    <s v="ORD0529"/>
    <x v="159"/>
    <x v="2"/>
    <x v="0"/>
    <x v="13"/>
    <x v="3"/>
    <x v="1"/>
    <x v="4"/>
    <x v="0"/>
    <x v="1"/>
    <n v="6"/>
    <n v="1200"/>
    <n v="7200"/>
    <n v="4680"/>
    <n v="2520"/>
    <n v="0.35"/>
  </r>
  <r>
    <s v="ORD0524"/>
    <x v="160"/>
    <x v="5"/>
    <x v="0"/>
    <x v="13"/>
    <x v="3"/>
    <x v="2"/>
    <x v="7"/>
    <x v="3"/>
    <x v="1"/>
    <n v="5"/>
    <n v="12000"/>
    <n v="60000"/>
    <n v="53400"/>
    <n v="6600"/>
    <n v="0.11"/>
  </r>
  <r>
    <s v="ORD0036"/>
    <x v="161"/>
    <x v="10"/>
    <x v="0"/>
    <x v="13"/>
    <x v="3"/>
    <x v="4"/>
    <x v="9"/>
    <x v="3"/>
    <x v="0"/>
    <n v="10"/>
    <n v="9000"/>
    <n v="90000"/>
    <n v="57600"/>
    <n v="32400"/>
    <n v="0.36"/>
  </r>
  <r>
    <s v="ORD0056"/>
    <x v="162"/>
    <x v="1"/>
    <x v="0"/>
    <x v="14"/>
    <x v="3"/>
    <x v="1"/>
    <x v="0"/>
    <x v="6"/>
    <x v="1"/>
    <n v="13"/>
    <n v="4000"/>
    <n v="52000"/>
    <n v="37960"/>
    <n v="14040"/>
    <n v="0.27"/>
  </r>
  <r>
    <s v="ORD0144"/>
    <x v="163"/>
    <x v="7"/>
    <x v="0"/>
    <x v="9"/>
    <x v="2"/>
    <x v="0"/>
    <x v="2"/>
    <x v="3"/>
    <x v="0"/>
    <n v="17"/>
    <n v="12000"/>
    <n v="204000"/>
    <n v="177480"/>
    <n v="26520"/>
    <n v="0.13"/>
  </r>
  <r>
    <s v="ORD0452"/>
    <x v="163"/>
    <x v="9"/>
    <x v="0"/>
    <x v="8"/>
    <x v="0"/>
    <x v="0"/>
    <x v="8"/>
    <x v="6"/>
    <x v="0"/>
    <n v="13"/>
    <n v="45000"/>
    <n v="585000"/>
    <n v="520650"/>
    <n v="64350"/>
    <n v="0.11"/>
  </r>
  <r>
    <s v="ORD0156"/>
    <x v="164"/>
    <x v="3"/>
    <x v="0"/>
    <x v="12"/>
    <x v="1"/>
    <x v="3"/>
    <x v="3"/>
    <x v="5"/>
    <x v="0"/>
    <n v="15"/>
    <n v="700"/>
    <n v="10500"/>
    <n v="9450"/>
    <n v="1050"/>
    <n v="0.1"/>
  </r>
  <r>
    <s v="ORD0081"/>
    <x v="165"/>
    <x v="3"/>
    <x v="0"/>
    <x v="9"/>
    <x v="2"/>
    <x v="1"/>
    <x v="7"/>
    <x v="2"/>
    <x v="0"/>
    <n v="11"/>
    <n v="50"/>
    <n v="550"/>
    <n v="401.5"/>
    <n v="148.5"/>
    <n v="0.27"/>
  </r>
  <r>
    <s v="ORD0255"/>
    <x v="166"/>
    <x v="10"/>
    <x v="0"/>
    <x v="8"/>
    <x v="0"/>
    <x v="0"/>
    <x v="7"/>
    <x v="1"/>
    <x v="1"/>
    <n v="18"/>
    <n v="55000"/>
    <n v="990000"/>
    <n v="792000"/>
    <n v="198000"/>
    <n v="0.2"/>
  </r>
  <r>
    <s v="ORD0400"/>
    <x v="166"/>
    <x v="3"/>
    <x v="0"/>
    <x v="8"/>
    <x v="0"/>
    <x v="1"/>
    <x v="0"/>
    <x v="1"/>
    <x v="0"/>
    <n v="3"/>
    <n v="700"/>
    <n v="2100"/>
    <n v="1344"/>
    <n v="756"/>
    <n v="0.36"/>
  </r>
  <r>
    <s v="ORD0470"/>
    <x v="166"/>
    <x v="2"/>
    <x v="0"/>
    <x v="3"/>
    <x v="1"/>
    <x v="1"/>
    <x v="2"/>
    <x v="4"/>
    <x v="1"/>
    <n v="13"/>
    <n v="700"/>
    <n v="9100"/>
    <n v="7007"/>
    <n v="2093"/>
    <n v="0.23"/>
  </r>
  <r>
    <s v="ORD0055"/>
    <x v="167"/>
    <x v="8"/>
    <x v="0"/>
    <x v="3"/>
    <x v="1"/>
    <x v="3"/>
    <x v="3"/>
    <x v="0"/>
    <x v="0"/>
    <n v="18"/>
    <n v="1200"/>
    <n v="21600"/>
    <n v="16632"/>
    <n v="4968"/>
    <n v="0.23"/>
  </r>
  <r>
    <s v="ORD0289"/>
    <x v="168"/>
    <x v="0"/>
    <x v="0"/>
    <x v="0"/>
    <x v="0"/>
    <x v="1"/>
    <x v="8"/>
    <x v="5"/>
    <x v="1"/>
    <n v="11"/>
    <n v="20"/>
    <n v="220"/>
    <n v="182.6"/>
    <n v="37.400000000000006"/>
    <n v="0.17"/>
  </r>
  <r>
    <s v="ORD0033"/>
    <x v="169"/>
    <x v="2"/>
    <x v="0"/>
    <x v="10"/>
    <x v="3"/>
    <x v="0"/>
    <x v="2"/>
    <x v="5"/>
    <x v="0"/>
    <n v="19"/>
    <n v="9000"/>
    <n v="171000"/>
    <n v="136800"/>
    <n v="34200"/>
    <n v="0.2"/>
  </r>
  <r>
    <s v="ORD0196"/>
    <x v="169"/>
    <x v="7"/>
    <x v="0"/>
    <x v="7"/>
    <x v="3"/>
    <x v="2"/>
    <x v="0"/>
    <x v="5"/>
    <x v="0"/>
    <n v="16"/>
    <n v="7000"/>
    <n v="112000"/>
    <n v="82880"/>
    <n v="29120"/>
    <n v="0.26"/>
  </r>
  <r>
    <s v="ORD0481"/>
    <x v="169"/>
    <x v="7"/>
    <x v="0"/>
    <x v="10"/>
    <x v="3"/>
    <x v="0"/>
    <x v="7"/>
    <x v="0"/>
    <x v="1"/>
    <n v="3"/>
    <n v="7000"/>
    <n v="21000"/>
    <n v="15750"/>
    <n v="5250"/>
    <n v="0.25"/>
  </r>
  <r>
    <s v="ORD0498"/>
    <x v="169"/>
    <x v="5"/>
    <x v="0"/>
    <x v="11"/>
    <x v="1"/>
    <x v="4"/>
    <x v="9"/>
    <x v="3"/>
    <x v="0"/>
    <n v="9"/>
    <n v="55000"/>
    <n v="495000"/>
    <n v="297000"/>
    <n v="198000"/>
    <n v="0.4"/>
  </r>
  <r>
    <s v="ORD0071"/>
    <x v="170"/>
    <x v="6"/>
    <x v="0"/>
    <x v="15"/>
    <x v="3"/>
    <x v="2"/>
    <x v="2"/>
    <x v="3"/>
    <x v="0"/>
    <n v="2"/>
    <n v="20"/>
    <n v="40"/>
    <n v="29.2"/>
    <n v="10.8"/>
    <n v="0.27"/>
  </r>
  <r>
    <s v="ORD0317"/>
    <x v="170"/>
    <x v="1"/>
    <x v="0"/>
    <x v="0"/>
    <x v="0"/>
    <x v="3"/>
    <x v="4"/>
    <x v="0"/>
    <x v="0"/>
    <n v="1"/>
    <n v="15000"/>
    <n v="15000"/>
    <n v="9450"/>
    <n v="5550"/>
    <n v="0.37"/>
  </r>
  <r>
    <s v="ORD0437"/>
    <x v="171"/>
    <x v="11"/>
    <x v="0"/>
    <x v="14"/>
    <x v="3"/>
    <x v="4"/>
    <x v="2"/>
    <x v="4"/>
    <x v="1"/>
    <n v="17"/>
    <n v="8000"/>
    <n v="136000"/>
    <n v="82960"/>
    <n v="53040"/>
    <n v="0.39"/>
  </r>
  <r>
    <s v="ORD0436"/>
    <x v="172"/>
    <x v="10"/>
    <x v="0"/>
    <x v="11"/>
    <x v="1"/>
    <x v="2"/>
    <x v="2"/>
    <x v="0"/>
    <x v="0"/>
    <n v="3"/>
    <n v="55000"/>
    <n v="165000"/>
    <n v="117150"/>
    <n v="47850"/>
    <n v="0.28999999999999998"/>
  </r>
  <r>
    <s v="ORD0455"/>
    <x v="172"/>
    <x v="10"/>
    <x v="0"/>
    <x v="11"/>
    <x v="1"/>
    <x v="0"/>
    <x v="9"/>
    <x v="5"/>
    <x v="1"/>
    <n v="16"/>
    <n v="150"/>
    <n v="2400"/>
    <n v="1704"/>
    <n v="696"/>
    <n v="0.28999999999999998"/>
  </r>
  <r>
    <s v="ORD0020"/>
    <x v="173"/>
    <x v="10"/>
    <x v="0"/>
    <x v="9"/>
    <x v="2"/>
    <x v="0"/>
    <x v="0"/>
    <x v="6"/>
    <x v="1"/>
    <n v="8"/>
    <n v="1200"/>
    <n v="9600"/>
    <n v="7488"/>
    <n v="2112"/>
    <n v="0.22"/>
  </r>
  <r>
    <s v="ORD0085"/>
    <x v="174"/>
    <x v="0"/>
    <x v="0"/>
    <x v="9"/>
    <x v="2"/>
    <x v="1"/>
    <x v="7"/>
    <x v="0"/>
    <x v="1"/>
    <n v="4"/>
    <n v="12000"/>
    <n v="48000"/>
    <n v="34560"/>
    <n v="13440"/>
    <n v="0.28000000000000003"/>
  </r>
  <r>
    <s v="ORD0159"/>
    <x v="174"/>
    <x v="5"/>
    <x v="0"/>
    <x v="10"/>
    <x v="3"/>
    <x v="4"/>
    <x v="8"/>
    <x v="5"/>
    <x v="1"/>
    <n v="18"/>
    <n v="12000"/>
    <n v="216000"/>
    <n v="159840"/>
    <n v="56160"/>
    <n v="0.26"/>
  </r>
  <r>
    <s v="ORD0388"/>
    <x v="174"/>
    <x v="4"/>
    <x v="0"/>
    <x v="9"/>
    <x v="2"/>
    <x v="1"/>
    <x v="4"/>
    <x v="5"/>
    <x v="1"/>
    <n v="19"/>
    <n v="8000"/>
    <n v="152000"/>
    <n v="132240"/>
    <n v="19760"/>
    <n v="0.13"/>
  </r>
  <r>
    <s v="ORD0111"/>
    <x v="175"/>
    <x v="6"/>
    <x v="0"/>
    <x v="13"/>
    <x v="3"/>
    <x v="2"/>
    <x v="6"/>
    <x v="4"/>
    <x v="0"/>
    <n v="20"/>
    <n v="300"/>
    <n v="6000"/>
    <n v="3780"/>
    <n v="2220"/>
    <n v="0.37"/>
  </r>
  <r>
    <s v="ORD0163"/>
    <x v="175"/>
    <x v="8"/>
    <x v="0"/>
    <x v="14"/>
    <x v="3"/>
    <x v="4"/>
    <x v="2"/>
    <x v="5"/>
    <x v="1"/>
    <n v="14"/>
    <n v="45000"/>
    <n v="630000"/>
    <n v="510300"/>
    <n v="119700"/>
    <n v="0.19"/>
  </r>
  <r>
    <s v="ORD0237"/>
    <x v="176"/>
    <x v="7"/>
    <x v="0"/>
    <x v="13"/>
    <x v="3"/>
    <x v="3"/>
    <x v="7"/>
    <x v="0"/>
    <x v="1"/>
    <n v="17"/>
    <n v="45000"/>
    <n v="765000"/>
    <n v="527850"/>
    <n v="237150"/>
    <n v="0.31"/>
  </r>
  <r>
    <s v="ORD0284"/>
    <x v="176"/>
    <x v="0"/>
    <x v="0"/>
    <x v="4"/>
    <x v="0"/>
    <x v="4"/>
    <x v="8"/>
    <x v="1"/>
    <x v="1"/>
    <n v="2"/>
    <n v="20"/>
    <n v="40"/>
    <n v="27.6"/>
    <n v="12.399999999999999"/>
    <n v="0.30999999999999994"/>
  </r>
  <r>
    <s v="ORD0321"/>
    <x v="176"/>
    <x v="6"/>
    <x v="0"/>
    <x v="11"/>
    <x v="1"/>
    <x v="3"/>
    <x v="0"/>
    <x v="2"/>
    <x v="1"/>
    <n v="8"/>
    <n v="1200"/>
    <n v="9600"/>
    <n v="5952"/>
    <n v="3648"/>
    <n v="0.38"/>
  </r>
  <r>
    <s v="ORD0396"/>
    <x v="176"/>
    <x v="5"/>
    <x v="0"/>
    <x v="7"/>
    <x v="3"/>
    <x v="4"/>
    <x v="4"/>
    <x v="0"/>
    <x v="0"/>
    <n v="2"/>
    <n v="20"/>
    <n v="40"/>
    <n v="27.2"/>
    <n v="12.8"/>
    <n v="0.32"/>
  </r>
  <r>
    <s v="ORD0516"/>
    <x v="176"/>
    <x v="6"/>
    <x v="0"/>
    <x v="5"/>
    <x v="2"/>
    <x v="4"/>
    <x v="6"/>
    <x v="0"/>
    <x v="1"/>
    <n v="4"/>
    <n v="150"/>
    <n v="600"/>
    <n v="402"/>
    <n v="198"/>
    <n v="0.33"/>
  </r>
  <r>
    <s v="ORD0108"/>
    <x v="177"/>
    <x v="5"/>
    <x v="0"/>
    <x v="15"/>
    <x v="3"/>
    <x v="3"/>
    <x v="3"/>
    <x v="0"/>
    <x v="0"/>
    <n v="9"/>
    <n v="1200"/>
    <n v="10800"/>
    <n v="9612"/>
    <n v="1188"/>
    <n v="0.11"/>
  </r>
  <r>
    <s v="ORD0122"/>
    <x v="177"/>
    <x v="7"/>
    <x v="0"/>
    <x v="9"/>
    <x v="2"/>
    <x v="1"/>
    <x v="2"/>
    <x v="5"/>
    <x v="0"/>
    <n v="3"/>
    <n v="7000"/>
    <n v="21000"/>
    <n v="18690"/>
    <n v="2310"/>
    <n v="0.11"/>
  </r>
  <r>
    <s v="ORD0045"/>
    <x v="178"/>
    <x v="0"/>
    <x v="0"/>
    <x v="10"/>
    <x v="3"/>
    <x v="3"/>
    <x v="5"/>
    <x v="4"/>
    <x v="0"/>
    <n v="9"/>
    <n v="8000"/>
    <n v="72000"/>
    <n v="58320"/>
    <n v="13680"/>
    <n v="0.19"/>
  </r>
  <r>
    <s v="ORD0069"/>
    <x v="179"/>
    <x v="5"/>
    <x v="0"/>
    <x v="10"/>
    <x v="3"/>
    <x v="0"/>
    <x v="5"/>
    <x v="6"/>
    <x v="1"/>
    <n v="17"/>
    <n v="300"/>
    <n v="5100"/>
    <n v="4284"/>
    <n v="816"/>
    <n v="0.16"/>
  </r>
  <r>
    <s v="ORD0349"/>
    <x v="179"/>
    <x v="0"/>
    <x v="0"/>
    <x v="15"/>
    <x v="3"/>
    <x v="4"/>
    <x v="2"/>
    <x v="0"/>
    <x v="1"/>
    <n v="10"/>
    <n v="3500"/>
    <n v="35000"/>
    <n v="25550"/>
    <n v="9450"/>
    <n v="0.27"/>
  </r>
  <r>
    <s v="ORD0004"/>
    <x v="180"/>
    <x v="4"/>
    <x v="0"/>
    <x v="7"/>
    <x v="3"/>
    <x v="0"/>
    <x v="6"/>
    <x v="2"/>
    <x v="0"/>
    <n v="4"/>
    <n v="20"/>
    <n v="80"/>
    <n v="48.8"/>
    <n v="31.200000000000003"/>
    <n v="0.39"/>
  </r>
  <r>
    <s v="ORD0264"/>
    <x v="181"/>
    <x v="1"/>
    <x v="0"/>
    <x v="4"/>
    <x v="0"/>
    <x v="2"/>
    <x v="0"/>
    <x v="2"/>
    <x v="1"/>
    <n v="3"/>
    <n v="15000"/>
    <n v="45000"/>
    <n v="34650"/>
    <n v="10350"/>
    <n v="0.23"/>
  </r>
  <r>
    <s v="ORD0288"/>
    <x v="181"/>
    <x v="8"/>
    <x v="0"/>
    <x v="13"/>
    <x v="3"/>
    <x v="1"/>
    <x v="8"/>
    <x v="5"/>
    <x v="1"/>
    <n v="17"/>
    <n v="150"/>
    <n v="2550"/>
    <n v="2167.5"/>
    <n v="382.5"/>
    <n v="0.15"/>
  </r>
  <r>
    <s v="ORD0152"/>
    <x v="182"/>
    <x v="2"/>
    <x v="0"/>
    <x v="12"/>
    <x v="1"/>
    <x v="3"/>
    <x v="6"/>
    <x v="0"/>
    <x v="0"/>
    <n v="17"/>
    <n v="300"/>
    <n v="5100"/>
    <n v="4080"/>
    <n v="1020"/>
    <n v="0.2"/>
  </r>
  <r>
    <s v="ORD0212"/>
    <x v="183"/>
    <x v="10"/>
    <x v="0"/>
    <x v="5"/>
    <x v="2"/>
    <x v="4"/>
    <x v="0"/>
    <x v="3"/>
    <x v="1"/>
    <n v="17"/>
    <n v="45000"/>
    <n v="765000"/>
    <n v="459000"/>
    <n v="306000"/>
    <n v="0.4"/>
  </r>
  <r>
    <s v="ORD0479"/>
    <x v="183"/>
    <x v="10"/>
    <x v="0"/>
    <x v="1"/>
    <x v="0"/>
    <x v="2"/>
    <x v="1"/>
    <x v="2"/>
    <x v="0"/>
    <n v="5"/>
    <n v="4000"/>
    <n v="20000"/>
    <n v="13600"/>
    <n v="6400"/>
    <n v="0.32"/>
  </r>
  <r>
    <s v="ORD0019"/>
    <x v="184"/>
    <x v="7"/>
    <x v="0"/>
    <x v="14"/>
    <x v="3"/>
    <x v="3"/>
    <x v="3"/>
    <x v="3"/>
    <x v="1"/>
    <n v="6"/>
    <n v="9000"/>
    <n v="54000"/>
    <n v="33480"/>
    <n v="20520"/>
    <n v="0.38"/>
  </r>
  <r>
    <s v="ORD0446"/>
    <x v="184"/>
    <x v="1"/>
    <x v="0"/>
    <x v="12"/>
    <x v="1"/>
    <x v="2"/>
    <x v="8"/>
    <x v="0"/>
    <x v="0"/>
    <n v="12"/>
    <n v="3500"/>
    <n v="42000"/>
    <n v="26040"/>
    <n v="15960"/>
    <n v="0.38"/>
  </r>
  <r>
    <s v="ORD0271"/>
    <x v="185"/>
    <x v="8"/>
    <x v="0"/>
    <x v="12"/>
    <x v="1"/>
    <x v="2"/>
    <x v="6"/>
    <x v="1"/>
    <x v="1"/>
    <n v="16"/>
    <n v="1200"/>
    <n v="19200"/>
    <n v="15552"/>
    <n v="3648"/>
    <n v="0.19"/>
  </r>
  <r>
    <s v="ORD0193"/>
    <x v="186"/>
    <x v="8"/>
    <x v="0"/>
    <x v="1"/>
    <x v="0"/>
    <x v="2"/>
    <x v="9"/>
    <x v="5"/>
    <x v="1"/>
    <n v="15"/>
    <n v="45000"/>
    <n v="675000"/>
    <n v="425250"/>
    <n v="249750"/>
    <n v="0.37"/>
  </r>
  <r>
    <s v="ORD0372"/>
    <x v="187"/>
    <x v="9"/>
    <x v="0"/>
    <x v="13"/>
    <x v="3"/>
    <x v="4"/>
    <x v="4"/>
    <x v="4"/>
    <x v="1"/>
    <n v="7"/>
    <n v="50"/>
    <n v="350"/>
    <n v="294"/>
    <n v="56"/>
    <n v="0.16"/>
  </r>
  <r>
    <s v="ORD0130"/>
    <x v="188"/>
    <x v="8"/>
    <x v="0"/>
    <x v="8"/>
    <x v="0"/>
    <x v="1"/>
    <x v="8"/>
    <x v="4"/>
    <x v="0"/>
    <n v="11"/>
    <n v="1200"/>
    <n v="13200"/>
    <n v="8184"/>
    <n v="5016"/>
    <n v="0.38"/>
  </r>
  <r>
    <s v="ORD0415"/>
    <x v="189"/>
    <x v="7"/>
    <x v="0"/>
    <x v="6"/>
    <x v="2"/>
    <x v="1"/>
    <x v="3"/>
    <x v="5"/>
    <x v="0"/>
    <n v="3"/>
    <n v="20"/>
    <n v="60"/>
    <n v="49.8"/>
    <n v="10.200000000000003"/>
    <n v="0.17000000000000004"/>
  </r>
  <r>
    <s v="ORD0477"/>
    <x v="190"/>
    <x v="9"/>
    <x v="0"/>
    <x v="10"/>
    <x v="3"/>
    <x v="2"/>
    <x v="5"/>
    <x v="1"/>
    <x v="0"/>
    <n v="18"/>
    <n v="50"/>
    <n v="900"/>
    <n v="594"/>
    <n v="306"/>
    <n v="0.34"/>
  </r>
  <r>
    <s v="ORD0503"/>
    <x v="190"/>
    <x v="0"/>
    <x v="0"/>
    <x v="12"/>
    <x v="1"/>
    <x v="0"/>
    <x v="5"/>
    <x v="0"/>
    <x v="0"/>
    <n v="10"/>
    <n v="150"/>
    <n v="1500"/>
    <n v="1110"/>
    <n v="390"/>
    <n v="0.26"/>
  </r>
  <r>
    <s v="ORD0179"/>
    <x v="191"/>
    <x v="8"/>
    <x v="0"/>
    <x v="3"/>
    <x v="1"/>
    <x v="2"/>
    <x v="6"/>
    <x v="1"/>
    <x v="1"/>
    <n v="18"/>
    <n v="8000"/>
    <n v="144000"/>
    <n v="105120"/>
    <n v="38880"/>
    <n v="0.27"/>
  </r>
  <r>
    <s v="ORD0371"/>
    <x v="191"/>
    <x v="6"/>
    <x v="0"/>
    <x v="3"/>
    <x v="1"/>
    <x v="1"/>
    <x v="0"/>
    <x v="2"/>
    <x v="1"/>
    <n v="15"/>
    <n v="150"/>
    <n v="2250"/>
    <n v="1642.5"/>
    <n v="607.5"/>
    <n v="0.27"/>
  </r>
  <r>
    <s v="ORD0429"/>
    <x v="191"/>
    <x v="2"/>
    <x v="0"/>
    <x v="2"/>
    <x v="1"/>
    <x v="4"/>
    <x v="5"/>
    <x v="1"/>
    <x v="1"/>
    <n v="16"/>
    <n v="1200"/>
    <n v="19200"/>
    <n v="15552"/>
    <n v="3648"/>
    <n v="0.19"/>
  </r>
  <r>
    <s v="ORD0252"/>
    <x v="192"/>
    <x v="3"/>
    <x v="0"/>
    <x v="7"/>
    <x v="3"/>
    <x v="1"/>
    <x v="2"/>
    <x v="4"/>
    <x v="0"/>
    <n v="4"/>
    <n v="7000"/>
    <n v="28000"/>
    <n v="21280"/>
    <n v="6720"/>
    <n v="0.24"/>
  </r>
  <r>
    <s v="ORD0442"/>
    <x v="192"/>
    <x v="5"/>
    <x v="0"/>
    <x v="3"/>
    <x v="1"/>
    <x v="2"/>
    <x v="4"/>
    <x v="3"/>
    <x v="0"/>
    <n v="16"/>
    <n v="3500"/>
    <n v="56000"/>
    <n v="38080"/>
    <n v="17920"/>
    <n v="0.32"/>
  </r>
  <r>
    <s v="ORD0526"/>
    <x v="192"/>
    <x v="6"/>
    <x v="0"/>
    <x v="1"/>
    <x v="0"/>
    <x v="4"/>
    <x v="6"/>
    <x v="0"/>
    <x v="0"/>
    <n v="12"/>
    <n v="7000"/>
    <n v="84000"/>
    <n v="70560"/>
    <n v="13440"/>
    <n v="0.16"/>
  </r>
  <r>
    <s v="ORD0266"/>
    <x v="193"/>
    <x v="3"/>
    <x v="0"/>
    <x v="7"/>
    <x v="3"/>
    <x v="2"/>
    <x v="5"/>
    <x v="6"/>
    <x v="0"/>
    <n v="7"/>
    <n v="55000"/>
    <n v="385000"/>
    <n v="308000"/>
    <n v="77000"/>
    <n v="0.2"/>
  </r>
  <r>
    <s v="ORD0406"/>
    <x v="193"/>
    <x v="1"/>
    <x v="0"/>
    <x v="1"/>
    <x v="0"/>
    <x v="4"/>
    <x v="9"/>
    <x v="6"/>
    <x v="0"/>
    <n v="15"/>
    <n v="12000"/>
    <n v="180000"/>
    <n v="120600"/>
    <n v="59400"/>
    <n v="0.33"/>
  </r>
  <r>
    <s v="ORD0024"/>
    <x v="194"/>
    <x v="7"/>
    <x v="0"/>
    <x v="9"/>
    <x v="2"/>
    <x v="0"/>
    <x v="1"/>
    <x v="1"/>
    <x v="1"/>
    <n v="9"/>
    <n v="12000"/>
    <n v="108000"/>
    <n v="64800"/>
    <n v="43200"/>
    <n v="0.4"/>
  </r>
  <r>
    <s v="ORD0145"/>
    <x v="195"/>
    <x v="3"/>
    <x v="0"/>
    <x v="12"/>
    <x v="1"/>
    <x v="1"/>
    <x v="9"/>
    <x v="6"/>
    <x v="1"/>
    <n v="4"/>
    <n v="150"/>
    <n v="600"/>
    <n v="432"/>
    <n v="168"/>
    <n v="0.28000000000000003"/>
  </r>
  <r>
    <s v="ORD0272"/>
    <x v="195"/>
    <x v="3"/>
    <x v="0"/>
    <x v="8"/>
    <x v="0"/>
    <x v="3"/>
    <x v="3"/>
    <x v="5"/>
    <x v="1"/>
    <n v="20"/>
    <n v="3500"/>
    <n v="70000"/>
    <n v="51100"/>
    <n v="18900"/>
    <n v="0.27"/>
  </r>
  <r>
    <s v="ORD0515"/>
    <x v="195"/>
    <x v="6"/>
    <x v="0"/>
    <x v="13"/>
    <x v="3"/>
    <x v="3"/>
    <x v="4"/>
    <x v="5"/>
    <x v="1"/>
    <n v="7"/>
    <n v="300"/>
    <n v="2100"/>
    <n v="1743"/>
    <n v="357"/>
    <n v="0.17"/>
  </r>
  <r>
    <s v="ORD0525"/>
    <x v="195"/>
    <x v="3"/>
    <x v="0"/>
    <x v="7"/>
    <x v="3"/>
    <x v="1"/>
    <x v="9"/>
    <x v="3"/>
    <x v="0"/>
    <n v="11"/>
    <n v="15000"/>
    <n v="165000"/>
    <n v="120450"/>
    <n v="44550"/>
    <n v="0.27"/>
  </r>
  <r>
    <s v="ORD0217"/>
    <x v="196"/>
    <x v="10"/>
    <x v="0"/>
    <x v="9"/>
    <x v="2"/>
    <x v="2"/>
    <x v="3"/>
    <x v="3"/>
    <x v="0"/>
    <n v="11"/>
    <n v="8000"/>
    <n v="88000"/>
    <n v="76560"/>
    <n v="11440"/>
    <n v="0.13"/>
  </r>
  <r>
    <s v="ORD0061"/>
    <x v="197"/>
    <x v="8"/>
    <x v="0"/>
    <x v="7"/>
    <x v="3"/>
    <x v="0"/>
    <x v="0"/>
    <x v="4"/>
    <x v="1"/>
    <n v="2"/>
    <n v="45000"/>
    <n v="90000"/>
    <n v="71100"/>
    <n v="18900"/>
    <n v="0.21"/>
  </r>
  <r>
    <s v="ORD0213"/>
    <x v="198"/>
    <x v="9"/>
    <x v="0"/>
    <x v="3"/>
    <x v="1"/>
    <x v="1"/>
    <x v="9"/>
    <x v="1"/>
    <x v="1"/>
    <n v="14"/>
    <n v="3500"/>
    <n v="49000"/>
    <n v="41650"/>
    <n v="7350"/>
    <n v="0.15"/>
  </r>
  <r>
    <s v="ORD0044"/>
    <x v="199"/>
    <x v="2"/>
    <x v="0"/>
    <x v="1"/>
    <x v="0"/>
    <x v="1"/>
    <x v="1"/>
    <x v="0"/>
    <x v="1"/>
    <n v="17"/>
    <n v="45000"/>
    <n v="765000"/>
    <n v="466650"/>
    <n v="298350"/>
    <n v="0.39"/>
  </r>
  <r>
    <s v="ORD0165"/>
    <x v="199"/>
    <x v="4"/>
    <x v="0"/>
    <x v="13"/>
    <x v="3"/>
    <x v="0"/>
    <x v="0"/>
    <x v="0"/>
    <x v="0"/>
    <n v="3"/>
    <n v="15000"/>
    <n v="45000"/>
    <n v="32850"/>
    <n v="12150"/>
    <n v="0.27"/>
  </r>
  <r>
    <s v="ORD0363"/>
    <x v="199"/>
    <x v="5"/>
    <x v="0"/>
    <x v="6"/>
    <x v="2"/>
    <x v="0"/>
    <x v="9"/>
    <x v="5"/>
    <x v="1"/>
    <n v="9"/>
    <n v="45000"/>
    <n v="405000"/>
    <n v="303750"/>
    <n v="101250"/>
    <n v="0.25"/>
  </r>
  <r>
    <s v="ORD0397"/>
    <x v="200"/>
    <x v="10"/>
    <x v="0"/>
    <x v="8"/>
    <x v="0"/>
    <x v="1"/>
    <x v="9"/>
    <x v="3"/>
    <x v="0"/>
    <n v="9"/>
    <n v="20"/>
    <n v="180"/>
    <n v="109.8"/>
    <n v="70.2"/>
    <n v="0.39"/>
  </r>
  <r>
    <s v="ORD0523"/>
    <x v="200"/>
    <x v="5"/>
    <x v="0"/>
    <x v="12"/>
    <x v="1"/>
    <x v="3"/>
    <x v="3"/>
    <x v="5"/>
    <x v="0"/>
    <n v="8"/>
    <n v="4000"/>
    <n v="32000"/>
    <n v="24960"/>
    <n v="7040"/>
    <n v="0.22"/>
  </r>
  <r>
    <s v="ORD0054"/>
    <x v="201"/>
    <x v="7"/>
    <x v="0"/>
    <x v="9"/>
    <x v="2"/>
    <x v="3"/>
    <x v="7"/>
    <x v="2"/>
    <x v="1"/>
    <n v="16"/>
    <n v="20"/>
    <n v="320"/>
    <n v="224"/>
    <n v="96"/>
    <n v="0.3"/>
  </r>
  <r>
    <s v="ORD0326"/>
    <x v="201"/>
    <x v="3"/>
    <x v="0"/>
    <x v="11"/>
    <x v="1"/>
    <x v="2"/>
    <x v="9"/>
    <x v="0"/>
    <x v="1"/>
    <n v="5"/>
    <n v="50"/>
    <n v="250"/>
    <n v="187.5"/>
    <n v="62.5"/>
    <n v="0.25"/>
  </r>
  <r>
    <s v="ORD0465"/>
    <x v="201"/>
    <x v="6"/>
    <x v="0"/>
    <x v="7"/>
    <x v="3"/>
    <x v="1"/>
    <x v="5"/>
    <x v="0"/>
    <x v="0"/>
    <n v="9"/>
    <n v="45000"/>
    <n v="405000"/>
    <n v="275400"/>
    <n v="129600"/>
    <n v="0.32"/>
  </r>
  <r>
    <s v="ORD0312"/>
    <x v="202"/>
    <x v="10"/>
    <x v="0"/>
    <x v="4"/>
    <x v="0"/>
    <x v="4"/>
    <x v="4"/>
    <x v="5"/>
    <x v="1"/>
    <n v="2"/>
    <n v="4000"/>
    <n v="8000"/>
    <n v="5040"/>
    <n v="2960"/>
    <n v="0.37"/>
  </r>
  <r>
    <s v="ORD0352"/>
    <x v="202"/>
    <x v="5"/>
    <x v="0"/>
    <x v="13"/>
    <x v="3"/>
    <x v="2"/>
    <x v="2"/>
    <x v="1"/>
    <x v="0"/>
    <n v="16"/>
    <n v="8000"/>
    <n v="128000"/>
    <n v="90880"/>
    <n v="37120"/>
    <n v="0.28999999999999998"/>
  </r>
  <r>
    <s v="ORD0392"/>
    <x v="202"/>
    <x v="1"/>
    <x v="0"/>
    <x v="8"/>
    <x v="0"/>
    <x v="4"/>
    <x v="6"/>
    <x v="6"/>
    <x v="0"/>
    <n v="17"/>
    <n v="4000"/>
    <n v="68000"/>
    <n v="42160"/>
    <n v="25840"/>
    <n v="0.38"/>
  </r>
  <r>
    <s v="ORD0185"/>
    <x v="203"/>
    <x v="3"/>
    <x v="0"/>
    <x v="14"/>
    <x v="3"/>
    <x v="1"/>
    <x v="0"/>
    <x v="1"/>
    <x v="1"/>
    <n v="9"/>
    <n v="1200"/>
    <n v="10800"/>
    <n v="8208"/>
    <n v="2592"/>
    <n v="0.24"/>
  </r>
  <r>
    <s v="ORD0229"/>
    <x v="203"/>
    <x v="2"/>
    <x v="0"/>
    <x v="9"/>
    <x v="2"/>
    <x v="1"/>
    <x v="8"/>
    <x v="0"/>
    <x v="1"/>
    <n v="18"/>
    <n v="45000"/>
    <n v="810000"/>
    <n v="639900"/>
    <n v="170100"/>
    <n v="0.21"/>
  </r>
  <r>
    <s v="ORD0208"/>
    <x v="204"/>
    <x v="7"/>
    <x v="0"/>
    <x v="9"/>
    <x v="2"/>
    <x v="0"/>
    <x v="0"/>
    <x v="4"/>
    <x v="1"/>
    <n v="11"/>
    <n v="3500"/>
    <n v="38500"/>
    <n v="28490"/>
    <n v="10010"/>
    <n v="0.26"/>
  </r>
  <r>
    <s v="ORD0318"/>
    <x v="204"/>
    <x v="9"/>
    <x v="0"/>
    <x v="14"/>
    <x v="3"/>
    <x v="1"/>
    <x v="3"/>
    <x v="0"/>
    <x v="0"/>
    <n v="9"/>
    <n v="45000"/>
    <n v="405000"/>
    <n v="259200"/>
    <n v="145800"/>
    <n v="0.36"/>
  </r>
  <r>
    <s v="ORD0495"/>
    <x v="204"/>
    <x v="0"/>
    <x v="0"/>
    <x v="0"/>
    <x v="0"/>
    <x v="3"/>
    <x v="8"/>
    <x v="0"/>
    <x v="0"/>
    <n v="18"/>
    <n v="8000"/>
    <n v="144000"/>
    <n v="99360"/>
    <n v="44640"/>
    <n v="0.31"/>
  </r>
  <r>
    <s v="ORD0157"/>
    <x v="205"/>
    <x v="1"/>
    <x v="0"/>
    <x v="4"/>
    <x v="0"/>
    <x v="3"/>
    <x v="3"/>
    <x v="5"/>
    <x v="0"/>
    <n v="20"/>
    <n v="700"/>
    <n v="14000"/>
    <n v="12320"/>
    <n v="1680"/>
    <n v="0.12"/>
  </r>
  <r>
    <s v="ORD0395"/>
    <x v="205"/>
    <x v="10"/>
    <x v="0"/>
    <x v="5"/>
    <x v="2"/>
    <x v="4"/>
    <x v="3"/>
    <x v="5"/>
    <x v="1"/>
    <n v="18"/>
    <n v="25000"/>
    <n v="450000"/>
    <n v="288000"/>
    <n v="162000"/>
    <n v="0.36"/>
  </r>
  <r>
    <s v="ORD0497"/>
    <x v="205"/>
    <x v="5"/>
    <x v="0"/>
    <x v="13"/>
    <x v="3"/>
    <x v="2"/>
    <x v="8"/>
    <x v="3"/>
    <x v="1"/>
    <n v="17"/>
    <n v="55000"/>
    <n v="935000"/>
    <n v="673200"/>
    <n v="261800"/>
    <n v="0.28000000000000003"/>
  </r>
  <r>
    <s v="ORD0109"/>
    <x v="206"/>
    <x v="10"/>
    <x v="0"/>
    <x v="0"/>
    <x v="0"/>
    <x v="0"/>
    <x v="4"/>
    <x v="1"/>
    <x v="0"/>
    <n v="18"/>
    <n v="4000"/>
    <n v="72000"/>
    <n v="54720"/>
    <n v="17280"/>
    <n v="0.24"/>
  </r>
  <r>
    <s v="ORD0014"/>
    <x v="207"/>
    <x v="11"/>
    <x v="0"/>
    <x v="14"/>
    <x v="3"/>
    <x v="4"/>
    <x v="9"/>
    <x v="2"/>
    <x v="0"/>
    <n v="12"/>
    <n v="45000"/>
    <n v="540000"/>
    <n v="480600"/>
    <n v="59400"/>
    <n v="0.11"/>
  </r>
  <r>
    <s v="ORD0094"/>
    <x v="207"/>
    <x v="5"/>
    <x v="0"/>
    <x v="15"/>
    <x v="3"/>
    <x v="4"/>
    <x v="5"/>
    <x v="6"/>
    <x v="1"/>
    <n v="5"/>
    <n v="7000"/>
    <n v="35000"/>
    <n v="24500"/>
    <n v="10500"/>
    <n v="0.3"/>
  </r>
  <r>
    <s v="ORD0234"/>
    <x v="207"/>
    <x v="3"/>
    <x v="0"/>
    <x v="4"/>
    <x v="0"/>
    <x v="0"/>
    <x v="5"/>
    <x v="6"/>
    <x v="0"/>
    <n v="15"/>
    <n v="9000"/>
    <n v="135000"/>
    <n v="106650"/>
    <n v="28350"/>
    <n v="0.21"/>
  </r>
  <r>
    <s v="ORD0402"/>
    <x v="207"/>
    <x v="3"/>
    <x v="0"/>
    <x v="3"/>
    <x v="1"/>
    <x v="2"/>
    <x v="5"/>
    <x v="3"/>
    <x v="0"/>
    <n v="5"/>
    <n v="4000"/>
    <n v="20000"/>
    <n v="13200"/>
    <n v="6800"/>
    <n v="0.34"/>
  </r>
  <r>
    <s v="ORD0512"/>
    <x v="208"/>
    <x v="3"/>
    <x v="0"/>
    <x v="7"/>
    <x v="3"/>
    <x v="4"/>
    <x v="8"/>
    <x v="5"/>
    <x v="1"/>
    <n v="3"/>
    <n v="9000"/>
    <n v="27000"/>
    <n v="21870"/>
    <n v="5130"/>
    <n v="0.19"/>
  </r>
  <r>
    <s v="ORD0034"/>
    <x v="209"/>
    <x v="7"/>
    <x v="0"/>
    <x v="2"/>
    <x v="1"/>
    <x v="4"/>
    <x v="5"/>
    <x v="0"/>
    <x v="0"/>
    <n v="6"/>
    <n v="20"/>
    <n v="120"/>
    <n v="87.6"/>
    <n v="32.400000000000006"/>
    <n v="0.27000000000000007"/>
  </r>
  <r>
    <s v="ORD0376"/>
    <x v="209"/>
    <x v="11"/>
    <x v="0"/>
    <x v="1"/>
    <x v="0"/>
    <x v="0"/>
    <x v="5"/>
    <x v="5"/>
    <x v="1"/>
    <n v="2"/>
    <n v="9000"/>
    <n v="18000"/>
    <n v="12780"/>
    <n v="5220"/>
    <n v="0.28999999999999998"/>
  </r>
  <r>
    <s v="ORD0427"/>
    <x v="209"/>
    <x v="8"/>
    <x v="0"/>
    <x v="5"/>
    <x v="2"/>
    <x v="2"/>
    <x v="1"/>
    <x v="0"/>
    <x v="0"/>
    <n v="14"/>
    <n v="700"/>
    <n v="9800"/>
    <n v="7252"/>
    <n v="2548"/>
    <n v="0.26"/>
  </r>
  <r>
    <s v="ORD0077"/>
    <x v="210"/>
    <x v="3"/>
    <x v="0"/>
    <x v="15"/>
    <x v="3"/>
    <x v="4"/>
    <x v="5"/>
    <x v="0"/>
    <x v="1"/>
    <n v="9"/>
    <n v="7000"/>
    <n v="63000"/>
    <n v="39060"/>
    <n v="23940"/>
    <n v="0.38"/>
  </r>
  <r>
    <s v="ORD0032"/>
    <x v="211"/>
    <x v="0"/>
    <x v="0"/>
    <x v="10"/>
    <x v="3"/>
    <x v="0"/>
    <x v="3"/>
    <x v="6"/>
    <x v="1"/>
    <n v="17"/>
    <n v="20"/>
    <n v="340"/>
    <n v="207.4"/>
    <n v="132.6"/>
    <n v="0.38999999999999996"/>
  </r>
  <r>
    <s v="ORD0286"/>
    <x v="211"/>
    <x v="8"/>
    <x v="0"/>
    <x v="8"/>
    <x v="0"/>
    <x v="1"/>
    <x v="8"/>
    <x v="3"/>
    <x v="0"/>
    <n v="11"/>
    <n v="7000"/>
    <n v="77000"/>
    <n v="67760"/>
    <n v="9240"/>
    <n v="0.12"/>
  </r>
  <r>
    <s v="ORD0003"/>
    <x v="212"/>
    <x v="8"/>
    <x v="0"/>
    <x v="0"/>
    <x v="0"/>
    <x v="1"/>
    <x v="6"/>
    <x v="6"/>
    <x v="0"/>
    <n v="7"/>
    <n v="15000"/>
    <n v="105000"/>
    <n v="88200"/>
    <n v="16800"/>
    <n v="0.16"/>
  </r>
  <r>
    <s v="ORD0068"/>
    <x v="213"/>
    <x v="1"/>
    <x v="0"/>
    <x v="6"/>
    <x v="2"/>
    <x v="4"/>
    <x v="0"/>
    <x v="3"/>
    <x v="1"/>
    <n v="12"/>
    <n v="150"/>
    <n v="1800"/>
    <n v="1350"/>
    <n v="450"/>
    <n v="0.25"/>
  </r>
  <r>
    <s v="ORD0303"/>
    <x v="213"/>
    <x v="1"/>
    <x v="0"/>
    <x v="15"/>
    <x v="3"/>
    <x v="3"/>
    <x v="3"/>
    <x v="5"/>
    <x v="1"/>
    <n v="13"/>
    <n v="55000"/>
    <n v="715000"/>
    <n v="643500"/>
    <n v="71500"/>
    <n v="0.1"/>
  </r>
  <r>
    <s v="ORD0313"/>
    <x v="214"/>
    <x v="3"/>
    <x v="0"/>
    <x v="1"/>
    <x v="0"/>
    <x v="2"/>
    <x v="4"/>
    <x v="3"/>
    <x v="0"/>
    <n v="17"/>
    <n v="20"/>
    <n v="340"/>
    <n v="272"/>
    <n v="68"/>
    <n v="0.2"/>
  </r>
  <r>
    <s v="ORD0184"/>
    <x v="215"/>
    <x v="7"/>
    <x v="0"/>
    <x v="15"/>
    <x v="3"/>
    <x v="4"/>
    <x v="2"/>
    <x v="0"/>
    <x v="0"/>
    <n v="1"/>
    <n v="15000"/>
    <n v="15000"/>
    <n v="11700"/>
    <n v="3300"/>
    <n v="0.22"/>
  </r>
  <r>
    <s v="ORD0273"/>
    <x v="215"/>
    <x v="11"/>
    <x v="0"/>
    <x v="1"/>
    <x v="0"/>
    <x v="3"/>
    <x v="9"/>
    <x v="1"/>
    <x v="0"/>
    <n v="1"/>
    <n v="15000"/>
    <n v="15000"/>
    <n v="9000"/>
    <n v="6000"/>
    <n v="0.4"/>
  </r>
  <r>
    <s v="ORD0432"/>
    <x v="216"/>
    <x v="9"/>
    <x v="0"/>
    <x v="1"/>
    <x v="0"/>
    <x v="0"/>
    <x v="1"/>
    <x v="5"/>
    <x v="0"/>
    <n v="10"/>
    <n v="300"/>
    <n v="3000"/>
    <n v="2490"/>
    <n v="510"/>
    <n v="0.17"/>
  </r>
  <r>
    <s v="ORD0362"/>
    <x v="217"/>
    <x v="7"/>
    <x v="0"/>
    <x v="4"/>
    <x v="0"/>
    <x v="4"/>
    <x v="8"/>
    <x v="4"/>
    <x v="0"/>
    <n v="5"/>
    <n v="50"/>
    <n v="250"/>
    <n v="187.5"/>
    <n v="62.5"/>
    <n v="0.25"/>
  </r>
  <r>
    <s v="ORD0063"/>
    <x v="218"/>
    <x v="4"/>
    <x v="0"/>
    <x v="1"/>
    <x v="0"/>
    <x v="4"/>
    <x v="5"/>
    <x v="5"/>
    <x v="0"/>
    <n v="7"/>
    <n v="8000"/>
    <n v="56000"/>
    <n v="38640"/>
    <n v="17360"/>
    <n v="0.31"/>
  </r>
  <r>
    <s v="ORD0051"/>
    <x v="219"/>
    <x v="11"/>
    <x v="0"/>
    <x v="14"/>
    <x v="3"/>
    <x v="2"/>
    <x v="1"/>
    <x v="3"/>
    <x v="1"/>
    <n v="14"/>
    <n v="150"/>
    <n v="2100"/>
    <n v="1596"/>
    <n v="504"/>
    <n v="0.24"/>
  </r>
  <r>
    <s v="ORD0301"/>
    <x v="219"/>
    <x v="5"/>
    <x v="0"/>
    <x v="7"/>
    <x v="3"/>
    <x v="4"/>
    <x v="1"/>
    <x v="0"/>
    <x v="0"/>
    <n v="3"/>
    <n v="4000"/>
    <n v="12000"/>
    <n v="7320"/>
    <n v="4680"/>
    <n v="0.39"/>
  </r>
  <r>
    <s v="ORD0413"/>
    <x v="219"/>
    <x v="10"/>
    <x v="0"/>
    <x v="10"/>
    <x v="3"/>
    <x v="0"/>
    <x v="4"/>
    <x v="6"/>
    <x v="0"/>
    <n v="1"/>
    <n v="25000"/>
    <n v="25000"/>
    <n v="15500"/>
    <n v="9500"/>
    <n v="0.38"/>
  </r>
  <r>
    <s v="ORD0476"/>
    <x v="219"/>
    <x v="8"/>
    <x v="0"/>
    <x v="0"/>
    <x v="0"/>
    <x v="2"/>
    <x v="6"/>
    <x v="0"/>
    <x v="0"/>
    <n v="13"/>
    <n v="1200"/>
    <n v="15600"/>
    <n v="13416"/>
    <n v="2184"/>
    <n v="0.14000000000000001"/>
  </r>
  <r>
    <s v="ORD0445"/>
    <x v="220"/>
    <x v="8"/>
    <x v="0"/>
    <x v="8"/>
    <x v="0"/>
    <x v="2"/>
    <x v="1"/>
    <x v="2"/>
    <x v="1"/>
    <n v="5"/>
    <n v="4000"/>
    <n v="20000"/>
    <n v="15600"/>
    <n v="4400"/>
    <n v="0.22"/>
  </r>
  <r>
    <s v="ORD0124"/>
    <x v="221"/>
    <x v="8"/>
    <x v="0"/>
    <x v="14"/>
    <x v="3"/>
    <x v="3"/>
    <x v="4"/>
    <x v="4"/>
    <x v="0"/>
    <n v="9"/>
    <n v="55000"/>
    <n v="495000"/>
    <n v="376200"/>
    <n v="118800"/>
    <n v="0.24"/>
  </r>
  <r>
    <s v="ORD0136"/>
    <x v="221"/>
    <x v="7"/>
    <x v="0"/>
    <x v="3"/>
    <x v="1"/>
    <x v="1"/>
    <x v="9"/>
    <x v="1"/>
    <x v="0"/>
    <n v="15"/>
    <n v="700"/>
    <n v="10500"/>
    <n v="6510"/>
    <n v="3990"/>
    <n v="0.38"/>
  </r>
  <r>
    <s v="ORD0461"/>
    <x v="221"/>
    <x v="2"/>
    <x v="0"/>
    <x v="7"/>
    <x v="3"/>
    <x v="0"/>
    <x v="0"/>
    <x v="2"/>
    <x v="0"/>
    <n v="5"/>
    <n v="12000"/>
    <n v="60000"/>
    <n v="38400"/>
    <n v="21600"/>
    <n v="0.36"/>
  </r>
  <r>
    <s v="ORD0416"/>
    <x v="222"/>
    <x v="2"/>
    <x v="0"/>
    <x v="6"/>
    <x v="2"/>
    <x v="4"/>
    <x v="5"/>
    <x v="1"/>
    <x v="0"/>
    <n v="2"/>
    <n v="20"/>
    <n v="40"/>
    <n v="34.799999999999997"/>
    <n v="5.2000000000000028"/>
    <n v="0.13000000000000006"/>
  </r>
  <r>
    <s v="ORD0439"/>
    <x v="223"/>
    <x v="3"/>
    <x v="0"/>
    <x v="3"/>
    <x v="1"/>
    <x v="4"/>
    <x v="1"/>
    <x v="6"/>
    <x v="0"/>
    <n v="14"/>
    <n v="9000"/>
    <n v="126000"/>
    <n v="88200"/>
    <n v="37800"/>
    <n v="0.3"/>
  </r>
  <r>
    <s v="ORD0053"/>
    <x v="224"/>
    <x v="3"/>
    <x v="0"/>
    <x v="4"/>
    <x v="0"/>
    <x v="0"/>
    <x v="1"/>
    <x v="4"/>
    <x v="1"/>
    <n v="8"/>
    <n v="9000"/>
    <n v="72000"/>
    <n v="54720"/>
    <n v="17280"/>
    <n v="0.24"/>
  </r>
  <r>
    <s v="ORD0347"/>
    <x v="225"/>
    <x v="4"/>
    <x v="0"/>
    <x v="6"/>
    <x v="2"/>
    <x v="0"/>
    <x v="4"/>
    <x v="5"/>
    <x v="1"/>
    <n v="4"/>
    <n v="4000"/>
    <n v="16000"/>
    <n v="10240"/>
    <n v="5760"/>
    <n v="0.36"/>
  </r>
  <r>
    <s v="ORD0360"/>
    <x v="225"/>
    <x v="9"/>
    <x v="0"/>
    <x v="15"/>
    <x v="3"/>
    <x v="3"/>
    <x v="1"/>
    <x v="4"/>
    <x v="0"/>
    <n v="7"/>
    <n v="1200"/>
    <n v="8400"/>
    <n v="6552"/>
    <n v="1848"/>
    <n v="0.22"/>
  </r>
  <r>
    <s v="ORD0259"/>
    <x v="226"/>
    <x v="0"/>
    <x v="0"/>
    <x v="5"/>
    <x v="2"/>
    <x v="0"/>
    <x v="2"/>
    <x v="0"/>
    <x v="0"/>
    <n v="17"/>
    <n v="700"/>
    <n v="11900"/>
    <n v="9044"/>
    <n v="2856"/>
    <n v="0.24"/>
  </r>
  <r>
    <s v="ORD0412"/>
    <x v="226"/>
    <x v="7"/>
    <x v="0"/>
    <x v="3"/>
    <x v="1"/>
    <x v="2"/>
    <x v="0"/>
    <x v="4"/>
    <x v="1"/>
    <n v="9"/>
    <n v="50"/>
    <n v="450"/>
    <n v="319.5"/>
    <n v="130.5"/>
    <n v="0.28999999999999998"/>
  </r>
  <r>
    <s v="ORD0467"/>
    <x v="226"/>
    <x v="9"/>
    <x v="0"/>
    <x v="6"/>
    <x v="2"/>
    <x v="2"/>
    <x v="2"/>
    <x v="0"/>
    <x v="0"/>
    <n v="17"/>
    <n v="300"/>
    <n v="5100"/>
    <n v="3723"/>
    <n v="1377"/>
    <n v="0.27"/>
  </r>
  <r>
    <s v="ORD0522"/>
    <x v="226"/>
    <x v="11"/>
    <x v="0"/>
    <x v="11"/>
    <x v="1"/>
    <x v="1"/>
    <x v="7"/>
    <x v="2"/>
    <x v="1"/>
    <n v="11"/>
    <n v="50"/>
    <n v="550"/>
    <n v="357.5"/>
    <n v="192.5"/>
    <n v="0.35"/>
  </r>
  <r>
    <s v="ORD0328"/>
    <x v="227"/>
    <x v="1"/>
    <x v="0"/>
    <x v="5"/>
    <x v="2"/>
    <x v="0"/>
    <x v="3"/>
    <x v="2"/>
    <x v="1"/>
    <n v="11"/>
    <n v="150"/>
    <n v="1650"/>
    <n v="1122"/>
    <n v="528"/>
    <n v="0.32"/>
  </r>
  <r>
    <s v="ORD0364"/>
    <x v="227"/>
    <x v="7"/>
    <x v="0"/>
    <x v="0"/>
    <x v="0"/>
    <x v="2"/>
    <x v="7"/>
    <x v="0"/>
    <x v="0"/>
    <n v="1"/>
    <n v="1200"/>
    <n v="1200"/>
    <n v="924"/>
    <n v="276"/>
    <n v="0.23"/>
  </r>
  <r>
    <s v="ORD0278"/>
    <x v="228"/>
    <x v="2"/>
    <x v="0"/>
    <x v="13"/>
    <x v="3"/>
    <x v="2"/>
    <x v="5"/>
    <x v="6"/>
    <x v="0"/>
    <n v="16"/>
    <n v="1200"/>
    <n v="19200"/>
    <n v="15936"/>
    <n v="3264"/>
    <n v="0.17"/>
  </r>
  <r>
    <s v="ORD0408"/>
    <x v="228"/>
    <x v="5"/>
    <x v="0"/>
    <x v="11"/>
    <x v="1"/>
    <x v="1"/>
    <x v="7"/>
    <x v="3"/>
    <x v="0"/>
    <n v="4"/>
    <n v="7000"/>
    <n v="28000"/>
    <n v="24920"/>
    <n v="3080"/>
    <n v="0.11"/>
  </r>
  <r>
    <s v="ORD0386"/>
    <x v="229"/>
    <x v="9"/>
    <x v="0"/>
    <x v="0"/>
    <x v="0"/>
    <x v="2"/>
    <x v="8"/>
    <x v="4"/>
    <x v="0"/>
    <n v="5"/>
    <n v="4000"/>
    <n v="20000"/>
    <n v="14000"/>
    <n v="6000"/>
    <n v="0.3"/>
  </r>
  <r>
    <s v="ORD0093"/>
    <x v="230"/>
    <x v="10"/>
    <x v="0"/>
    <x v="6"/>
    <x v="2"/>
    <x v="0"/>
    <x v="2"/>
    <x v="0"/>
    <x v="0"/>
    <n v="20"/>
    <n v="50"/>
    <n v="1000"/>
    <n v="710"/>
    <n v="290"/>
    <n v="0.28999999999999998"/>
  </r>
  <r>
    <s v="ORD0115"/>
    <x v="230"/>
    <x v="10"/>
    <x v="0"/>
    <x v="6"/>
    <x v="2"/>
    <x v="0"/>
    <x v="0"/>
    <x v="1"/>
    <x v="0"/>
    <n v="20"/>
    <n v="9000"/>
    <n v="180000"/>
    <n v="147600"/>
    <n v="32400"/>
    <n v="0.18"/>
  </r>
  <r>
    <s v="ORD0116"/>
    <x v="230"/>
    <x v="7"/>
    <x v="0"/>
    <x v="10"/>
    <x v="3"/>
    <x v="0"/>
    <x v="5"/>
    <x v="5"/>
    <x v="1"/>
    <n v="9"/>
    <n v="55000"/>
    <n v="495000"/>
    <n v="326700"/>
    <n v="168300"/>
    <n v="0.34"/>
  </r>
  <r>
    <s v="ORD0211"/>
    <x v="230"/>
    <x v="11"/>
    <x v="0"/>
    <x v="7"/>
    <x v="3"/>
    <x v="3"/>
    <x v="6"/>
    <x v="6"/>
    <x v="1"/>
    <n v="9"/>
    <n v="4000"/>
    <n v="36000"/>
    <n v="24480"/>
    <n v="11520"/>
    <n v="0.32"/>
  </r>
  <r>
    <s v="ORD0219"/>
    <x v="230"/>
    <x v="0"/>
    <x v="0"/>
    <x v="2"/>
    <x v="1"/>
    <x v="4"/>
    <x v="3"/>
    <x v="0"/>
    <x v="0"/>
    <n v="12"/>
    <n v="15000"/>
    <n v="180000"/>
    <n v="144000"/>
    <n v="36000"/>
    <n v="0.2"/>
  </r>
  <r>
    <s v="ORD0350"/>
    <x v="230"/>
    <x v="11"/>
    <x v="0"/>
    <x v="11"/>
    <x v="1"/>
    <x v="4"/>
    <x v="8"/>
    <x v="6"/>
    <x v="0"/>
    <n v="8"/>
    <n v="7000"/>
    <n v="56000"/>
    <n v="34160"/>
    <n v="21840"/>
    <n v="0.39"/>
  </r>
  <r>
    <s v="ORD0468"/>
    <x v="231"/>
    <x v="9"/>
    <x v="0"/>
    <x v="9"/>
    <x v="2"/>
    <x v="1"/>
    <x v="7"/>
    <x v="4"/>
    <x v="1"/>
    <n v="13"/>
    <n v="4000"/>
    <n v="52000"/>
    <n v="45760"/>
    <n v="6240"/>
    <n v="0.12"/>
  </r>
  <r>
    <s v="ORD0223"/>
    <x v="232"/>
    <x v="6"/>
    <x v="0"/>
    <x v="12"/>
    <x v="1"/>
    <x v="1"/>
    <x v="8"/>
    <x v="6"/>
    <x v="1"/>
    <n v="17"/>
    <n v="8000"/>
    <n v="136000"/>
    <n v="103360"/>
    <n v="32640"/>
    <n v="0.24"/>
  </r>
  <r>
    <s v="ORD0459"/>
    <x v="232"/>
    <x v="5"/>
    <x v="0"/>
    <x v="15"/>
    <x v="3"/>
    <x v="2"/>
    <x v="6"/>
    <x v="2"/>
    <x v="0"/>
    <n v="12"/>
    <n v="4000"/>
    <n v="48000"/>
    <n v="40320"/>
    <n v="7680"/>
    <n v="0.16"/>
  </r>
  <r>
    <s v="ORD0308"/>
    <x v="233"/>
    <x v="10"/>
    <x v="0"/>
    <x v="5"/>
    <x v="2"/>
    <x v="1"/>
    <x v="3"/>
    <x v="0"/>
    <x v="1"/>
    <n v="11"/>
    <n v="45000"/>
    <n v="495000"/>
    <n v="381150"/>
    <n v="113850"/>
    <n v="0.23"/>
  </r>
  <r>
    <s v="ORD0359"/>
    <x v="233"/>
    <x v="1"/>
    <x v="0"/>
    <x v="8"/>
    <x v="0"/>
    <x v="0"/>
    <x v="2"/>
    <x v="0"/>
    <x v="1"/>
    <n v="16"/>
    <n v="50"/>
    <n v="800"/>
    <n v="656"/>
    <n v="144"/>
    <n v="0.18"/>
  </r>
  <r>
    <s v="ORD0192"/>
    <x v="234"/>
    <x v="11"/>
    <x v="0"/>
    <x v="2"/>
    <x v="1"/>
    <x v="0"/>
    <x v="7"/>
    <x v="0"/>
    <x v="0"/>
    <n v="9"/>
    <n v="12000"/>
    <n v="108000"/>
    <n v="69120"/>
    <n v="38880"/>
    <n v="0.36"/>
  </r>
  <r>
    <s v="ORD0026"/>
    <x v="235"/>
    <x v="6"/>
    <x v="0"/>
    <x v="7"/>
    <x v="3"/>
    <x v="2"/>
    <x v="4"/>
    <x v="0"/>
    <x v="1"/>
    <n v="16"/>
    <n v="12000"/>
    <n v="192000"/>
    <n v="147840"/>
    <n v="44160"/>
    <n v="0.23"/>
  </r>
  <r>
    <s v="ORD0322"/>
    <x v="236"/>
    <x v="9"/>
    <x v="0"/>
    <x v="14"/>
    <x v="3"/>
    <x v="4"/>
    <x v="8"/>
    <x v="5"/>
    <x v="0"/>
    <n v="13"/>
    <n v="20"/>
    <n v="260"/>
    <n v="179.4"/>
    <n v="80.599999999999994"/>
    <n v="0.31"/>
  </r>
  <r>
    <s v="ORD0430"/>
    <x v="236"/>
    <x v="0"/>
    <x v="0"/>
    <x v="5"/>
    <x v="2"/>
    <x v="1"/>
    <x v="0"/>
    <x v="5"/>
    <x v="0"/>
    <n v="6"/>
    <n v="700"/>
    <n v="4200"/>
    <n v="3318"/>
    <n v="882"/>
    <n v="0.21"/>
  </r>
  <r>
    <s v="ORD0453"/>
    <x v="236"/>
    <x v="8"/>
    <x v="0"/>
    <x v="2"/>
    <x v="1"/>
    <x v="3"/>
    <x v="9"/>
    <x v="2"/>
    <x v="1"/>
    <n v="14"/>
    <n v="9000"/>
    <n v="126000"/>
    <n v="93240"/>
    <n v="32760"/>
    <n v="0.26"/>
  </r>
  <r>
    <s v="ORD0089"/>
    <x v="237"/>
    <x v="1"/>
    <x v="0"/>
    <x v="13"/>
    <x v="3"/>
    <x v="2"/>
    <x v="7"/>
    <x v="3"/>
    <x v="0"/>
    <n v="1"/>
    <n v="4000"/>
    <n v="4000"/>
    <n v="3120"/>
    <n v="880"/>
    <n v="0.22"/>
  </r>
  <r>
    <s v="ORD0197"/>
    <x v="237"/>
    <x v="1"/>
    <x v="0"/>
    <x v="9"/>
    <x v="2"/>
    <x v="0"/>
    <x v="0"/>
    <x v="1"/>
    <x v="1"/>
    <n v="7"/>
    <n v="20"/>
    <n v="140"/>
    <n v="121.8"/>
    <n v="18.200000000000003"/>
    <n v="0.13000000000000003"/>
  </r>
  <r>
    <s v="ORD0401"/>
    <x v="237"/>
    <x v="10"/>
    <x v="0"/>
    <x v="8"/>
    <x v="0"/>
    <x v="1"/>
    <x v="2"/>
    <x v="4"/>
    <x v="1"/>
    <n v="4"/>
    <n v="9000"/>
    <n v="36000"/>
    <n v="29160"/>
    <n v="6840"/>
    <n v="0.19"/>
  </r>
  <r>
    <s v="ORD0096"/>
    <x v="238"/>
    <x v="5"/>
    <x v="0"/>
    <x v="1"/>
    <x v="0"/>
    <x v="3"/>
    <x v="7"/>
    <x v="5"/>
    <x v="1"/>
    <n v="9"/>
    <n v="8000"/>
    <n v="72000"/>
    <n v="49680"/>
    <n v="22320"/>
    <n v="0.31"/>
  </r>
  <r>
    <s v="ORD0434"/>
    <x v="238"/>
    <x v="7"/>
    <x v="0"/>
    <x v="7"/>
    <x v="3"/>
    <x v="2"/>
    <x v="6"/>
    <x v="2"/>
    <x v="0"/>
    <n v="2"/>
    <n v="700"/>
    <n v="1400"/>
    <n v="854"/>
    <n v="546"/>
    <n v="0.39"/>
  </r>
  <r>
    <s v="ORD0095"/>
    <x v="239"/>
    <x v="4"/>
    <x v="0"/>
    <x v="5"/>
    <x v="2"/>
    <x v="4"/>
    <x v="4"/>
    <x v="4"/>
    <x v="0"/>
    <n v="7"/>
    <n v="3500"/>
    <n v="24500"/>
    <n v="15435"/>
    <n v="9065"/>
    <n v="0.37"/>
  </r>
  <r>
    <s v="ORD0314"/>
    <x v="239"/>
    <x v="11"/>
    <x v="0"/>
    <x v="2"/>
    <x v="1"/>
    <x v="4"/>
    <x v="8"/>
    <x v="1"/>
    <x v="1"/>
    <n v="5"/>
    <n v="50"/>
    <n v="250"/>
    <n v="182.5"/>
    <n v="67.5"/>
    <n v="0.27"/>
  </r>
  <r>
    <s v="ORD0029"/>
    <x v="240"/>
    <x v="8"/>
    <x v="0"/>
    <x v="9"/>
    <x v="2"/>
    <x v="0"/>
    <x v="2"/>
    <x v="3"/>
    <x v="1"/>
    <n v="10"/>
    <n v="7000"/>
    <n v="70000"/>
    <n v="58800"/>
    <n v="11200"/>
    <n v="0.16"/>
  </r>
  <r>
    <s v="ORD0038"/>
    <x v="240"/>
    <x v="11"/>
    <x v="0"/>
    <x v="15"/>
    <x v="3"/>
    <x v="1"/>
    <x v="4"/>
    <x v="0"/>
    <x v="1"/>
    <n v="6"/>
    <n v="7000"/>
    <n v="42000"/>
    <n v="33600"/>
    <n v="8400"/>
    <n v="0.2"/>
  </r>
  <r>
    <s v="ORD0143"/>
    <x v="240"/>
    <x v="5"/>
    <x v="0"/>
    <x v="8"/>
    <x v="0"/>
    <x v="3"/>
    <x v="9"/>
    <x v="6"/>
    <x v="1"/>
    <n v="17"/>
    <n v="15000"/>
    <n v="255000"/>
    <n v="165750"/>
    <n v="89250"/>
    <n v="0.35"/>
  </r>
  <r>
    <s v="ORD0323"/>
    <x v="240"/>
    <x v="2"/>
    <x v="0"/>
    <x v="2"/>
    <x v="1"/>
    <x v="0"/>
    <x v="6"/>
    <x v="2"/>
    <x v="0"/>
    <n v="12"/>
    <n v="12000"/>
    <n v="144000"/>
    <n v="106560"/>
    <n v="37440"/>
    <n v="0.26"/>
  </r>
  <r>
    <s v="ORD0222"/>
    <x v="241"/>
    <x v="2"/>
    <x v="0"/>
    <x v="0"/>
    <x v="0"/>
    <x v="0"/>
    <x v="5"/>
    <x v="0"/>
    <x v="1"/>
    <n v="14"/>
    <n v="7000"/>
    <n v="98000"/>
    <n v="76440"/>
    <n v="21560"/>
    <n v="0.22"/>
  </r>
  <r>
    <s v="ORD0254"/>
    <x v="242"/>
    <x v="9"/>
    <x v="0"/>
    <x v="1"/>
    <x v="0"/>
    <x v="2"/>
    <x v="3"/>
    <x v="0"/>
    <x v="1"/>
    <n v="7"/>
    <n v="25000"/>
    <n v="175000"/>
    <n v="124250"/>
    <n v="50750"/>
    <n v="0.28999999999999998"/>
  </r>
  <r>
    <s v="ORD0375"/>
    <x v="242"/>
    <x v="7"/>
    <x v="0"/>
    <x v="4"/>
    <x v="0"/>
    <x v="4"/>
    <x v="4"/>
    <x v="6"/>
    <x v="1"/>
    <n v="10"/>
    <n v="15000"/>
    <n v="150000"/>
    <n v="130500"/>
    <n v="19500"/>
    <n v="0.13"/>
  </r>
  <r>
    <s v="ORD0521"/>
    <x v="243"/>
    <x v="8"/>
    <x v="0"/>
    <x v="10"/>
    <x v="3"/>
    <x v="2"/>
    <x v="1"/>
    <x v="0"/>
    <x v="1"/>
    <n v="19"/>
    <n v="20"/>
    <n v="380"/>
    <n v="334.4"/>
    <n v="45.600000000000023"/>
    <n v="0.12000000000000006"/>
  </r>
  <r>
    <s v="ORD0490"/>
    <x v="244"/>
    <x v="6"/>
    <x v="0"/>
    <x v="9"/>
    <x v="2"/>
    <x v="1"/>
    <x v="4"/>
    <x v="0"/>
    <x v="1"/>
    <n v="17"/>
    <n v="8000"/>
    <n v="136000"/>
    <n v="97920"/>
    <n v="38080"/>
    <n v="0.28000000000000003"/>
  </r>
  <r>
    <s v="ORD0536"/>
    <x v="244"/>
    <x v="10"/>
    <x v="0"/>
    <x v="7"/>
    <x v="3"/>
    <x v="1"/>
    <x v="9"/>
    <x v="5"/>
    <x v="0"/>
    <n v="8"/>
    <n v="300"/>
    <n v="2400"/>
    <n v="1728"/>
    <n v="672"/>
    <n v="0.28000000000000003"/>
  </r>
  <r>
    <s v="ORD0293"/>
    <x v="245"/>
    <x v="11"/>
    <x v="0"/>
    <x v="2"/>
    <x v="1"/>
    <x v="1"/>
    <x v="9"/>
    <x v="6"/>
    <x v="0"/>
    <n v="8"/>
    <n v="7000"/>
    <n v="56000"/>
    <n v="49280"/>
    <n v="6720"/>
    <n v="0.12"/>
  </r>
  <r>
    <s v="ORD0366"/>
    <x v="245"/>
    <x v="10"/>
    <x v="0"/>
    <x v="2"/>
    <x v="1"/>
    <x v="4"/>
    <x v="7"/>
    <x v="0"/>
    <x v="1"/>
    <n v="4"/>
    <n v="8000"/>
    <n v="32000"/>
    <n v="20160"/>
    <n v="11840"/>
    <n v="0.37"/>
  </r>
  <r>
    <s v="ORD0383"/>
    <x v="245"/>
    <x v="9"/>
    <x v="0"/>
    <x v="4"/>
    <x v="0"/>
    <x v="1"/>
    <x v="6"/>
    <x v="0"/>
    <x v="1"/>
    <n v="10"/>
    <n v="45000"/>
    <n v="450000"/>
    <n v="333000"/>
    <n v="117000"/>
    <n v="0.26"/>
  </r>
  <r>
    <s v="ORD0057"/>
    <x v="246"/>
    <x v="8"/>
    <x v="0"/>
    <x v="15"/>
    <x v="3"/>
    <x v="2"/>
    <x v="9"/>
    <x v="0"/>
    <x v="0"/>
    <n v="2"/>
    <n v="9000"/>
    <n v="18000"/>
    <n v="13680"/>
    <n v="4320"/>
    <n v="0.24"/>
  </r>
  <r>
    <s v="ORD0066"/>
    <x v="246"/>
    <x v="4"/>
    <x v="0"/>
    <x v="1"/>
    <x v="0"/>
    <x v="1"/>
    <x v="0"/>
    <x v="3"/>
    <x v="1"/>
    <n v="12"/>
    <n v="50"/>
    <n v="600"/>
    <n v="498"/>
    <n v="102"/>
    <n v="0.17"/>
  </r>
  <r>
    <s v="ORD0190"/>
    <x v="246"/>
    <x v="3"/>
    <x v="0"/>
    <x v="1"/>
    <x v="0"/>
    <x v="4"/>
    <x v="2"/>
    <x v="5"/>
    <x v="1"/>
    <n v="5"/>
    <n v="8000"/>
    <n v="40000"/>
    <n v="30400"/>
    <n v="9600"/>
    <n v="0.24"/>
  </r>
  <r>
    <s v="ORD0046"/>
    <x v="247"/>
    <x v="1"/>
    <x v="0"/>
    <x v="0"/>
    <x v="0"/>
    <x v="3"/>
    <x v="8"/>
    <x v="5"/>
    <x v="1"/>
    <n v="12"/>
    <n v="1200"/>
    <n v="14400"/>
    <n v="11232"/>
    <n v="3168"/>
    <n v="0.22"/>
  </r>
  <r>
    <s v="ORD0141"/>
    <x v="248"/>
    <x v="8"/>
    <x v="0"/>
    <x v="5"/>
    <x v="2"/>
    <x v="2"/>
    <x v="5"/>
    <x v="5"/>
    <x v="1"/>
    <n v="20"/>
    <n v="50"/>
    <n v="1000"/>
    <n v="890"/>
    <n v="110"/>
    <n v="0.11"/>
  </r>
  <r>
    <s v="ORD0151"/>
    <x v="249"/>
    <x v="5"/>
    <x v="0"/>
    <x v="7"/>
    <x v="3"/>
    <x v="0"/>
    <x v="4"/>
    <x v="0"/>
    <x v="0"/>
    <n v="11"/>
    <n v="4000"/>
    <n v="44000"/>
    <n v="27280"/>
    <n v="16720"/>
    <n v="0.38"/>
  </r>
  <r>
    <s v="ORD0187"/>
    <x v="249"/>
    <x v="3"/>
    <x v="0"/>
    <x v="7"/>
    <x v="3"/>
    <x v="1"/>
    <x v="2"/>
    <x v="1"/>
    <x v="1"/>
    <n v="10"/>
    <n v="8000"/>
    <n v="80000"/>
    <n v="64000"/>
    <n v="16000"/>
    <n v="0.2"/>
  </r>
  <r>
    <s v="ORD0076"/>
    <x v="250"/>
    <x v="8"/>
    <x v="0"/>
    <x v="1"/>
    <x v="0"/>
    <x v="0"/>
    <x v="4"/>
    <x v="2"/>
    <x v="0"/>
    <n v="10"/>
    <n v="300"/>
    <n v="3000"/>
    <n v="2190"/>
    <n v="810"/>
    <n v="0.27"/>
  </r>
  <r>
    <s v="ORD0404"/>
    <x v="251"/>
    <x v="5"/>
    <x v="0"/>
    <x v="15"/>
    <x v="3"/>
    <x v="1"/>
    <x v="6"/>
    <x v="1"/>
    <x v="1"/>
    <n v="6"/>
    <n v="8000"/>
    <n v="48000"/>
    <n v="39360"/>
    <n v="8640"/>
    <n v="0.18"/>
  </r>
  <r>
    <s v="ORD0102"/>
    <x v="252"/>
    <x v="2"/>
    <x v="0"/>
    <x v="12"/>
    <x v="1"/>
    <x v="4"/>
    <x v="6"/>
    <x v="6"/>
    <x v="1"/>
    <n v="19"/>
    <n v="12000"/>
    <n v="228000"/>
    <n v="148200"/>
    <n v="79800"/>
    <n v="0.35"/>
  </r>
  <r>
    <s v="ORD0451"/>
    <x v="252"/>
    <x v="4"/>
    <x v="0"/>
    <x v="0"/>
    <x v="0"/>
    <x v="3"/>
    <x v="7"/>
    <x v="2"/>
    <x v="1"/>
    <n v="13"/>
    <n v="1200"/>
    <n v="15600"/>
    <n v="12324"/>
    <n v="3276"/>
    <n v="0.21"/>
  </r>
  <r>
    <s v="ORD0088"/>
    <x v="253"/>
    <x v="10"/>
    <x v="0"/>
    <x v="5"/>
    <x v="2"/>
    <x v="2"/>
    <x v="5"/>
    <x v="1"/>
    <x v="1"/>
    <n v="4"/>
    <n v="20"/>
    <n v="80"/>
    <n v="58.4"/>
    <n v="21.6"/>
    <n v="0.27"/>
  </r>
  <r>
    <s v="ORD0175"/>
    <x v="254"/>
    <x v="4"/>
    <x v="0"/>
    <x v="3"/>
    <x v="1"/>
    <x v="4"/>
    <x v="0"/>
    <x v="3"/>
    <x v="1"/>
    <n v="11"/>
    <n v="55000"/>
    <n v="605000"/>
    <n v="544500"/>
    <n v="60500"/>
    <n v="0.1"/>
  </r>
  <r>
    <s v="ORD0178"/>
    <x v="254"/>
    <x v="10"/>
    <x v="0"/>
    <x v="13"/>
    <x v="3"/>
    <x v="0"/>
    <x v="5"/>
    <x v="0"/>
    <x v="0"/>
    <n v="15"/>
    <n v="50"/>
    <n v="750"/>
    <n v="457.5"/>
    <n v="292.5"/>
    <n v="0.39"/>
  </r>
  <r>
    <s v="ORD0361"/>
    <x v="255"/>
    <x v="10"/>
    <x v="0"/>
    <x v="7"/>
    <x v="3"/>
    <x v="4"/>
    <x v="3"/>
    <x v="0"/>
    <x v="0"/>
    <n v="8"/>
    <n v="8000"/>
    <n v="64000"/>
    <n v="44160"/>
    <n v="19840"/>
    <n v="0.31"/>
  </r>
  <r>
    <s v="ORD0161"/>
    <x v="256"/>
    <x v="3"/>
    <x v="0"/>
    <x v="11"/>
    <x v="1"/>
    <x v="0"/>
    <x v="7"/>
    <x v="6"/>
    <x v="1"/>
    <n v="20"/>
    <n v="15000"/>
    <n v="300000"/>
    <n v="207000"/>
    <n v="93000"/>
    <n v="0.31"/>
  </r>
  <r>
    <s v="ORD0351"/>
    <x v="256"/>
    <x v="9"/>
    <x v="0"/>
    <x v="3"/>
    <x v="1"/>
    <x v="4"/>
    <x v="6"/>
    <x v="2"/>
    <x v="1"/>
    <n v="7"/>
    <n v="25000"/>
    <n v="175000"/>
    <n v="147000"/>
    <n v="28000"/>
    <n v="0.16"/>
  </r>
  <r>
    <s v="ORD0147"/>
    <x v="257"/>
    <x v="4"/>
    <x v="0"/>
    <x v="14"/>
    <x v="3"/>
    <x v="4"/>
    <x v="6"/>
    <x v="5"/>
    <x v="1"/>
    <n v="1"/>
    <n v="8000"/>
    <n v="8000"/>
    <n v="5200"/>
    <n v="2800"/>
    <n v="0.35"/>
  </r>
  <r>
    <s v="ORD0518"/>
    <x v="257"/>
    <x v="11"/>
    <x v="0"/>
    <x v="15"/>
    <x v="3"/>
    <x v="3"/>
    <x v="7"/>
    <x v="4"/>
    <x v="0"/>
    <n v="19"/>
    <n v="1200"/>
    <n v="22800"/>
    <n v="20520"/>
    <n v="2280"/>
    <n v="0.1"/>
  </r>
  <r>
    <s v="ORD0511"/>
    <x v="258"/>
    <x v="11"/>
    <x v="0"/>
    <x v="1"/>
    <x v="0"/>
    <x v="0"/>
    <x v="8"/>
    <x v="1"/>
    <x v="0"/>
    <n v="17"/>
    <n v="7000"/>
    <n v="119000"/>
    <n v="82110"/>
    <n v="36890"/>
    <n v="0.31"/>
  </r>
  <r>
    <s v="ORD0528"/>
    <x v="259"/>
    <x v="10"/>
    <x v="0"/>
    <x v="2"/>
    <x v="1"/>
    <x v="3"/>
    <x v="0"/>
    <x v="0"/>
    <x v="0"/>
    <n v="18"/>
    <n v="300"/>
    <n v="5400"/>
    <n v="4428"/>
    <n v="972"/>
    <n v="0.18"/>
  </r>
  <r>
    <s v="ORD0126"/>
    <x v="260"/>
    <x v="0"/>
    <x v="0"/>
    <x v="7"/>
    <x v="3"/>
    <x v="2"/>
    <x v="1"/>
    <x v="0"/>
    <x v="0"/>
    <n v="5"/>
    <n v="50"/>
    <n v="250"/>
    <n v="197.5"/>
    <n v="52.5"/>
    <n v="0.21"/>
  </r>
  <r>
    <s v="ORD0194"/>
    <x v="260"/>
    <x v="9"/>
    <x v="0"/>
    <x v="3"/>
    <x v="1"/>
    <x v="1"/>
    <x v="9"/>
    <x v="1"/>
    <x v="0"/>
    <n v="20"/>
    <n v="700"/>
    <n v="14000"/>
    <n v="11200"/>
    <n v="2800"/>
    <n v="0.2"/>
  </r>
  <r>
    <s v="ORD0105"/>
    <x v="261"/>
    <x v="6"/>
    <x v="0"/>
    <x v="13"/>
    <x v="3"/>
    <x v="4"/>
    <x v="3"/>
    <x v="0"/>
    <x v="1"/>
    <n v="17"/>
    <n v="12000"/>
    <n v="204000"/>
    <n v="159120"/>
    <n v="44880"/>
    <n v="0.22"/>
  </r>
  <r>
    <s v="ORD0186"/>
    <x v="262"/>
    <x v="5"/>
    <x v="0"/>
    <x v="6"/>
    <x v="2"/>
    <x v="4"/>
    <x v="7"/>
    <x v="0"/>
    <x v="0"/>
    <n v="20"/>
    <n v="9000"/>
    <n v="180000"/>
    <n v="122400"/>
    <n v="57600"/>
    <n v="0.32"/>
  </r>
  <r>
    <s v="ORD0367"/>
    <x v="262"/>
    <x v="10"/>
    <x v="0"/>
    <x v="7"/>
    <x v="3"/>
    <x v="4"/>
    <x v="8"/>
    <x v="2"/>
    <x v="0"/>
    <n v="17"/>
    <n v="700"/>
    <n v="11900"/>
    <n v="9877"/>
    <n v="2023"/>
    <n v="0.17"/>
  </r>
  <r>
    <s v="ORD0405"/>
    <x v="262"/>
    <x v="1"/>
    <x v="0"/>
    <x v="4"/>
    <x v="0"/>
    <x v="1"/>
    <x v="7"/>
    <x v="4"/>
    <x v="0"/>
    <n v="18"/>
    <n v="15000"/>
    <n v="270000"/>
    <n v="216000"/>
    <n v="54000"/>
    <n v="0.2"/>
  </r>
  <r>
    <s v="ORD0438"/>
    <x v="262"/>
    <x v="4"/>
    <x v="0"/>
    <x v="0"/>
    <x v="0"/>
    <x v="4"/>
    <x v="4"/>
    <x v="4"/>
    <x v="1"/>
    <n v="4"/>
    <n v="45000"/>
    <n v="180000"/>
    <n v="156600"/>
    <n v="23400"/>
    <n v="0.13"/>
  </r>
  <r>
    <s v="ORD0188"/>
    <x v="263"/>
    <x v="8"/>
    <x v="0"/>
    <x v="12"/>
    <x v="1"/>
    <x v="2"/>
    <x v="1"/>
    <x v="1"/>
    <x v="0"/>
    <n v="17"/>
    <n v="15000"/>
    <n v="255000"/>
    <n v="229500"/>
    <n v="25500"/>
    <n v="0.1"/>
  </r>
  <r>
    <s v="ORD0357"/>
    <x v="263"/>
    <x v="5"/>
    <x v="0"/>
    <x v="2"/>
    <x v="1"/>
    <x v="0"/>
    <x v="7"/>
    <x v="0"/>
    <x v="0"/>
    <n v="10"/>
    <n v="20"/>
    <n v="200"/>
    <n v="176"/>
    <n v="24"/>
    <n v="0.12"/>
  </r>
  <r>
    <s v="ORD0381"/>
    <x v="263"/>
    <x v="10"/>
    <x v="0"/>
    <x v="8"/>
    <x v="0"/>
    <x v="2"/>
    <x v="4"/>
    <x v="3"/>
    <x v="1"/>
    <n v="16"/>
    <n v="8000"/>
    <n v="128000"/>
    <n v="76800"/>
    <n v="51200"/>
    <n v="0.4"/>
  </r>
  <r>
    <s v="ORD0087"/>
    <x v="264"/>
    <x v="11"/>
    <x v="0"/>
    <x v="9"/>
    <x v="2"/>
    <x v="3"/>
    <x v="7"/>
    <x v="2"/>
    <x v="0"/>
    <n v="17"/>
    <n v="150"/>
    <n v="2550"/>
    <n v="1606.5"/>
    <n v="943.5"/>
    <n v="0.37"/>
  </r>
  <r>
    <s v="ORD0243"/>
    <x v="264"/>
    <x v="4"/>
    <x v="0"/>
    <x v="0"/>
    <x v="0"/>
    <x v="3"/>
    <x v="3"/>
    <x v="0"/>
    <x v="1"/>
    <n v="16"/>
    <n v="25000"/>
    <n v="400000"/>
    <n v="360000"/>
    <n v="40000"/>
    <n v="0.1"/>
  </r>
  <r>
    <s v="ORD0123"/>
    <x v="265"/>
    <x v="4"/>
    <x v="0"/>
    <x v="7"/>
    <x v="3"/>
    <x v="2"/>
    <x v="7"/>
    <x v="5"/>
    <x v="1"/>
    <n v="5"/>
    <n v="150"/>
    <n v="750"/>
    <n v="622.5"/>
    <n v="127.5"/>
    <n v="0.17"/>
  </r>
  <r>
    <s v="ORD0067"/>
    <x v="266"/>
    <x v="5"/>
    <x v="0"/>
    <x v="13"/>
    <x v="3"/>
    <x v="3"/>
    <x v="2"/>
    <x v="0"/>
    <x v="0"/>
    <n v="1"/>
    <n v="9000"/>
    <n v="9000"/>
    <n v="6300"/>
    <n v="2700"/>
    <n v="0.3"/>
  </r>
  <r>
    <s v="ORD0230"/>
    <x v="266"/>
    <x v="2"/>
    <x v="0"/>
    <x v="8"/>
    <x v="0"/>
    <x v="4"/>
    <x v="3"/>
    <x v="5"/>
    <x v="1"/>
    <n v="14"/>
    <n v="300"/>
    <n v="4200"/>
    <n v="3738"/>
    <n v="462"/>
    <n v="0.11"/>
  </r>
  <r>
    <s v="ORD0474"/>
    <x v="266"/>
    <x v="5"/>
    <x v="0"/>
    <x v="2"/>
    <x v="1"/>
    <x v="1"/>
    <x v="6"/>
    <x v="4"/>
    <x v="0"/>
    <n v="2"/>
    <n v="3500"/>
    <n v="7000"/>
    <n v="5600"/>
    <n v="1400"/>
    <n v="0.2"/>
  </r>
  <r>
    <s v="ORD0393"/>
    <x v="267"/>
    <x v="10"/>
    <x v="0"/>
    <x v="13"/>
    <x v="3"/>
    <x v="4"/>
    <x v="4"/>
    <x v="1"/>
    <x v="0"/>
    <n v="12"/>
    <n v="3500"/>
    <n v="42000"/>
    <n v="30660"/>
    <n v="11340"/>
    <n v="0.27"/>
  </r>
  <r>
    <s v="ORD0335"/>
    <x v="268"/>
    <x v="9"/>
    <x v="0"/>
    <x v="8"/>
    <x v="0"/>
    <x v="0"/>
    <x v="9"/>
    <x v="1"/>
    <x v="0"/>
    <n v="6"/>
    <n v="3500"/>
    <n v="21000"/>
    <n v="12810"/>
    <n v="8190"/>
    <n v="0.39"/>
  </r>
  <r>
    <s v="ORD0382"/>
    <x v="268"/>
    <x v="11"/>
    <x v="0"/>
    <x v="4"/>
    <x v="0"/>
    <x v="0"/>
    <x v="3"/>
    <x v="1"/>
    <x v="0"/>
    <n v="7"/>
    <n v="700"/>
    <n v="4900"/>
    <n v="3577"/>
    <n v="1323"/>
    <n v="0.27"/>
  </r>
  <r>
    <s v="ORD0378"/>
    <x v="269"/>
    <x v="0"/>
    <x v="0"/>
    <x v="3"/>
    <x v="1"/>
    <x v="0"/>
    <x v="1"/>
    <x v="0"/>
    <x v="1"/>
    <n v="11"/>
    <n v="15000"/>
    <n v="165000"/>
    <n v="141900"/>
    <n v="23100"/>
    <n v="0.14000000000000001"/>
  </r>
  <r>
    <s v="ORD0060"/>
    <x v="270"/>
    <x v="5"/>
    <x v="0"/>
    <x v="5"/>
    <x v="2"/>
    <x v="0"/>
    <x v="3"/>
    <x v="0"/>
    <x v="0"/>
    <n v="1"/>
    <n v="1200"/>
    <n v="1200"/>
    <n v="924"/>
    <n v="276"/>
    <n v="0.23"/>
  </r>
  <r>
    <s v="ORD0198"/>
    <x v="271"/>
    <x v="11"/>
    <x v="0"/>
    <x v="15"/>
    <x v="3"/>
    <x v="4"/>
    <x v="8"/>
    <x v="0"/>
    <x v="0"/>
    <n v="10"/>
    <n v="45000"/>
    <n v="450000"/>
    <n v="324000"/>
    <n v="126000"/>
    <n v="0.28000000000000003"/>
  </r>
  <r>
    <s v="ORD0510"/>
    <x v="271"/>
    <x v="6"/>
    <x v="0"/>
    <x v="7"/>
    <x v="3"/>
    <x v="4"/>
    <x v="1"/>
    <x v="6"/>
    <x v="0"/>
    <n v="8"/>
    <n v="8000"/>
    <n v="64000"/>
    <n v="40960"/>
    <n v="23040"/>
    <n v="0.36"/>
  </r>
  <r>
    <s v="ORD0466"/>
    <x v="272"/>
    <x v="11"/>
    <x v="0"/>
    <x v="6"/>
    <x v="2"/>
    <x v="0"/>
    <x v="7"/>
    <x v="1"/>
    <x v="1"/>
    <n v="7"/>
    <n v="1200"/>
    <n v="8400"/>
    <n v="6972"/>
    <n v="1428"/>
    <n v="0.17"/>
  </r>
  <r>
    <s v="ORD0399"/>
    <x v="273"/>
    <x v="7"/>
    <x v="0"/>
    <x v="8"/>
    <x v="0"/>
    <x v="2"/>
    <x v="8"/>
    <x v="0"/>
    <x v="0"/>
    <n v="8"/>
    <n v="20"/>
    <n v="160"/>
    <n v="115.2"/>
    <n v="44.8"/>
    <n v="0.27999999999999997"/>
  </r>
  <r>
    <s v="ORD0226"/>
    <x v="274"/>
    <x v="9"/>
    <x v="0"/>
    <x v="14"/>
    <x v="3"/>
    <x v="4"/>
    <x v="1"/>
    <x v="0"/>
    <x v="1"/>
    <n v="2"/>
    <n v="20"/>
    <n v="40"/>
    <n v="31.6"/>
    <n v="8.3999999999999986"/>
    <n v="0.20999999999999996"/>
  </r>
  <r>
    <s v="ORD0297"/>
    <x v="274"/>
    <x v="0"/>
    <x v="0"/>
    <x v="7"/>
    <x v="3"/>
    <x v="0"/>
    <x v="9"/>
    <x v="6"/>
    <x v="0"/>
    <n v="13"/>
    <n v="8000"/>
    <n v="104000"/>
    <n v="82160"/>
    <n v="21840"/>
    <n v="0.21"/>
  </r>
  <r>
    <s v="ORD0028"/>
    <x v="275"/>
    <x v="3"/>
    <x v="0"/>
    <x v="11"/>
    <x v="1"/>
    <x v="2"/>
    <x v="5"/>
    <x v="0"/>
    <x v="1"/>
    <n v="4"/>
    <n v="1200"/>
    <n v="4800"/>
    <n v="3264"/>
    <n v="1536"/>
    <n v="0.32"/>
  </r>
  <r>
    <s v="ORD0485"/>
    <x v="275"/>
    <x v="0"/>
    <x v="0"/>
    <x v="6"/>
    <x v="2"/>
    <x v="3"/>
    <x v="0"/>
    <x v="3"/>
    <x v="1"/>
    <n v="12"/>
    <n v="55000"/>
    <n v="660000"/>
    <n v="448800"/>
    <n v="211200"/>
    <n v="0.32"/>
  </r>
  <r>
    <s v="ORD0279"/>
    <x v="276"/>
    <x v="4"/>
    <x v="0"/>
    <x v="13"/>
    <x v="3"/>
    <x v="0"/>
    <x v="8"/>
    <x v="5"/>
    <x v="0"/>
    <n v="19"/>
    <n v="300"/>
    <n v="5700"/>
    <n v="4332"/>
    <n v="1368"/>
    <n v="0.24"/>
  </r>
  <r>
    <s v="ORD0287"/>
    <x v="276"/>
    <x v="8"/>
    <x v="0"/>
    <x v="4"/>
    <x v="0"/>
    <x v="0"/>
    <x v="5"/>
    <x v="4"/>
    <x v="0"/>
    <n v="6"/>
    <n v="55000"/>
    <n v="330000"/>
    <n v="270600"/>
    <n v="59400"/>
    <n v="0.18"/>
  </r>
  <r>
    <s v="ORD0331"/>
    <x v="276"/>
    <x v="11"/>
    <x v="0"/>
    <x v="15"/>
    <x v="3"/>
    <x v="4"/>
    <x v="9"/>
    <x v="0"/>
    <x v="1"/>
    <n v="9"/>
    <n v="4000"/>
    <n v="36000"/>
    <n v="28800"/>
    <n v="7200"/>
    <n v="0.2"/>
  </r>
  <r>
    <s v="ORD0475"/>
    <x v="276"/>
    <x v="6"/>
    <x v="0"/>
    <x v="0"/>
    <x v="0"/>
    <x v="3"/>
    <x v="6"/>
    <x v="0"/>
    <x v="0"/>
    <n v="15"/>
    <n v="12000"/>
    <n v="180000"/>
    <n v="115200"/>
    <n v="64800"/>
    <n v="0.36"/>
  </r>
  <r>
    <s v="ORD0091"/>
    <x v="277"/>
    <x v="0"/>
    <x v="0"/>
    <x v="4"/>
    <x v="0"/>
    <x v="2"/>
    <x v="8"/>
    <x v="0"/>
    <x v="0"/>
    <n v="6"/>
    <n v="300"/>
    <n v="1800"/>
    <n v="1152"/>
    <n v="648"/>
    <n v="0.36"/>
  </r>
  <r>
    <s v="ORD0514"/>
    <x v="277"/>
    <x v="11"/>
    <x v="0"/>
    <x v="9"/>
    <x v="2"/>
    <x v="3"/>
    <x v="5"/>
    <x v="3"/>
    <x v="1"/>
    <n v="2"/>
    <n v="9000"/>
    <n v="18000"/>
    <n v="14400"/>
    <n v="3600"/>
    <n v="0.2"/>
  </r>
  <r>
    <s v="ORD0241"/>
    <x v="278"/>
    <x v="2"/>
    <x v="0"/>
    <x v="6"/>
    <x v="2"/>
    <x v="3"/>
    <x v="0"/>
    <x v="6"/>
    <x v="1"/>
    <n v="9"/>
    <n v="3500"/>
    <n v="31500"/>
    <n v="24570"/>
    <n v="6930"/>
    <n v="0.22"/>
  </r>
  <r>
    <s v="ORD0118"/>
    <x v="279"/>
    <x v="7"/>
    <x v="0"/>
    <x v="14"/>
    <x v="3"/>
    <x v="0"/>
    <x v="2"/>
    <x v="5"/>
    <x v="1"/>
    <n v="2"/>
    <n v="50"/>
    <n v="100"/>
    <n v="69"/>
    <n v="31"/>
    <n v="0.31"/>
  </r>
  <r>
    <s v="ORD0345"/>
    <x v="280"/>
    <x v="1"/>
    <x v="0"/>
    <x v="15"/>
    <x v="3"/>
    <x v="0"/>
    <x v="5"/>
    <x v="5"/>
    <x v="0"/>
    <n v="5"/>
    <n v="55000"/>
    <n v="275000"/>
    <n v="203500"/>
    <n v="71500"/>
    <n v="0.26"/>
  </r>
  <r>
    <s v="ORD0380"/>
    <x v="280"/>
    <x v="7"/>
    <x v="0"/>
    <x v="0"/>
    <x v="0"/>
    <x v="0"/>
    <x v="9"/>
    <x v="6"/>
    <x v="0"/>
    <n v="3"/>
    <n v="45000"/>
    <n v="135000"/>
    <n v="97200"/>
    <n v="37800"/>
    <n v="0.28000000000000003"/>
  </r>
  <r>
    <s v="ORD0169"/>
    <x v="281"/>
    <x v="3"/>
    <x v="0"/>
    <x v="0"/>
    <x v="0"/>
    <x v="0"/>
    <x v="2"/>
    <x v="5"/>
    <x v="1"/>
    <n v="3"/>
    <n v="4000"/>
    <n v="12000"/>
    <n v="8760"/>
    <n v="3240"/>
    <n v="0.27"/>
  </r>
  <r>
    <s v="ORD0330"/>
    <x v="281"/>
    <x v="4"/>
    <x v="0"/>
    <x v="15"/>
    <x v="3"/>
    <x v="0"/>
    <x v="0"/>
    <x v="4"/>
    <x v="0"/>
    <n v="11"/>
    <n v="1200"/>
    <n v="13200"/>
    <n v="7920"/>
    <n v="5280"/>
    <n v="0.4"/>
  </r>
  <r>
    <s v="ORD0011"/>
    <x v="282"/>
    <x v="10"/>
    <x v="0"/>
    <x v="8"/>
    <x v="0"/>
    <x v="3"/>
    <x v="6"/>
    <x v="6"/>
    <x v="0"/>
    <n v="13"/>
    <n v="55000"/>
    <n v="715000"/>
    <n v="429000"/>
    <n v="286000"/>
    <n v="0.4"/>
  </r>
  <r>
    <s v="ORD0338"/>
    <x v="282"/>
    <x v="5"/>
    <x v="0"/>
    <x v="7"/>
    <x v="3"/>
    <x v="4"/>
    <x v="6"/>
    <x v="4"/>
    <x v="1"/>
    <n v="12"/>
    <n v="20"/>
    <n v="240"/>
    <n v="199.2"/>
    <n v="40.800000000000011"/>
    <n v="0.17000000000000004"/>
  </r>
  <r>
    <s v="ORD0346"/>
    <x v="283"/>
    <x v="5"/>
    <x v="0"/>
    <x v="15"/>
    <x v="3"/>
    <x v="0"/>
    <x v="1"/>
    <x v="2"/>
    <x v="1"/>
    <n v="2"/>
    <n v="7000"/>
    <n v="14000"/>
    <n v="9380"/>
    <n v="4620"/>
    <n v="0.33"/>
  </r>
  <r>
    <s v="ORD0275"/>
    <x v="284"/>
    <x v="11"/>
    <x v="0"/>
    <x v="7"/>
    <x v="3"/>
    <x v="1"/>
    <x v="5"/>
    <x v="4"/>
    <x v="0"/>
    <n v="2"/>
    <n v="9000"/>
    <n v="18000"/>
    <n v="12420"/>
    <n v="5580"/>
    <n v="0.31"/>
  </r>
  <r>
    <s v="ORD0419"/>
    <x v="284"/>
    <x v="3"/>
    <x v="0"/>
    <x v="7"/>
    <x v="3"/>
    <x v="2"/>
    <x v="3"/>
    <x v="5"/>
    <x v="0"/>
    <n v="19"/>
    <n v="7000"/>
    <n v="133000"/>
    <n v="107730"/>
    <n v="25270"/>
    <n v="0.19"/>
  </r>
  <r>
    <s v="ORD0426"/>
    <x v="284"/>
    <x v="0"/>
    <x v="0"/>
    <x v="2"/>
    <x v="1"/>
    <x v="4"/>
    <x v="7"/>
    <x v="0"/>
    <x v="1"/>
    <n v="10"/>
    <n v="45000"/>
    <n v="450000"/>
    <n v="373500"/>
    <n v="76500"/>
    <n v="0.17"/>
  </r>
  <r>
    <s v="ORD0494"/>
    <x v="284"/>
    <x v="5"/>
    <x v="0"/>
    <x v="8"/>
    <x v="0"/>
    <x v="3"/>
    <x v="9"/>
    <x v="0"/>
    <x v="0"/>
    <n v="12"/>
    <n v="4000"/>
    <n v="48000"/>
    <n v="34560"/>
    <n v="13440"/>
    <n v="0.28000000000000003"/>
  </r>
  <r>
    <s v="ORD0295"/>
    <x v="285"/>
    <x v="7"/>
    <x v="1"/>
    <x v="4"/>
    <x v="0"/>
    <x v="3"/>
    <x v="0"/>
    <x v="0"/>
    <x v="0"/>
    <n v="18"/>
    <n v="12000"/>
    <n v="216000"/>
    <n v="170640"/>
    <n v="45360"/>
    <n v="0.21"/>
  </r>
  <r>
    <s v="ORD0531"/>
    <x v="286"/>
    <x v="7"/>
    <x v="1"/>
    <x v="7"/>
    <x v="3"/>
    <x v="2"/>
    <x v="7"/>
    <x v="5"/>
    <x v="1"/>
    <n v="4"/>
    <n v="20"/>
    <n v="80"/>
    <n v="62.4"/>
    <n v="17.600000000000001"/>
    <n v="0.22000000000000003"/>
  </r>
  <r>
    <s v="ORD0136"/>
    <x v="287"/>
    <x v="7"/>
    <x v="1"/>
    <x v="3"/>
    <x v="1"/>
    <x v="1"/>
    <x v="9"/>
    <x v="1"/>
    <x v="0"/>
    <n v="15"/>
    <n v="700"/>
    <n v="10500"/>
    <n v="6510"/>
    <n v="3990"/>
    <n v="0.38"/>
  </r>
  <r>
    <s v="ORD0202"/>
    <x v="287"/>
    <x v="7"/>
    <x v="1"/>
    <x v="8"/>
    <x v="0"/>
    <x v="1"/>
    <x v="4"/>
    <x v="4"/>
    <x v="1"/>
    <n v="8"/>
    <n v="7000"/>
    <n v="56000"/>
    <n v="39760"/>
    <n v="16240"/>
    <n v="0.28999999999999998"/>
  </r>
  <r>
    <s v="ORD0024"/>
    <x v="288"/>
    <x v="7"/>
    <x v="1"/>
    <x v="9"/>
    <x v="2"/>
    <x v="0"/>
    <x v="1"/>
    <x v="1"/>
    <x v="1"/>
    <n v="9"/>
    <n v="12000"/>
    <n v="108000"/>
    <n v="64800"/>
    <n v="43200"/>
    <n v="0.4"/>
  </r>
  <r>
    <s v="ORD0144"/>
    <x v="288"/>
    <x v="7"/>
    <x v="1"/>
    <x v="9"/>
    <x v="2"/>
    <x v="0"/>
    <x v="2"/>
    <x v="3"/>
    <x v="0"/>
    <n v="17"/>
    <n v="12000"/>
    <n v="204000"/>
    <n v="177480"/>
    <n v="26520"/>
    <n v="0.13"/>
  </r>
  <r>
    <s v="ORD0184"/>
    <x v="289"/>
    <x v="7"/>
    <x v="1"/>
    <x v="15"/>
    <x v="3"/>
    <x v="4"/>
    <x v="2"/>
    <x v="0"/>
    <x v="0"/>
    <n v="1"/>
    <n v="15000"/>
    <n v="15000"/>
    <n v="11700"/>
    <n v="3300"/>
    <n v="0.22"/>
  </r>
  <r>
    <s v="ORD0118"/>
    <x v="290"/>
    <x v="7"/>
    <x v="1"/>
    <x v="14"/>
    <x v="3"/>
    <x v="0"/>
    <x v="2"/>
    <x v="5"/>
    <x v="1"/>
    <n v="2"/>
    <n v="50"/>
    <n v="100"/>
    <n v="69"/>
    <n v="31"/>
    <n v="0.31"/>
  </r>
  <r>
    <s v="ORD0434"/>
    <x v="290"/>
    <x v="7"/>
    <x v="1"/>
    <x v="7"/>
    <x v="3"/>
    <x v="2"/>
    <x v="6"/>
    <x v="2"/>
    <x v="0"/>
    <n v="2"/>
    <n v="700"/>
    <n v="1400"/>
    <n v="854"/>
    <n v="546"/>
    <n v="0.39"/>
  </r>
  <r>
    <s v="ORD0103"/>
    <x v="291"/>
    <x v="7"/>
    <x v="1"/>
    <x v="8"/>
    <x v="0"/>
    <x v="0"/>
    <x v="7"/>
    <x v="5"/>
    <x v="0"/>
    <n v="11"/>
    <n v="50"/>
    <n v="550"/>
    <n v="478.5"/>
    <n v="71.5"/>
    <n v="0.13"/>
  </r>
  <r>
    <s v="ORD0311"/>
    <x v="291"/>
    <x v="7"/>
    <x v="1"/>
    <x v="6"/>
    <x v="2"/>
    <x v="2"/>
    <x v="6"/>
    <x v="5"/>
    <x v="0"/>
    <n v="8"/>
    <n v="12000"/>
    <n v="96000"/>
    <n v="78720"/>
    <n v="17280"/>
    <n v="0.18"/>
  </r>
  <r>
    <s v="ORD0412"/>
    <x v="291"/>
    <x v="7"/>
    <x v="1"/>
    <x v="3"/>
    <x v="1"/>
    <x v="2"/>
    <x v="0"/>
    <x v="4"/>
    <x v="1"/>
    <n v="9"/>
    <n v="50"/>
    <n v="450"/>
    <n v="319.5"/>
    <n v="130.5"/>
    <n v="0.28999999999999998"/>
  </r>
  <r>
    <s v="ORD0232"/>
    <x v="292"/>
    <x v="7"/>
    <x v="1"/>
    <x v="5"/>
    <x v="2"/>
    <x v="1"/>
    <x v="1"/>
    <x v="4"/>
    <x v="1"/>
    <n v="7"/>
    <n v="300"/>
    <n v="2100"/>
    <n v="1491"/>
    <n v="609"/>
    <n v="0.28999999999999998"/>
  </r>
  <r>
    <s v="ORD0084"/>
    <x v="293"/>
    <x v="7"/>
    <x v="1"/>
    <x v="11"/>
    <x v="1"/>
    <x v="2"/>
    <x v="8"/>
    <x v="6"/>
    <x v="1"/>
    <n v="18"/>
    <n v="4000"/>
    <n v="72000"/>
    <n v="59040"/>
    <n v="12960"/>
    <n v="0.18"/>
  </r>
  <r>
    <s v="ORD0196"/>
    <x v="293"/>
    <x v="7"/>
    <x v="1"/>
    <x v="7"/>
    <x v="3"/>
    <x v="2"/>
    <x v="0"/>
    <x v="5"/>
    <x v="0"/>
    <n v="16"/>
    <n v="7000"/>
    <n v="112000"/>
    <n v="82880"/>
    <n v="29120"/>
    <n v="0.26"/>
  </r>
  <r>
    <s v="ORD0237"/>
    <x v="293"/>
    <x v="7"/>
    <x v="1"/>
    <x v="13"/>
    <x v="3"/>
    <x v="3"/>
    <x v="7"/>
    <x v="7"/>
    <x v="1"/>
    <n v="17"/>
    <n v="45000"/>
    <n v="765000"/>
    <n v="527850"/>
    <n v="237150"/>
    <n v="0.31"/>
  </r>
  <r>
    <s v="ORD0131"/>
    <x v="294"/>
    <x v="7"/>
    <x v="1"/>
    <x v="15"/>
    <x v="3"/>
    <x v="3"/>
    <x v="3"/>
    <x v="1"/>
    <x v="0"/>
    <n v="1"/>
    <n v="12000"/>
    <n v="12000"/>
    <n v="10320"/>
    <n v="1680"/>
    <n v="0.14000000000000001"/>
  </r>
  <r>
    <s v="ORD0362"/>
    <x v="294"/>
    <x v="7"/>
    <x v="1"/>
    <x v="4"/>
    <x v="0"/>
    <x v="4"/>
    <x v="8"/>
    <x v="4"/>
    <x v="0"/>
    <n v="5"/>
    <n v="50"/>
    <n v="250"/>
    <n v="187.5"/>
    <n v="62.5"/>
    <n v="0.25"/>
  </r>
  <r>
    <s v="ORD0364"/>
    <x v="294"/>
    <x v="7"/>
    <x v="1"/>
    <x v="0"/>
    <x v="0"/>
    <x v="2"/>
    <x v="7"/>
    <x v="0"/>
    <x v="0"/>
    <n v="1"/>
    <n v="1200"/>
    <n v="1200"/>
    <n v="924"/>
    <n v="276"/>
    <n v="0.23"/>
  </r>
  <r>
    <s v="ORD0385"/>
    <x v="294"/>
    <x v="7"/>
    <x v="1"/>
    <x v="6"/>
    <x v="2"/>
    <x v="1"/>
    <x v="6"/>
    <x v="6"/>
    <x v="1"/>
    <n v="5"/>
    <n v="20"/>
    <n v="100"/>
    <n v="90"/>
    <n v="10"/>
    <n v="0.1"/>
  </r>
  <r>
    <s v="ORD0481"/>
    <x v="294"/>
    <x v="7"/>
    <x v="1"/>
    <x v="10"/>
    <x v="3"/>
    <x v="0"/>
    <x v="7"/>
    <x v="0"/>
    <x v="1"/>
    <n v="3"/>
    <n v="7000"/>
    <n v="21000"/>
    <n v="15750"/>
    <n v="5250"/>
    <n v="0.25"/>
  </r>
  <r>
    <s v="ORD0122"/>
    <x v="295"/>
    <x v="7"/>
    <x v="1"/>
    <x v="9"/>
    <x v="2"/>
    <x v="1"/>
    <x v="2"/>
    <x v="5"/>
    <x v="0"/>
    <n v="3"/>
    <n v="7000"/>
    <n v="21000"/>
    <n v="18690"/>
    <n v="2310"/>
    <n v="0.11"/>
  </r>
  <r>
    <s v="ORD0208"/>
    <x v="295"/>
    <x v="7"/>
    <x v="1"/>
    <x v="9"/>
    <x v="2"/>
    <x v="0"/>
    <x v="0"/>
    <x v="4"/>
    <x v="1"/>
    <n v="11"/>
    <n v="3500"/>
    <n v="38500"/>
    <n v="28490"/>
    <n v="10010"/>
    <n v="0.26"/>
  </r>
  <r>
    <s v="ORD0387"/>
    <x v="295"/>
    <x v="7"/>
    <x v="1"/>
    <x v="0"/>
    <x v="0"/>
    <x v="4"/>
    <x v="1"/>
    <x v="6"/>
    <x v="0"/>
    <n v="3"/>
    <n v="20"/>
    <n v="60"/>
    <n v="45"/>
    <n v="15"/>
    <n v="0.25"/>
  </r>
  <r>
    <s v="ORD0456"/>
    <x v="295"/>
    <x v="7"/>
    <x v="1"/>
    <x v="2"/>
    <x v="1"/>
    <x v="4"/>
    <x v="3"/>
    <x v="4"/>
    <x v="0"/>
    <n v="12"/>
    <n v="25000"/>
    <n v="300000"/>
    <n v="213000"/>
    <n v="87000"/>
    <n v="0.28999999999999998"/>
  </r>
  <r>
    <s v="ORD0010"/>
    <x v="296"/>
    <x v="7"/>
    <x v="1"/>
    <x v="8"/>
    <x v="0"/>
    <x v="3"/>
    <x v="9"/>
    <x v="1"/>
    <x v="1"/>
    <n v="3"/>
    <n v="25000"/>
    <n v="75000"/>
    <n v="56250"/>
    <n v="18750"/>
    <n v="0.25"/>
  </r>
  <r>
    <s v="ORD0034"/>
    <x v="296"/>
    <x v="7"/>
    <x v="1"/>
    <x v="2"/>
    <x v="1"/>
    <x v="4"/>
    <x v="5"/>
    <x v="0"/>
    <x v="0"/>
    <n v="6"/>
    <n v="20"/>
    <n v="120"/>
    <n v="87.6"/>
    <n v="32.400000000000006"/>
    <n v="0.27000000000000007"/>
  </r>
  <r>
    <s v="ORD0375"/>
    <x v="296"/>
    <x v="7"/>
    <x v="1"/>
    <x v="4"/>
    <x v="0"/>
    <x v="4"/>
    <x v="4"/>
    <x v="6"/>
    <x v="1"/>
    <n v="10"/>
    <n v="15000"/>
    <n v="150000"/>
    <n v="130500"/>
    <n v="19500"/>
    <n v="0.13"/>
  </r>
  <r>
    <s v="ORD0019"/>
    <x v="297"/>
    <x v="7"/>
    <x v="1"/>
    <x v="14"/>
    <x v="3"/>
    <x v="3"/>
    <x v="3"/>
    <x v="3"/>
    <x v="1"/>
    <n v="6"/>
    <n v="9000"/>
    <n v="54000"/>
    <n v="33480"/>
    <n v="20520"/>
    <n v="0.38"/>
  </r>
  <r>
    <s v="ORD0380"/>
    <x v="297"/>
    <x v="7"/>
    <x v="1"/>
    <x v="0"/>
    <x v="0"/>
    <x v="0"/>
    <x v="9"/>
    <x v="6"/>
    <x v="0"/>
    <n v="3"/>
    <n v="45000"/>
    <n v="135000"/>
    <n v="97200"/>
    <n v="37800"/>
    <n v="0.28000000000000003"/>
  </r>
  <r>
    <s v="ORD0399"/>
    <x v="298"/>
    <x v="7"/>
    <x v="1"/>
    <x v="8"/>
    <x v="0"/>
    <x v="2"/>
    <x v="8"/>
    <x v="0"/>
    <x v="0"/>
    <n v="8"/>
    <n v="20"/>
    <n v="160"/>
    <n v="115.2"/>
    <n v="44.8"/>
    <n v="0.27999999999999997"/>
  </r>
  <r>
    <s v="ORD0054"/>
    <x v="299"/>
    <x v="7"/>
    <x v="1"/>
    <x v="9"/>
    <x v="2"/>
    <x v="3"/>
    <x v="7"/>
    <x v="2"/>
    <x v="1"/>
    <n v="16"/>
    <n v="20"/>
    <n v="320"/>
    <n v="224"/>
    <n v="96"/>
    <n v="0.3"/>
  </r>
  <r>
    <s v="ORD0415"/>
    <x v="299"/>
    <x v="7"/>
    <x v="1"/>
    <x v="6"/>
    <x v="2"/>
    <x v="1"/>
    <x v="3"/>
    <x v="5"/>
    <x v="0"/>
    <n v="3"/>
    <n v="20"/>
    <n v="60"/>
    <n v="49.8"/>
    <n v="10.200000000000003"/>
    <n v="0.17000000000000004"/>
  </r>
  <r>
    <s v="ORD0324"/>
    <x v="300"/>
    <x v="7"/>
    <x v="1"/>
    <x v="9"/>
    <x v="2"/>
    <x v="1"/>
    <x v="8"/>
    <x v="6"/>
    <x v="1"/>
    <n v="14"/>
    <n v="700"/>
    <n v="9800"/>
    <n v="6076"/>
    <n v="3724"/>
    <n v="0.38"/>
  </r>
  <r>
    <s v="ORD0101"/>
    <x v="301"/>
    <x v="7"/>
    <x v="1"/>
    <x v="9"/>
    <x v="2"/>
    <x v="2"/>
    <x v="0"/>
    <x v="1"/>
    <x v="0"/>
    <n v="15"/>
    <n v="55000"/>
    <n v="825000"/>
    <n v="701250"/>
    <n v="123750"/>
    <n v="0.15"/>
  </r>
  <r>
    <s v="ORD0133"/>
    <x v="302"/>
    <x v="7"/>
    <x v="1"/>
    <x v="2"/>
    <x v="1"/>
    <x v="3"/>
    <x v="3"/>
    <x v="0"/>
    <x v="0"/>
    <n v="4"/>
    <n v="9000"/>
    <n v="36000"/>
    <n v="32400"/>
    <n v="3600"/>
    <n v="0.1"/>
  </r>
  <r>
    <s v="ORD0305"/>
    <x v="302"/>
    <x v="7"/>
    <x v="1"/>
    <x v="10"/>
    <x v="3"/>
    <x v="0"/>
    <x v="3"/>
    <x v="4"/>
    <x v="1"/>
    <n v="9"/>
    <n v="4000"/>
    <n v="36000"/>
    <n v="30240"/>
    <n v="5760"/>
    <n v="0.16"/>
  </r>
  <r>
    <s v="ORD0421"/>
    <x v="302"/>
    <x v="7"/>
    <x v="1"/>
    <x v="5"/>
    <x v="2"/>
    <x v="2"/>
    <x v="9"/>
    <x v="6"/>
    <x v="1"/>
    <n v="8"/>
    <n v="150"/>
    <n v="1200"/>
    <n v="744"/>
    <n v="456"/>
    <n v="0.38"/>
  </r>
  <r>
    <s v="ORD0116"/>
    <x v="303"/>
    <x v="7"/>
    <x v="1"/>
    <x v="10"/>
    <x v="3"/>
    <x v="0"/>
    <x v="5"/>
    <x v="5"/>
    <x v="1"/>
    <n v="9"/>
    <n v="55000"/>
    <n v="495000"/>
    <n v="326700"/>
    <n v="168300"/>
    <n v="0.34"/>
  </r>
  <r>
    <s v="ORD0224"/>
    <x v="304"/>
    <x v="10"/>
    <x v="1"/>
    <x v="2"/>
    <x v="1"/>
    <x v="1"/>
    <x v="8"/>
    <x v="1"/>
    <x v="1"/>
    <n v="13"/>
    <n v="7000"/>
    <n v="91000"/>
    <n v="69160"/>
    <n v="21840"/>
    <n v="0.24"/>
  </r>
  <r>
    <s v="ORD0478"/>
    <x v="304"/>
    <x v="10"/>
    <x v="1"/>
    <x v="9"/>
    <x v="2"/>
    <x v="2"/>
    <x v="5"/>
    <x v="3"/>
    <x v="1"/>
    <n v="9"/>
    <n v="700"/>
    <n v="6300"/>
    <n v="5103"/>
    <n v="1197"/>
    <n v="0.19"/>
  </r>
  <r>
    <s v="ORD0216"/>
    <x v="305"/>
    <x v="10"/>
    <x v="1"/>
    <x v="3"/>
    <x v="1"/>
    <x v="1"/>
    <x v="0"/>
    <x v="4"/>
    <x v="0"/>
    <n v="6"/>
    <n v="1200"/>
    <n v="7200"/>
    <n v="5328"/>
    <n v="1872"/>
    <n v="0.26"/>
  </r>
  <r>
    <s v="ORD0240"/>
    <x v="305"/>
    <x v="10"/>
    <x v="1"/>
    <x v="4"/>
    <x v="0"/>
    <x v="4"/>
    <x v="7"/>
    <x v="6"/>
    <x v="0"/>
    <n v="3"/>
    <n v="45000"/>
    <n v="135000"/>
    <n v="91800"/>
    <n v="43200"/>
    <n v="0.32"/>
  </r>
  <r>
    <s v="ORD0403"/>
    <x v="305"/>
    <x v="10"/>
    <x v="1"/>
    <x v="15"/>
    <x v="3"/>
    <x v="4"/>
    <x v="7"/>
    <x v="1"/>
    <x v="1"/>
    <n v="13"/>
    <n v="55000"/>
    <n v="715000"/>
    <n v="579150"/>
    <n v="135850"/>
    <n v="0.19"/>
  </r>
  <r>
    <s v="ORD0247"/>
    <x v="306"/>
    <x v="10"/>
    <x v="1"/>
    <x v="1"/>
    <x v="0"/>
    <x v="3"/>
    <x v="2"/>
    <x v="0"/>
    <x v="0"/>
    <n v="19"/>
    <n v="1200"/>
    <n v="22800"/>
    <n v="16644"/>
    <n v="6156"/>
    <n v="0.27"/>
  </r>
  <r>
    <s v="ORD0109"/>
    <x v="307"/>
    <x v="10"/>
    <x v="1"/>
    <x v="0"/>
    <x v="0"/>
    <x v="0"/>
    <x v="4"/>
    <x v="1"/>
    <x v="0"/>
    <n v="18"/>
    <n v="4000"/>
    <n v="72000"/>
    <n v="54720"/>
    <n v="17280"/>
    <n v="0.24"/>
  </r>
  <r>
    <s v="ORD0242"/>
    <x v="308"/>
    <x v="10"/>
    <x v="1"/>
    <x v="13"/>
    <x v="3"/>
    <x v="0"/>
    <x v="9"/>
    <x v="2"/>
    <x v="0"/>
    <n v="8"/>
    <n v="12000"/>
    <n v="96000"/>
    <n v="79680"/>
    <n v="16320"/>
    <n v="0.17"/>
  </r>
  <r>
    <s v="ORD0413"/>
    <x v="308"/>
    <x v="10"/>
    <x v="1"/>
    <x v="10"/>
    <x v="3"/>
    <x v="0"/>
    <x v="4"/>
    <x v="6"/>
    <x v="0"/>
    <n v="1"/>
    <n v="25000"/>
    <n v="25000"/>
    <n v="15500"/>
    <n v="9500"/>
    <n v="0.38"/>
  </r>
  <r>
    <s v="ORD0483"/>
    <x v="308"/>
    <x v="10"/>
    <x v="1"/>
    <x v="13"/>
    <x v="3"/>
    <x v="0"/>
    <x v="1"/>
    <x v="7"/>
    <x v="1"/>
    <n v="20"/>
    <n v="4000"/>
    <n v="80000"/>
    <n v="66400"/>
    <n v="13600"/>
    <n v="0.17"/>
  </r>
  <r>
    <s v="ORD0008"/>
    <x v="309"/>
    <x v="10"/>
    <x v="1"/>
    <x v="8"/>
    <x v="0"/>
    <x v="1"/>
    <x v="8"/>
    <x v="1"/>
    <x v="0"/>
    <n v="20"/>
    <n v="20"/>
    <n v="400"/>
    <n v="328"/>
    <n v="72"/>
    <n v="0.18"/>
  </r>
  <r>
    <s v="ORD0246"/>
    <x v="310"/>
    <x v="10"/>
    <x v="1"/>
    <x v="6"/>
    <x v="2"/>
    <x v="1"/>
    <x v="6"/>
    <x v="5"/>
    <x v="1"/>
    <n v="13"/>
    <n v="1200"/>
    <n v="15600"/>
    <n v="12324"/>
    <n v="3276"/>
    <n v="0.21"/>
  </r>
  <r>
    <s v="ORD0381"/>
    <x v="311"/>
    <x v="10"/>
    <x v="1"/>
    <x v="8"/>
    <x v="0"/>
    <x v="2"/>
    <x v="4"/>
    <x v="3"/>
    <x v="1"/>
    <n v="16"/>
    <n v="8000"/>
    <n v="128000"/>
    <n v="76800"/>
    <n v="51200"/>
    <n v="0.4"/>
  </r>
  <r>
    <s v="ORD0181"/>
    <x v="312"/>
    <x v="10"/>
    <x v="1"/>
    <x v="0"/>
    <x v="0"/>
    <x v="3"/>
    <x v="1"/>
    <x v="1"/>
    <x v="1"/>
    <n v="9"/>
    <n v="150"/>
    <n v="1350"/>
    <n v="958.5"/>
    <n v="391.5"/>
    <n v="0.28999999999999998"/>
  </r>
  <r>
    <s v="ORD0361"/>
    <x v="312"/>
    <x v="10"/>
    <x v="1"/>
    <x v="7"/>
    <x v="3"/>
    <x v="4"/>
    <x v="3"/>
    <x v="7"/>
    <x v="0"/>
    <n v="8"/>
    <n v="8000"/>
    <n v="64000"/>
    <n v="44160"/>
    <n v="19840"/>
    <n v="0.31"/>
  </r>
  <r>
    <s v="ORD0393"/>
    <x v="312"/>
    <x v="10"/>
    <x v="1"/>
    <x v="13"/>
    <x v="3"/>
    <x v="4"/>
    <x v="4"/>
    <x v="1"/>
    <x v="0"/>
    <n v="12"/>
    <n v="3500"/>
    <n v="42000"/>
    <n v="30660"/>
    <n v="11340"/>
    <n v="0.27"/>
  </r>
  <r>
    <s v="ORD0135"/>
    <x v="313"/>
    <x v="10"/>
    <x v="1"/>
    <x v="8"/>
    <x v="0"/>
    <x v="2"/>
    <x v="0"/>
    <x v="3"/>
    <x v="0"/>
    <n v="2"/>
    <n v="9000"/>
    <n v="18000"/>
    <n v="11340"/>
    <n v="6660"/>
    <n v="0.37"/>
  </r>
  <r>
    <s v="ORD0255"/>
    <x v="314"/>
    <x v="10"/>
    <x v="1"/>
    <x v="8"/>
    <x v="0"/>
    <x v="0"/>
    <x v="7"/>
    <x v="1"/>
    <x v="1"/>
    <n v="18"/>
    <n v="55000"/>
    <n v="990000"/>
    <n v="792000"/>
    <n v="198000"/>
    <n v="0.2"/>
  </r>
  <r>
    <s v="ORD0291"/>
    <x v="314"/>
    <x v="10"/>
    <x v="1"/>
    <x v="9"/>
    <x v="2"/>
    <x v="3"/>
    <x v="5"/>
    <x v="7"/>
    <x v="1"/>
    <n v="6"/>
    <n v="12000"/>
    <n v="72000"/>
    <n v="64080"/>
    <n v="7920"/>
    <n v="0.11"/>
  </r>
  <r>
    <s v="ORD0119"/>
    <x v="315"/>
    <x v="10"/>
    <x v="1"/>
    <x v="2"/>
    <x v="1"/>
    <x v="2"/>
    <x v="4"/>
    <x v="5"/>
    <x v="1"/>
    <n v="2"/>
    <n v="3500"/>
    <n v="7000"/>
    <n v="4340"/>
    <n v="2660"/>
    <n v="0.38"/>
  </r>
  <r>
    <s v="ORD0217"/>
    <x v="315"/>
    <x v="10"/>
    <x v="1"/>
    <x v="9"/>
    <x v="2"/>
    <x v="2"/>
    <x v="3"/>
    <x v="3"/>
    <x v="0"/>
    <n v="11"/>
    <n v="8000"/>
    <n v="88000"/>
    <n v="76560"/>
    <n v="11440"/>
    <n v="0.13"/>
  </r>
  <r>
    <s v="ORD0343"/>
    <x v="316"/>
    <x v="10"/>
    <x v="1"/>
    <x v="11"/>
    <x v="1"/>
    <x v="4"/>
    <x v="0"/>
    <x v="1"/>
    <x v="0"/>
    <n v="10"/>
    <n v="300"/>
    <n v="3000"/>
    <n v="2250"/>
    <n v="750"/>
    <n v="0.25"/>
  </r>
  <r>
    <s v="ORD0367"/>
    <x v="316"/>
    <x v="10"/>
    <x v="1"/>
    <x v="7"/>
    <x v="3"/>
    <x v="4"/>
    <x v="8"/>
    <x v="2"/>
    <x v="0"/>
    <n v="17"/>
    <n v="700"/>
    <n v="11900"/>
    <n v="9877"/>
    <n v="2023"/>
    <n v="0.17"/>
  </r>
  <r>
    <s v="ORD0296"/>
    <x v="317"/>
    <x v="10"/>
    <x v="1"/>
    <x v="15"/>
    <x v="3"/>
    <x v="2"/>
    <x v="0"/>
    <x v="0"/>
    <x v="1"/>
    <n v="9"/>
    <n v="50"/>
    <n v="450"/>
    <n v="279"/>
    <n v="171"/>
    <n v="0.38"/>
  </r>
  <r>
    <s v="ORD0501"/>
    <x v="317"/>
    <x v="10"/>
    <x v="1"/>
    <x v="3"/>
    <x v="1"/>
    <x v="3"/>
    <x v="2"/>
    <x v="6"/>
    <x v="0"/>
    <n v="1"/>
    <n v="3500"/>
    <n v="3500"/>
    <n v="2380"/>
    <n v="1120"/>
    <n v="0.32"/>
  </r>
  <r>
    <s v="ORD0178"/>
    <x v="318"/>
    <x v="10"/>
    <x v="1"/>
    <x v="13"/>
    <x v="3"/>
    <x v="0"/>
    <x v="5"/>
    <x v="0"/>
    <x v="0"/>
    <n v="15"/>
    <n v="50"/>
    <n v="750"/>
    <n v="457.5"/>
    <n v="292.5"/>
    <n v="0.39"/>
  </r>
  <r>
    <s v="ORD0377"/>
    <x v="318"/>
    <x v="10"/>
    <x v="1"/>
    <x v="1"/>
    <x v="0"/>
    <x v="4"/>
    <x v="3"/>
    <x v="0"/>
    <x v="1"/>
    <n v="9"/>
    <n v="300"/>
    <n v="2700"/>
    <n v="2133"/>
    <n v="567"/>
    <n v="0.21"/>
  </r>
  <r>
    <s v="ORD0530"/>
    <x v="318"/>
    <x v="10"/>
    <x v="1"/>
    <x v="6"/>
    <x v="2"/>
    <x v="1"/>
    <x v="5"/>
    <x v="5"/>
    <x v="1"/>
    <n v="2"/>
    <n v="45000"/>
    <n v="90000"/>
    <n v="56700"/>
    <n v="33300"/>
    <n v="0.37"/>
  </r>
  <r>
    <s v="ORD0020"/>
    <x v="319"/>
    <x v="10"/>
    <x v="1"/>
    <x v="9"/>
    <x v="2"/>
    <x v="0"/>
    <x v="0"/>
    <x v="6"/>
    <x v="1"/>
    <n v="8"/>
    <n v="1200"/>
    <n v="9600"/>
    <n v="7488"/>
    <n v="2112"/>
    <n v="0.22"/>
  </r>
  <r>
    <s v="ORD0397"/>
    <x v="319"/>
    <x v="10"/>
    <x v="1"/>
    <x v="8"/>
    <x v="0"/>
    <x v="1"/>
    <x v="9"/>
    <x v="3"/>
    <x v="0"/>
    <n v="9"/>
    <n v="20"/>
    <n v="180"/>
    <n v="109.8"/>
    <n v="70.2"/>
    <n v="0.39"/>
  </r>
  <r>
    <s v="ORD0479"/>
    <x v="319"/>
    <x v="10"/>
    <x v="1"/>
    <x v="1"/>
    <x v="0"/>
    <x v="2"/>
    <x v="1"/>
    <x v="2"/>
    <x v="0"/>
    <n v="5"/>
    <n v="4000"/>
    <n v="20000"/>
    <n v="13600"/>
    <n v="6400"/>
    <n v="0.32"/>
  </r>
  <r>
    <s v="ORD0011"/>
    <x v="320"/>
    <x v="10"/>
    <x v="1"/>
    <x v="8"/>
    <x v="0"/>
    <x v="3"/>
    <x v="6"/>
    <x v="6"/>
    <x v="0"/>
    <n v="13"/>
    <n v="55000"/>
    <n v="715000"/>
    <n v="429000"/>
    <n v="286000"/>
    <n v="0.4"/>
  </r>
  <r>
    <s v="ORD0436"/>
    <x v="320"/>
    <x v="10"/>
    <x v="1"/>
    <x v="11"/>
    <x v="1"/>
    <x v="2"/>
    <x v="2"/>
    <x v="0"/>
    <x v="0"/>
    <n v="3"/>
    <n v="55000"/>
    <n v="165000"/>
    <n v="117150"/>
    <n v="47850"/>
    <n v="0.28999999999999998"/>
  </r>
  <r>
    <s v="ORD0041"/>
    <x v="321"/>
    <x v="10"/>
    <x v="1"/>
    <x v="7"/>
    <x v="3"/>
    <x v="3"/>
    <x v="8"/>
    <x v="6"/>
    <x v="1"/>
    <n v="11"/>
    <n v="3500"/>
    <n v="38500"/>
    <n v="24255"/>
    <n v="14245"/>
    <n v="0.37"/>
  </r>
  <r>
    <s v="ORD0528"/>
    <x v="321"/>
    <x v="10"/>
    <x v="1"/>
    <x v="2"/>
    <x v="1"/>
    <x v="3"/>
    <x v="0"/>
    <x v="7"/>
    <x v="0"/>
    <n v="18"/>
    <n v="300"/>
    <n v="5400"/>
    <n v="4428"/>
    <n v="972"/>
    <n v="0.18"/>
  </r>
  <r>
    <s v="ORD0048"/>
    <x v="322"/>
    <x v="10"/>
    <x v="1"/>
    <x v="0"/>
    <x v="0"/>
    <x v="4"/>
    <x v="5"/>
    <x v="1"/>
    <x v="1"/>
    <n v="10"/>
    <n v="15000"/>
    <n v="150000"/>
    <n v="108000"/>
    <n v="42000"/>
    <n v="0.28000000000000003"/>
  </r>
  <r>
    <s v="ORD0401"/>
    <x v="323"/>
    <x v="10"/>
    <x v="1"/>
    <x v="8"/>
    <x v="0"/>
    <x v="1"/>
    <x v="2"/>
    <x v="4"/>
    <x v="1"/>
    <n v="4"/>
    <n v="9000"/>
    <n v="36000"/>
    <n v="29160"/>
    <n v="6840"/>
    <n v="0.19"/>
  </r>
  <r>
    <s v="ORD0180"/>
    <x v="324"/>
    <x v="10"/>
    <x v="1"/>
    <x v="8"/>
    <x v="0"/>
    <x v="4"/>
    <x v="2"/>
    <x v="7"/>
    <x v="1"/>
    <n v="13"/>
    <n v="50"/>
    <n v="650"/>
    <n v="455"/>
    <n v="195"/>
    <n v="0.3"/>
  </r>
  <r>
    <s v="ORD0088"/>
    <x v="325"/>
    <x v="10"/>
    <x v="1"/>
    <x v="5"/>
    <x v="2"/>
    <x v="2"/>
    <x v="5"/>
    <x v="1"/>
    <x v="1"/>
    <n v="4"/>
    <n v="20"/>
    <n v="80"/>
    <n v="58.4"/>
    <n v="21.6"/>
    <n v="0.27"/>
  </r>
  <r>
    <s v="ORD0263"/>
    <x v="325"/>
    <x v="10"/>
    <x v="1"/>
    <x v="6"/>
    <x v="2"/>
    <x v="1"/>
    <x v="6"/>
    <x v="5"/>
    <x v="1"/>
    <n v="3"/>
    <n v="55000"/>
    <n v="165000"/>
    <n v="140250"/>
    <n v="24750"/>
    <n v="0.15"/>
  </r>
  <r>
    <s v="ORD0036"/>
    <x v="326"/>
    <x v="10"/>
    <x v="1"/>
    <x v="13"/>
    <x v="3"/>
    <x v="4"/>
    <x v="9"/>
    <x v="3"/>
    <x v="0"/>
    <n v="10"/>
    <n v="9000"/>
    <n v="90000"/>
    <n v="57600"/>
    <n v="32400"/>
    <n v="0.36"/>
  </r>
  <r>
    <s v="ORD0215"/>
    <x v="326"/>
    <x v="10"/>
    <x v="1"/>
    <x v="11"/>
    <x v="1"/>
    <x v="2"/>
    <x v="8"/>
    <x v="4"/>
    <x v="0"/>
    <n v="3"/>
    <n v="45000"/>
    <n v="135000"/>
    <n v="101250"/>
    <n v="33750"/>
    <n v="0.25"/>
  </r>
  <r>
    <s v="ORD0366"/>
    <x v="326"/>
    <x v="10"/>
    <x v="1"/>
    <x v="2"/>
    <x v="1"/>
    <x v="4"/>
    <x v="7"/>
    <x v="0"/>
    <x v="1"/>
    <n v="4"/>
    <n v="8000"/>
    <n v="32000"/>
    <n v="20160"/>
    <n v="11840"/>
    <n v="0.37"/>
  </r>
  <r>
    <s v="ORD0455"/>
    <x v="326"/>
    <x v="10"/>
    <x v="1"/>
    <x v="11"/>
    <x v="1"/>
    <x v="0"/>
    <x v="9"/>
    <x v="5"/>
    <x v="1"/>
    <n v="16"/>
    <n v="150"/>
    <n v="2400"/>
    <n v="1704"/>
    <n v="696"/>
    <n v="0.28999999999999998"/>
  </r>
  <r>
    <s v="ORD0115"/>
    <x v="327"/>
    <x v="10"/>
    <x v="1"/>
    <x v="6"/>
    <x v="2"/>
    <x v="0"/>
    <x v="0"/>
    <x v="1"/>
    <x v="0"/>
    <n v="20"/>
    <n v="9000"/>
    <n v="180000"/>
    <n v="147600"/>
    <n v="32400"/>
    <n v="0.18"/>
  </r>
  <r>
    <s v="ORD0308"/>
    <x v="327"/>
    <x v="10"/>
    <x v="1"/>
    <x v="5"/>
    <x v="2"/>
    <x v="1"/>
    <x v="3"/>
    <x v="0"/>
    <x v="1"/>
    <n v="11"/>
    <n v="45000"/>
    <n v="495000"/>
    <n v="381150"/>
    <n v="113850"/>
    <n v="0.23"/>
  </r>
  <r>
    <s v="ORD0410"/>
    <x v="327"/>
    <x v="10"/>
    <x v="1"/>
    <x v="14"/>
    <x v="3"/>
    <x v="0"/>
    <x v="9"/>
    <x v="5"/>
    <x v="1"/>
    <n v="7"/>
    <n v="700"/>
    <n v="4900"/>
    <n v="4214"/>
    <n v="686"/>
    <n v="0.14000000000000001"/>
  </r>
  <r>
    <s v="ORD0093"/>
    <x v="328"/>
    <x v="10"/>
    <x v="1"/>
    <x v="6"/>
    <x v="2"/>
    <x v="0"/>
    <x v="2"/>
    <x v="7"/>
    <x v="0"/>
    <n v="20"/>
    <n v="50"/>
    <n v="1000"/>
    <n v="710"/>
    <n v="290"/>
    <n v="0.28999999999999998"/>
  </r>
  <r>
    <s v="ORD0212"/>
    <x v="328"/>
    <x v="10"/>
    <x v="1"/>
    <x v="5"/>
    <x v="2"/>
    <x v="4"/>
    <x v="0"/>
    <x v="3"/>
    <x v="1"/>
    <n v="17"/>
    <n v="45000"/>
    <n v="765000"/>
    <n v="459000"/>
    <n v="306000"/>
    <n v="0.4"/>
  </r>
  <r>
    <s v="ORD0050"/>
    <x v="329"/>
    <x v="10"/>
    <x v="1"/>
    <x v="9"/>
    <x v="2"/>
    <x v="4"/>
    <x v="4"/>
    <x v="7"/>
    <x v="1"/>
    <n v="10"/>
    <n v="7000"/>
    <n v="70000"/>
    <n v="54600"/>
    <n v="15400"/>
    <n v="0.22"/>
  </r>
  <r>
    <s v="ORD0214"/>
    <x v="329"/>
    <x v="10"/>
    <x v="1"/>
    <x v="1"/>
    <x v="0"/>
    <x v="4"/>
    <x v="2"/>
    <x v="1"/>
    <x v="0"/>
    <n v="1"/>
    <n v="20"/>
    <n v="20"/>
    <n v="13.2"/>
    <n v="6.8000000000000007"/>
    <n v="0.34"/>
  </r>
  <r>
    <s v="ORD0312"/>
    <x v="329"/>
    <x v="10"/>
    <x v="1"/>
    <x v="4"/>
    <x v="0"/>
    <x v="4"/>
    <x v="4"/>
    <x v="5"/>
    <x v="1"/>
    <n v="2"/>
    <n v="4000"/>
    <n v="8000"/>
    <n v="5040"/>
    <n v="2960"/>
    <n v="0.37"/>
  </r>
  <r>
    <s v="ORD0395"/>
    <x v="329"/>
    <x v="10"/>
    <x v="1"/>
    <x v="5"/>
    <x v="2"/>
    <x v="4"/>
    <x v="3"/>
    <x v="5"/>
    <x v="1"/>
    <n v="18"/>
    <n v="25000"/>
    <n v="450000"/>
    <n v="288000"/>
    <n v="162000"/>
    <n v="0.36"/>
  </r>
  <r>
    <s v="ORD0536"/>
    <x v="329"/>
    <x v="10"/>
    <x v="1"/>
    <x v="7"/>
    <x v="3"/>
    <x v="1"/>
    <x v="9"/>
    <x v="5"/>
    <x v="0"/>
    <n v="8"/>
    <n v="300"/>
    <n v="2400"/>
    <n v="1728"/>
    <n v="672"/>
    <n v="0.28000000000000003"/>
  </r>
  <r>
    <s v="ORD0188"/>
    <x v="330"/>
    <x v="8"/>
    <x v="1"/>
    <x v="12"/>
    <x v="1"/>
    <x v="2"/>
    <x v="1"/>
    <x v="1"/>
    <x v="0"/>
    <n v="17"/>
    <n v="15000"/>
    <n v="255000"/>
    <n v="229500"/>
    <n v="25500"/>
    <n v="0.1"/>
  </r>
  <r>
    <s v="ORD0114"/>
    <x v="331"/>
    <x v="8"/>
    <x v="1"/>
    <x v="8"/>
    <x v="0"/>
    <x v="4"/>
    <x v="7"/>
    <x v="1"/>
    <x v="0"/>
    <n v="11"/>
    <n v="15000"/>
    <n v="165000"/>
    <n v="141900"/>
    <n v="23100"/>
    <n v="0.14000000000000001"/>
  </r>
  <r>
    <s v="ORD0158"/>
    <x v="331"/>
    <x v="8"/>
    <x v="1"/>
    <x v="12"/>
    <x v="1"/>
    <x v="1"/>
    <x v="3"/>
    <x v="1"/>
    <x v="0"/>
    <n v="10"/>
    <n v="3500"/>
    <n v="35000"/>
    <n v="24850"/>
    <n v="10150"/>
    <n v="0.28999999999999998"/>
  </r>
  <r>
    <s v="ORD0286"/>
    <x v="332"/>
    <x v="8"/>
    <x v="1"/>
    <x v="8"/>
    <x v="0"/>
    <x v="1"/>
    <x v="8"/>
    <x v="3"/>
    <x v="0"/>
    <n v="11"/>
    <n v="7000"/>
    <n v="77000"/>
    <n v="67760"/>
    <n v="9240"/>
    <n v="0.12"/>
  </r>
  <r>
    <s v="ORD0287"/>
    <x v="333"/>
    <x v="8"/>
    <x v="1"/>
    <x v="4"/>
    <x v="0"/>
    <x v="0"/>
    <x v="5"/>
    <x v="4"/>
    <x v="0"/>
    <n v="6"/>
    <n v="55000"/>
    <n v="330000"/>
    <n v="270600"/>
    <n v="59400"/>
    <n v="0.18"/>
  </r>
  <r>
    <s v="ORD0538"/>
    <x v="333"/>
    <x v="8"/>
    <x v="1"/>
    <x v="13"/>
    <x v="3"/>
    <x v="0"/>
    <x v="2"/>
    <x v="4"/>
    <x v="1"/>
    <n v="14"/>
    <n v="55000"/>
    <n v="770000"/>
    <n v="492800"/>
    <n v="277200"/>
    <n v="0.36"/>
  </r>
  <r>
    <s v="ORD0153"/>
    <x v="334"/>
    <x v="8"/>
    <x v="1"/>
    <x v="4"/>
    <x v="0"/>
    <x v="0"/>
    <x v="3"/>
    <x v="3"/>
    <x v="1"/>
    <n v="18"/>
    <n v="15000"/>
    <n v="270000"/>
    <n v="162000"/>
    <n v="108000"/>
    <n v="0.4"/>
  </r>
  <r>
    <s v="ORD0394"/>
    <x v="334"/>
    <x v="8"/>
    <x v="1"/>
    <x v="12"/>
    <x v="1"/>
    <x v="1"/>
    <x v="4"/>
    <x v="1"/>
    <x v="0"/>
    <n v="1"/>
    <n v="9000"/>
    <n v="9000"/>
    <n v="7110"/>
    <n v="1890"/>
    <n v="0.21"/>
  </r>
  <r>
    <s v="ORD0013"/>
    <x v="335"/>
    <x v="8"/>
    <x v="1"/>
    <x v="12"/>
    <x v="1"/>
    <x v="4"/>
    <x v="2"/>
    <x v="2"/>
    <x v="1"/>
    <n v="9"/>
    <n v="8000"/>
    <n v="72000"/>
    <n v="62640"/>
    <n v="9360"/>
    <n v="0.13"/>
  </r>
  <r>
    <s v="ORD0082"/>
    <x v="335"/>
    <x v="8"/>
    <x v="1"/>
    <x v="8"/>
    <x v="0"/>
    <x v="2"/>
    <x v="4"/>
    <x v="7"/>
    <x v="0"/>
    <n v="10"/>
    <n v="4000"/>
    <n v="40000"/>
    <n v="33200"/>
    <n v="6800"/>
    <n v="0.17"/>
  </r>
  <r>
    <s v="ORD0521"/>
    <x v="336"/>
    <x v="8"/>
    <x v="1"/>
    <x v="10"/>
    <x v="3"/>
    <x v="2"/>
    <x v="1"/>
    <x v="7"/>
    <x v="1"/>
    <n v="19"/>
    <n v="20"/>
    <n v="380"/>
    <n v="334.4"/>
    <n v="45.600000000000023"/>
    <n v="0.12000000000000006"/>
  </r>
  <r>
    <s v="ORD0006"/>
    <x v="337"/>
    <x v="8"/>
    <x v="1"/>
    <x v="15"/>
    <x v="3"/>
    <x v="1"/>
    <x v="5"/>
    <x v="0"/>
    <x v="1"/>
    <n v="9"/>
    <n v="1200"/>
    <n v="10800"/>
    <n v="6480"/>
    <n v="4320"/>
    <n v="0.4"/>
  </r>
  <r>
    <s v="ORD0476"/>
    <x v="337"/>
    <x v="8"/>
    <x v="1"/>
    <x v="0"/>
    <x v="0"/>
    <x v="2"/>
    <x v="6"/>
    <x v="7"/>
    <x v="0"/>
    <n v="13"/>
    <n v="1200"/>
    <n v="15600"/>
    <n v="13416"/>
    <n v="2184"/>
    <n v="0.14000000000000001"/>
  </r>
  <r>
    <s v="ORD0179"/>
    <x v="338"/>
    <x v="8"/>
    <x v="1"/>
    <x v="3"/>
    <x v="1"/>
    <x v="2"/>
    <x v="6"/>
    <x v="1"/>
    <x v="1"/>
    <n v="18"/>
    <n v="8000"/>
    <n v="144000"/>
    <n v="105120"/>
    <n v="38880"/>
    <n v="0.27"/>
  </r>
  <r>
    <s v="ORD0055"/>
    <x v="339"/>
    <x v="8"/>
    <x v="1"/>
    <x v="3"/>
    <x v="1"/>
    <x v="3"/>
    <x v="3"/>
    <x v="0"/>
    <x v="0"/>
    <n v="18"/>
    <n v="1200"/>
    <n v="21600"/>
    <n v="16632"/>
    <n v="4968"/>
    <n v="0.23"/>
  </r>
  <r>
    <s v="ORD0288"/>
    <x v="339"/>
    <x v="8"/>
    <x v="1"/>
    <x v="13"/>
    <x v="3"/>
    <x v="1"/>
    <x v="8"/>
    <x v="5"/>
    <x v="1"/>
    <n v="17"/>
    <n v="150"/>
    <n v="2550"/>
    <n v="2167.5"/>
    <n v="382.5"/>
    <n v="0.15"/>
  </r>
  <r>
    <s v="ORD0124"/>
    <x v="340"/>
    <x v="8"/>
    <x v="1"/>
    <x v="14"/>
    <x v="3"/>
    <x v="3"/>
    <x v="4"/>
    <x v="4"/>
    <x v="0"/>
    <n v="9"/>
    <n v="55000"/>
    <n v="495000"/>
    <n v="376200"/>
    <n v="118800"/>
    <n v="0.24"/>
  </r>
  <r>
    <s v="ORD0163"/>
    <x v="340"/>
    <x v="8"/>
    <x v="1"/>
    <x v="14"/>
    <x v="3"/>
    <x v="4"/>
    <x v="2"/>
    <x v="5"/>
    <x v="1"/>
    <n v="14"/>
    <n v="45000"/>
    <n v="630000"/>
    <n v="510300"/>
    <n v="119700"/>
    <n v="0.19"/>
  </r>
  <r>
    <s v="ORD0398"/>
    <x v="340"/>
    <x v="8"/>
    <x v="1"/>
    <x v="7"/>
    <x v="3"/>
    <x v="3"/>
    <x v="0"/>
    <x v="5"/>
    <x v="1"/>
    <n v="14"/>
    <n v="8000"/>
    <n v="112000"/>
    <n v="76160"/>
    <n v="35840"/>
    <n v="0.32"/>
  </r>
  <r>
    <s v="ORD0057"/>
    <x v="341"/>
    <x v="8"/>
    <x v="1"/>
    <x v="15"/>
    <x v="3"/>
    <x v="2"/>
    <x v="9"/>
    <x v="0"/>
    <x v="0"/>
    <n v="2"/>
    <n v="9000"/>
    <n v="18000"/>
    <n v="13680"/>
    <n v="4320"/>
    <n v="0.24"/>
  </r>
  <r>
    <s v="ORD0265"/>
    <x v="341"/>
    <x v="8"/>
    <x v="1"/>
    <x v="5"/>
    <x v="2"/>
    <x v="4"/>
    <x v="1"/>
    <x v="7"/>
    <x v="1"/>
    <n v="20"/>
    <n v="8000"/>
    <n v="160000"/>
    <n v="115200"/>
    <n v="44800"/>
    <n v="0.28000000000000003"/>
  </r>
  <r>
    <s v="ORD0003"/>
    <x v="342"/>
    <x v="8"/>
    <x v="1"/>
    <x v="0"/>
    <x v="0"/>
    <x v="1"/>
    <x v="6"/>
    <x v="6"/>
    <x v="0"/>
    <n v="7"/>
    <n v="15000"/>
    <n v="105000"/>
    <n v="88200"/>
    <n v="16800"/>
    <n v="0.16"/>
  </r>
  <r>
    <s v="ORD0160"/>
    <x v="342"/>
    <x v="8"/>
    <x v="1"/>
    <x v="14"/>
    <x v="3"/>
    <x v="4"/>
    <x v="2"/>
    <x v="3"/>
    <x v="1"/>
    <n v="10"/>
    <n v="50"/>
    <n v="500"/>
    <n v="330"/>
    <n v="170"/>
    <n v="0.34"/>
  </r>
  <r>
    <s v="ORD0453"/>
    <x v="342"/>
    <x v="8"/>
    <x v="1"/>
    <x v="2"/>
    <x v="1"/>
    <x v="3"/>
    <x v="9"/>
    <x v="2"/>
    <x v="1"/>
    <n v="14"/>
    <n v="9000"/>
    <n v="126000"/>
    <n v="93240"/>
    <n v="32760"/>
    <n v="0.26"/>
  </r>
  <r>
    <s v="ORD0462"/>
    <x v="342"/>
    <x v="8"/>
    <x v="1"/>
    <x v="5"/>
    <x v="2"/>
    <x v="1"/>
    <x v="5"/>
    <x v="7"/>
    <x v="0"/>
    <n v="8"/>
    <n v="700"/>
    <n v="5600"/>
    <n v="4536"/>
    <n v="1064"/>
    <n v="0.19"/>
  </r>
  <r>
    <s v="ORD0509"/>
    <x v="343"/>
    <x v="8"/>
    <x v="1"/>
    <x v="11"/>
    <x v="1"/>
    <x v="2"/>
    <x v="2"/>
    <x v="4"/>
    <x v="1"/>
    <n v="1"/>
    <n v="4000"/>
    <n v="4000"/>
    <n v="3440"/>
    <n v="560"/>
    <n v="0.14000000000000001"/>
  </r>
  <r>
    <s v="ORD0141"/>
    <x v="344"/>
    <x v="8"/>
    <x v="1"/>
    <x v="5"/>
    <x v="2"/>
    <x v="2"/>
    <x v="5"/>
    <x v="5"/>
    <x v="1"/>
    <n v="20"/>
    <n v="50"/>
    <n v="1000"/>
    <n v="890"/>
    <n v="110"/>
    <n v="0.11"/>
  </r>
  <r>
    <s v="ORD0174"/>
    <x v="344"/>
    <x v="8"/>
    <x v="1"/>
    <x v="2"/>
    <x v="1"/>
    <x v="2"/>
    <x v="9"/>
    <x v="1"/>
    <x v="0"/>
    <n v="16"/>
    <n v="25000"/>
    <n v="400000"/>
    <n v="336000"/>
    <n v="64000"/>
    <n v="0.16"/>
  </r>
  <r>
    <s v="ORD0418"/>
    <x v="344"/>
    <x v="8"/>
    <x v="1"/>
    <x v="11"/>
    <x v="1"/>
    <x v="1"/>
    <x v="6"/>
    <x v="3"/>
    <x v="1"/>
    <n v="10"/>
    <n v="12000"/>
    <n v="120000"/>
    <n v="92400"/>
    <n v="27600"/>
    <n v="0.23"/>
  </r>
  <r>
    <s v="ORD0445"/>
    <x v="344"/>
    <x v="8"/>
    <x v="1"/>
    <x v="8"/>
    <x v="0"/>
    <x v="2"/>
    <x v="1"/>
    <x v="2"/>
    <x v="1"/>
    <n v="5"/>
    <n v="4000"/>
    <n v="20000"/>
    <n v="15600"/>
    <n v="4400"/>
    <n v="0.22"/>
  </r>
  <r>
    <s v="ORD0168"/>
    <x v="345"/>
    <x v="8"/>
    <x v="1"/>
    <x v="0"/>
    <x v="0"/>
    <x v="4"/>
    <x v="4"/>
    <x v="7"/>
    <x v="0"/>
    <n v="3"/>
    <n v="7000"/>
    <n v="21000"/>
    <n v="12600"/>
    <n v="8400"/>
    <n v="0.4"/>
  </r>
  <r>
    <s v="ORD0427"/>
    <x v="345"/>
    <x v="8"/>
    <x v="1"/>
    <x v="5"/>
    <x v="2"/>
    <x v="2"/>
    <x v="1"/>
    <x v="0"/>
    <x v="0"/>
    <n v="14"/>
    <n v="700"/>
    <n v="9800"/>
    <n v="7252"/>
    <n v="2548"/>
    <n v="0.26"/>
  </r>
  <r>
    <s v="ORD0075"/>
    <x v="346"/>
    <x v="8"/>
    <x v="1"/>
    <x v="10"/>
    <x v="3"/>
    <x v="1"/>
    <x v="8"/>
    <x v="2"/>
    <x v="1"/>
    <n v="8"/>
    <n v="8000"/>
    <n v="64000"/>
    <n v="51200"/>
    <n v="12800"/>
    <n v="0.2"/>
  </r>
  <r>
    <s v="ORD0189"/>
    <x v="346"/>
    <x v="8"/>
    <x v="1"/>
    <x v="3"/>
    <x v="1"/>
    <x v="2"/>
    <x v="2"/>
    <x v="2"/>
    <x v="0"/>
    <n v="14"/>
    <n v="12000"/>
    <n v="168000"/>
    <n v="126000"/>
    <n v="42000"/>
    <n v="0.25"/>
  </r>
  <r>
    <s v="ORD0267"/>
    <x v="346"/>
    <x v="8"/>
    <x v="1"/>
    <x v="14"/>
    <x v="3"/>
    <x v="4"/>
    <x v="4"/>
    <x v="3"/>
    <x v="1"/>
    <n v="11"/>
    <n v="8000"/>
    <n v="88000"/>
    <n v="63360"/>
    <n v="24640"/>
    <n v="0.28000000000000003"/>
  </r>
  <r>
    <s v="ORD0130"/>
    <x v="347"/>
    <x v="8"/>
    <x v="1"/>
    <x v="8"/>
    <x v="0"/>
    <x v="1"/>
    <x v="8"/>
    <x v="4"/>
    <x v="0"/>
    <n v="11"/>
    <n v="1200"/>
    <n v="13200"/>
    <n v="8184"/>
    <n v="5016"/>
    <n v="0.38"/>
  </r>
  <r>
    <s v="ORD0271"/>
    <x v="347"/>
    <x v="8"/>
    <x v="1"/>
    <x v="12"/>
    <x v="1"/>
    <x v="2"/>
    <x v="6"/>
    <x v="1"/>
    <x v="1"/>
    <n v="16"/>
    <n v="1200"/>
    <n v="19200"/>
    <n v="15552"/>
    <n v="3648"/>
    <n v="0.19"/>
  </r>
  <r>
    <s v="ORD0076"/>
    <x v="348"/>
    <x v="8"/>
    <x v="1"/>
    <x v="1"/>
    <x v="0"/>
    <x v="0"/>
    <x v="4"/>
    <x v="2"/>
    <x v="0"/>
    <n v="10"/>
    <n v="300"/>
    <n v="3000"/>
    <n v="2190"/>
    <n v="810"/>
    <n v="0.27"/>
  </r>
  <r>
    <s v="ORD0097"/>
    <x v="348"/>
    <x v="8"/>
    <x v="1"/>
    <x v="5"/>
    <x v="2"/>
    <x v="3"/>
    <x v="6"/>
    <x v="1"/>
    <x v="0"/>
    <n v="4"/>
    <n v="150"/>
    <n v="600"/>
    <n v="390"/>
    <n v="210"/>
    <n v="0.35"/>
  </r>
  <r>
    <s v="ORD0193"/>
    <x v="348"/>
    <x v="8"/>
    <x v="1"/>
    <x v="1"/>
    <x v="0"/>
    <x v="2"/>
    <x v="9"/>
    <x v="5"/>
    <x v="1"/>
    <n v="15"/>
    <n v="45000"/>
    <n v="675000"/>
    <n v="425250"/>
    <n v="249750"/>
    <n v="0.37"/>
  </r>
  <r>
    <s v="ORD0029"/>
    <x v="349"/>
    <x v="8"/>
    <x v="1"/>
    <x v="9"/>
    <x v="2"/>
    <x v="0"/>
    <x v="2"/>
    <x v="3"/>
    <x v="1"/>
    <n v="10"/>
    <n v="7000"/>
    <n v="70000"/>
    <n v="58800"/>
    <n v="11200"/>
    <n v="0.16"/>
  </r>
  <r>
    <s v="ORD0061"/>
    <x v="350"/>
    <x v="8"/>
    <x v="1"/>
    <x v="7"/>
    <x v="3"/>
    <x v="0"/>
    <x v="0"/>
    <x v="4"/>
    <x v="1"/>
    <n v="2"/>
    <n v="45000"/>
    <n v="90000"/>
    <n v="71100"/>
    <n v="18900"/>
    <n v="0.21"/>
  </r>
  <r>
    <s v="ORD0449"/>
    <x v="350"/>
    <x v="8"/>
    <x v="1"/>
    <x v="8"/>
    <x v="0"/>
    <x v="4"/>
    <x v="0"/>
    <x v="0"/>
    <x v="1"/>
    <n v="2"/>
    <n v="50"/>
    <n v="100"/>
    <n v="80"/>
    <n v="20"/>
    <n v="0.2"/>
  </r>
  <r>
    <s v="ORD0533"/>
    <x v="350"/>
    <x v="8"/>
    <x v="1"/>
    <x v="4"/>
    <x v="0"/>
    <x v="3"/>
    <x v="5"/>
    <x v="2"/>
    <x v="1"/>
    <n v="17"/>
    <n v="55000"/>
    <n v="935000"/>
    <n v="570350"/>
    <n v="364650"/>
    <n v="0.39"/>
  </r>
  <r>
    <s v="ORD0026"/>
    <x v="351"/>
    <x v="6"/>
    <x v="1"/>
    <x v="7"/>
    <x v="3"/>
    <x v="2"/>
    <x v="4"/>
    <x v="0"/>
    <x v="1"/>
    <n v="16"/>
    <n v="12000"/>
    <n v="192000"/>
    <n v="147840"/>
    <n v="44160"/>
    <n v="0.23"/>
  </r>
  <r>
    <s v="ORD0125"/>
    <x v="352"/>
    <x v="6"/>
    <x v="1"/>
    <x v="15"/>
    <x v="3"/>
    <x v="3"/>
    <x v="9"/>
    <x v="4"/>
    <x v="1"/>
    <n v="10"/>
    <n v="15000"/>
    <n v="150000"/>
    <n v="118500"/>
    <n v="31500"/>
    <n v="0.21"/>
  </r>
  <r>
    <s v="ORD0195"/>
    <x v="352"/>
    <x v="6"/>
    <x v="1"/>
    <x v="0"/>
    <x v="0"/>
    <x v="0"/>
    <x v="9"/>
    <x v="3"/>
    <x v="1"/>
    <n v="8"/>
    <n v="300"/>
    <n v="2400"/>
    <n v="1848"/>
    <n v="552"/>
    <n v="0.23"/>
  </r>
  <r>
    <s v="ORD0307"/>
    <x v="352"/>
    <x v="6"/>
    <x v="1"/>
    <x v="1"/>
    <x v="0"/>
    <x v="2"/>
    <x v="9"/>
    <x v="5"/>
    <x v="0"/>
    <n v="10"/>
    <n v="150"/>
    <n v="1500"/>
    <n v="1005"/>
    <n v="495"/>
    <n v="0.33"/>
  </r>
  <r>
    <s v="ORD0105"/>
    <x v="353"/>
    <x v="6"/>
    <x v="1"/>
    <x v="13"/>
    <x v="3"/>
    <x v="4"/>
    <x v="3"/>
    <x v="0"/>
    <x v="1"/>
    <n v="17"/>
    <n v="12000"/>
    <n v="204000"/>
    <n v="159120"/>
    <n v="44880"/>
    <n v="0.22"/>
  </r>
  <r>
    <s v="ORD0155"/>
    <x v="353"/>
    <x v="6"/>
    <x v="1"/>
    <x v="3"/>
    <x v="1"/>
    <x v="0"/>
    <x v="5"/>
    <x v="2"/>
    <x v="0"/>
    <n v="12"/>
    <n v="150"/>
    <n v="1800"/>
    <n v="1332"/>
    <n v="468"/>
    <n v="0.26"/>
  </r>
  <r>
    <s v="ORD0166"/>
    <x v="353"/>
    <x v="6"/>
    <x v="1"/>
    <x v="13"/>
    <x v="3"/>
    <x v="3"/>
    <x v="6"/>
    <x v="3"/>
    <x v="1"/>
    <n v="17"/>
    <n v="8000"/>
    <n v="136000"/>
    <n v="82960"/>
    <n v="53040"/>
    <n v="0.39"/>
  </r>
  <r>
    <s v="ORD0059"/>
    <x v="354"/>
    <x v="6"/>
    <x v="1"/>
    <x v="3"/>
    <x v="1"/>
    <x v="3"/>
    <x v="2"/>
    <x v="7"/>
    <x v="0"/>
    <n v="15"/>
    <n v="25000"/>
    <n v="375000"/>
    <n v="270000"/>
    <n v="105000"/>
    <n v="0.28000000000000003"/>
  </r>
  <r>
    <s v="ORD0379"/>
    <x v="354"/>
    <x v="6"/>
    <x v="1"/>
    <x v="7"/>
    <x v="3"/>
    <x v="0"/>
    <x v="6"/>
    <x v="1"/>
    <x v="0"/>
    <n v="6"/>
    <n v="8000"/>
    <n v="48000"/>
    <n v="38400"/>
    <n v="9600"/>
    <n v="0.2"/>
  </r>
  <r>
    <s v="ORD0191"/>
    <x v="355"/>
    <x v="6"/>
    <x v="1"/>
    <x v="11"/>
    <x v="1"/>
    <x v="3"/>
    <x v="2"/>
    <x v="0"/>
    <x v="0"/>
    <n v="6"/>
    <n v="50"/>
    <n v="300"/>
    <n v="183"/>
    <n v="117"/>
    <n v="0.39"/>
  </r>
  <r>
    <s v="ORD0137"/>
    <x v="356"/>
    <x v="6"/>
    <x v="1"/>
    <x v="15"/>
    <x v="3"/>
    <x v="1"/>
    <x v="1"/>
    <x v="6"/>
    <x v="1"/>
    <n v="9"/>
    <n v="15000"/>
    <n v="135000"/>
    <n v="117450"/>
    <n v="17550"/>
    <n v="0.13"/>
  </r>
  <r>
    <s v="ORD0505"/>
    <x v="356"/>
    <x v="6"/>
    <x v="1"/>
    <x v="13"/>
    <x v="3"/>
    <x v="2"/>
    <x v="0"/>
    <x v="3"/>
    <x v="0"/>
    <n v="4"/>
    <n v="4000"/>
    <n v="16000"/>
    <n v="13120"/>
    <n v="2880"/>
    <n v="0.18"/>
  </r>
  <r>
    <s v="ORD0515"/>
    <x v="356"/>
    <x v="6"/>
    <x v="1"/>
    <x v="13"/>
    <x v="3"/>
    <x v="3"/>
    <x v="4"/>
    <x v="5"/>
    <x v="1"/>
    <n v="7"/>
    <n v="300"/>
    <n v="2100"/>
    <n v="1743"/>
    <n v="357"/>
    <n v="0.17"/>
  </r>
  <r>
    <s v="ORD0223"/>
    <x v="357"/>
    <x v="6"/>
    <x v="1"/>
    <x v="12"/>
    <x v="1"/>
    <x v="1"/>
    <x v="8"/>
    <x v="6"/>
    <x v="1"/>
    <n v="17"/>
    <n v="8000"/>
    <n v="136000"/>
    <n v="103360"/>
    <n v="32640"/>
    <n v="0.24"/>
  </r>
  <r>
    <s v="ORD0321"/>
    <x v="357"/>
    <x v="6"/>
    <x v="1"/>
    <x v="11"/>
    <x v="1"/>
    <x v="3"/>
    <x v="0"/>
    <x v="2"/>
    <x v="1"/>
    <n v="8"/>
    <n v="1200"/>
    <n v="9600"/>
    <n v="5952"/>
    <n v="3648"/>
    <n v="0.38"/>
  </r>
  <r>
    <s v="ORD0012"/>
    <x v="358"/>
    <x v="6"/>
    <x v="1"/>
    <x v="13"/>
    <x v="3"/>
    <x v="0"/>
    <x v="8"/>
    <x v="2"/>
    <x v="1"/>
    <n v="6"/>
    <n v="8000"/>
    <n v="48000"/>
    <n v="39360"/>
    <n v="8640"/>
    <n v="0.18"/>
  </r>
  <r>
    <s v="ORD0072"/>
    <x v="358"/>
    <x v="6"/>
    <x v="1"/>
    <x v="12"/>
    <x v="1"/>
    <x v="0"/>
    <x v="5"/>
    <x v="3"/>
    <x v="0"/>
    <n v="4"/>
    <n v="25000"/>
    <n v="100000"/>
    <n v="64000"/>
    <n v="36000"/>
    <n v="0.36"/>
  </r>
  <r>
    <s v="ORD0071"/>
    <x v="359"/>
    <x v="6"/>
    <x v="1"/>
    <x v="15"/>
    <x v="3"/>
    <x v="2"/>
    <x v="2"/>
    <x v="3"/>
    <x v="0"/>
    <n v="2"/>
    <n v="20"/>
    <n v="40"/>
    <n v="29.2"/>
    <n v="10.8"/>
    <n v="0.27"/>
  </r>
  <r>
    <s v="ORD0526"/>
    <x v="360"/>
    <x v="6"/>
    <x v="1"/>
    <x v="1"/>
    <x v="0"/>
    <x v="4"/>
    <x v="6"/>
    <x v="7"/>
    <x v="0"/>
    <n v="12"/>
    <n v="7000"/>
    <n v="84000"/>
    <n v="70560"/>
    <n v="13440"/>
    <n v="0.16"/>
  </r>
  <r>
    <s v="ORD0475"/>
    <x v="361"/>
    <x v="6"/>
    <x v="1"/>
    <x v="0"/>
    <x v="0"/>
    <x v="3"/>
    <x v="6"/>
    <x v="7"/>
    <x v="0"/>
    <n v="15"/>
    <n v="12000"/>
    <n v="180000"/>
    <n v="115200"/>
    <n v="64800"/>
    <n v="0.36"/>
  </r>
  <r>
    <s v="ORD0516"/>
    <x v="361"/>
    <x v="6"/>
    <x v="1"/>
    <x v="5"/>
    <x v="2"/>
    <x v="4"/>
    <x v="6"/>
    <x v="7"/>
    <x v="1"/>
    <n v="4"/>
    <n v="150"/>
    <n v="600"/>
    <n v="402"/>
    <n v="198"/>
    <n v="0.33"/>
  </r>
  <r>
    <s v="ORD0298"/>
    <x v="362"/>
    <x v="6"/>
    <x v="1"/>
    <x v="5"/>
    <x v="2"/>
    <x v="1"/>
    <x v="1"/>
    <x v="1"/>
    <x v="0"/>
    <n v="2"/>
    <n v="700"/>
    <n v="1400"/>
    <n v="1120"/>
    <n v="280"/>
    <n v="0.2"/>
  </r>
  <r>
    <s v="ORD0441"/>
    <x v="362"/>
    <x v="6"/>
    <x v="1"/>
    <x v="13"/>
    <x v="3"/>
    <x v="2"/>
    <x v="9"/>
    <x v="7"/>
    <x v="1"/>
    <n v="7"/>
    <n v="300"/>
    <n v="2100"/>
    <n v="1701"/>
    <n v="399"/>
    <n v="0.19"/>
  </r>
  <r>
    <s v="ORD0506"/>
    <x v="363"/>
    <x v="6"/>
    <x v="1"/>
    <x v="3"/>
    <x v="1"/>
    <x v="4"/>
    <x v="0"/>
    <x v="5"/>
    <x v="1"/>
    <n v="5"/>
    <n v="7000"/>
    <n v="35000"/>
    <n v="30800"/>
    <n v="4200"/>
    <n v="0.12"/>
  </r>
  <r>
    <s v="ORD0510"/>
    <x v="363"/>
    <x v="6"/>
    <x v="1"/>
    <x v="7"/>
    <x v="3"/>
    <x v="4"/>
    <x v="1"/>
    <x v="6"/>
    <x v="0"/>
    <n v="8"/>
    <n v="8000"/>
    <n v="64000"/>
    <n v="40960"/>
    <n v="23040"/>
    <n v="0.36"/>
  </r>
  <r>
    <s v="ORD0170"/>
    <x v="364"/>
    <x v="6"/>
    <x v="1"/>
    <x v="7"/>
    <x v="3"/>
    <x v="0"/>
    <x v="2"/>
    <x v="6"/>
    <x v="1"/>
    <n v="17"/>
    <n v="25000"/>
    <n v="425000"/>
    <n v="280500"/>
    <n v="144500"/>
    <n v="0.34"/>
  </r>
  <r>
    <s v="ORD0268"/>
    <x v="364"/>
    <x v="6"/>
    <x v="1"/>
    <x v="4"/>
    <x v="0"/>
    <x v="3"/>
    <x v="3"/>
    <x v="5"/>
    <x v="1"/>
    <n v="8"/>
    <n v="45000"/>
    <n v="360000"/>
    <n v="306000"/>
    <n v="54000"/>
    <n v="0.15"/>
  </r>
  <r>
    <s v="ORD0111"/>
    <x v="365"/>
    <x v="6"/>
    <x v="1"/>
    <x v="13"/>
    <x v="3"/>
    <x v="2"/>
    <x v="6"/>
    <x v="4"/>
    <x v="0"/>
    <n v="20"/>
    <n v="300"/>
    <n v="6000"/>
    <n v="3780"/>
    <n v="2220"/>
    <n v="0.37"/>
  </r>
  <r>
    <s v="ORD0253"/>
    <x v="366"/>
    <x v="6"/>
    <x v="1"/>
    <x v="12"/>
    <x v="1"/>
    <x v="4"/>
    <x v="5"/>
    <x v="0"/>
    <x v="1"/>
    <n v="19"/>
    <n v="7000"/>
    <n v="133000"/>
    <n v="86450"/>
    <n v="46550"/>
    <n v="0.35"/>
  </r>
  <r>
    <s v="ORD0465"/>
    <x v="367"/>
    <x v="6"/>
    <x v="1"/>
    <x v="7"/>
    <x v="3"/>
    <x v="1"/>
    <x v="5"/>
    <x v="0"/>
    <x v="0"/>
    <n v="9"/>
    <n v="45000"/>
    <n v="405000"/>
    <n v="275400"/>
    <n v="129600"/>
    <n v="0.32"/>
  </r>
  <r>
    <s v="ORD0371"/>
    <x v="368"/>
    <x v="6"/>
    <x v="1"/>
    <x v="3"/>
    <x v="1"/>
    <x v="1"/>
    <x v="0"/>
    <x v="2"/>
    <x v="1"/>
    <n v="15"/>
    <n v="150"/>
    <n v="2250"/>
    <n v="1642.5"/>
    <n v="607.5"/>
    <n v="0.27"/>
  </r>
  <r>
    <s v="ORD0490"/>
    <x v="368"/>
    <x v="6"/>
    <x v="1"/>
    <x v="9"/>
    <x v="2"/>
    <x v="1"/>
    <x v="4"/>
    <x v="0"/>
    <x v="1"/>
    <n v="17"/>
    <n v="8000"/>
    <n v="136000"/>
    <n v="97920"/>
    <n v="38080"/>
    <n v="0.28000000000000003"/>
  </r>
  <r>
    <s v="ORD0171"/>
    <x v="369"/>
    <x v="6"/>
    <x v="1"/>
    <x v="11"/>
    <x v="1"/>
    <x v="1"/>
    <x v="4"/>
    <x v="0"/>
    <x v="1"/>
    <n v="19"/>
    <n v="12000"/>
    <n v="228000"/>
    <n v="205200"/>
    <n v="22800"/>
    <n v="0.1"/>
  </r>
  <r>
    <s v="ORD0302"/>
    <x v="370"/>
    <x v="6"/>
    <x v="1"/>
    <x v="15"/>
    <x v="3"/>
    <x v="1"/>
    <x v="6"/>
    <x v="1"/>
    <x v="0"/>
    <n v="15"/>
    <n v="20"/>
    <n v="300"/>
    <n v="204"/>
    <n v="96"/>
    <n v="0.32"/>
  </r>
  <r>
    <s v="ORD0520"/>
    <x v="370"/>
    <x v="6"/>
    <x v="1"/>
    <x v="14"/>
    <x v="3"/>
    <x v="2"/>
    <x v="6"/>
    <x v="7"/>
    <x v="0"/>
    <n v="1"/>
    <n v="25000"/>
    <n v="25000"/>
    <n v="19000"/>
    <n v="6000"/>
    <n v="0.24"/>
  </r>
  <r>
    <s v="ORD0078"/>
    <x v="371"/>
    <x v="6"/>
    <x v="1"/>
    <x v="9"/>
    <x v="2"/>
    <x v="4"/>
    <x v="6"/>
    <x v="2"/>
    <x v="1"/>
    <n v="10"/>
    <n v="55000"/>
    <n v="550000"/>
    <n v="434500"/>
    <n v="115500"/>
    <n v="0.21"/>
  </r>
  <r>
    <s v="ORD0140"/>
    <x v="371"/>
    <x v="6"/>
    <x v="1"/>
    <x v="3"/>
    <x v="1"/>
    <x v="3"/>
    <x v="2"/>
    <x v="6"/>
    <x v="0"/>
    <n v="15"/>
    <n v="45000"/>
    <n v="675000"/>
    <n v="553500"/>
    <n v="121500"/>
    <n v="0.18"/>
  </r>
  <r>
    <s v="ORD0248"/>
    <x v="371"/>
    <x v="6"/>
    <x v="1"/>
    <x v="4"/>
    <x v="0"/>
    <x v="1"/>
    <x v="0"/>
    <x v="0"/>
    <x v="0"/>
    <n v="20"/>
    <n v="50"/>
    <n v="1000"/>
    <n v="610"/>
    <n v="390"/>
    <n v="0.39"/>
  </r>
  <r>
    <s v="ORD0009"/>
    <x v="372"/>
    <x v="0"/>
    <x v="1"/>
    <x v="3"/>
    <x v="1"/>
    <x v="1"/>
    <x v="8"/>
    <x v="3"/>
    <x v="0"/>
    <n v="12"/>
    <n v="8000"/>
    <n v="96000"/>
    <n v="62400"/>
    <n v="33600"/>
    <n v="0.35"/>
  </r>
  <r>
    <s v="ORD0042"/>
    <x v="372"/>
    <x v="0"/>
    <x v="1"/>
    <x v="5"/>
    <x v="2"/>
    <x v="4"/>
    <x v="8"/>
    <x v="2"/>
    <x v="1"/>
    <n v="18"/>
    <n v="25000"/>
    <n v="450000"/>
    <n v="369000"/>
    <n v="81000"/>
    <n v="0.18"/>
  </r>
  <r>
    <s v="ORD0257"/>
    <x v="372"/>
    <x v="0"/>
    <x v="1"/>
    <x v="8"/>
    <x v="0"/>
    <x v="1"/>
    <x v="0"/>
    <x v="0"/>
    <x v="1"/>
    <n v="3"/>
    <n v="4000"/>
    <n v="12000"/>
    <n v="9120"/>
    <n v="2880"/>
    <n v="0.24"/>
  </r>
  <r>
    <s v="ORD0374"/>
    <x v="372"/>
    <x v="0"/>
    <x v="1"/>
    <x v="11"/>
    <x v="1"/>
    <x v="3"/>
    <x v="5"/>
    <x v="6"/>
    <x v="0"/>
    <n v="12"/>
    <n v="45000"/>
    <n v="540000"/>
    <n v="442800"/>
    <n v="97200"/>
    <n v="0.18"/>
  </r>
  <r>
    <s v="ORD0503"/>
    <x v="372"/>
    <x v="0"/>
    <x v="1"/>
    <x v="12"/>
    <x v="1"/>
    <x v="0"/>
    <x v="5"/>
    <x v="0"/>
    <x v="0"/>
    <n v="10"/>
    <n v="150"/>
    <n v="1500"/>
    <n v="1110"/>
    <n v="390"/>
    <n v="0.26"/>
  </r>
  <r>
    <s v="ORD0444"/>
    <x v="373"/>
    <x v="0"/>
    <x v="1"/>
    <x v="6"/>
    <x v="2"/>
    <x v="4"/>
    <x v="8"/>
    <x v="4"/>
    <x v="1"/>
    <n v="7"/>
    <n v="20"/>
    <n v="140"/>
    <n v="91"/>
    <n v="49"/>
    <n v="0.35"/>
  </r>
  <r>
    <s v="ORD0023"/>
    <x v="374"/>
    <x v="0"/>
    <x v="1"/>
    <x v="4"/>
    <x v="0"/>
    <x v="4"/>
    <x v="8"/>
    <x v="2"/>
    <x v="0"/>
    <n v="9"/>
    <n v="1200"/>
    <n v="10800"/>
    <n v="9612"/>
    <n v="1188"/>
    <n v="0.11"/>
  </r>
  <r>
    <s v="ORD0297"/>
    <x v="374"/>
    <x v="0"/>
    <x v="1"/>
    <x v="7"/>
    <x v="3"/>
    <x v="0"/>
    <x v="9"/>
    <x v="6"/>
    <x v="0"/>
    <n v="13"/>
    <n v="8000"/>
    <n v="104000"/>
    <n v="82160"/>
    <n v="21840"/>
    <n v="0.21"/>
  </r>
  <r>
    <s v="ORD0309"/>
    <x v="374"/>
    <x v="0"/>
    <x v="1"/>
    <x v="10"/>
    <x v="3"/>
    <x v="1"/>
    <x v="4"/>
    <x v="0"/>
    <x v="0"/>
    <n v="9"/>
    <n v="12000"/>
    <n v="108000"/>
    <n v="78840"/>
    <n v="29160"/>
    <n v="0.27"/>
  </r>
  <r>
    <s v="ORD0485"/>
    <x v="375"/>
    <x v="0"/>
    <x v="1"/>
    <x v="6"/>
    <x v="2"/>
    <x v="3"/>
    <x v="0"/>
    <x v="3"/>
    <x v="1"/>
    <n v="12"/>
    <n v="55000"/>
    <n v="660000"/>
    <n v="448800"/>
    <n v="211200"/>
    <n v="0.32"/>
  </r>
  <r>
    <s v="ORD0495"/>
    <x v="375"/>
    <x v="0"/>
    <x v="1"/>
    <x v="0"/>
    <x v="0"/>
    <x v="3"/>
    <x v="8"/>
    <x v="7"/>
    <x v="0"/>
    <n v="18"/>
    <n v="8000"/>
    <n v="144000"/>
    <n v="99360"/>
    <n v="44640"/>
    <n v="0.31"/>
  </r>
  <r>
    <s v="ORD0173"/>
    <x v="376"/>
    <x v="0"/>
    <x v="1"/>
    <x v="15"/>
    <x v="3"/>
    <x v="2"/>
    <x v="0"/>
    <x v="1"/>
    <x v="1"/>
    <n v="15"/>
    <n v="25000"/>
    <n v="375000"/>
    <n v="240000"/>
    <n v="135000"/>
    <n v="0.36"/>
  </r>
  <r>
    <s v="ORD0204"/>
    <x v="376"/>
    <x v="0"/>
    <x v="1"/>
    <x v="5"/>
    <x v="2"/>
    <x v="1"/>
    <x v="4"/>
    <x v="3"/>
    <x v="0"/>
    <n v="13"/>
    <n v="20"/>
    <n v="260"/>
    <n v="228.8"/>
    <n v="31.199999999999989"/>
    <n v="0.11999999999999995"/>
  </r>
  <r>
    <s v="ORD0284"/>
    <x v="376"/>
    <x v="0"/>
    <x v="1"/>
    <x v="4"/>
    <x v="0"/>
    <x v="4"/>
    <x v="8"/>
    <x v="1"/>
    <x v="1"/>
    <n v="2"/>
    <n v="20"/>
    <n v="40"/>
    <n v="27.6"/>
    <n v="12.399999999999999"/>
    <n v="0.30999999999999994"/>
  </r>
  <r>
    <s v="ORD0219"/>
    <x v="377"/>
    <x v="0"/>
    <x v="1"/>
    <x v="2"/>
    <x v="1"/>
    <x v="4"/>
    <x v="3"/>
    <x v="7"/>
    <x v="0"/>
    <n v="12"/>
    <n v="15000"/>
    <n v="180000"/>
    <n v="144000"/>
    <n v="36000"/>
    <n v="0.2"/>
  </r>
  <r>
    <s v="ORD0348"/>
    <x v="377"/>
    <x v="0"/>
    <x v="1"/>
    <x v="12"/>
    <x v="1"/>
    <x v="2"/>
    <x v="2"/>
    <x v="1"/>
    <x v="0"/>
    <n v="8"/>
    <n v="50"/>
    <n v="400"/>
    <n v="264"/>
    <n v="136"/>
    <n v="0.34"/>
  </r>
  <r>
    <s v="ORD0425"/>
    <x v="377"/>
    <x v="0"/>
    <x v="1"/>
    <x v="12"/>
    <x v="1"/>
    <x v="2"/>
    <x v="1"/>
    <x v="5"/>
    <x v="0"/>
    <n v="6"/>
    <n v="150"/>
    <n v="900"/>
    <n v="675"/>
    <n v="225"/>
    <n v="0.25"/>
  </r>
  <r>
    <s v="ORD0233"/>
    <x v="378"/>
    <x v="0"/>
    <x v="1"/>
    <x v="12"/>
    <x v="1"/>
    <x v="4"/>
    <x v="4"/>
    <x v="7"/>
    <x v="1"/>
    <n v="16"/>
    <n v="3500"/>
    <n v="56000"/>
    <n v="45360"/>
    <n v="10640"/>
    <n v="0.19"/>
  </r>
  <r>
    <s v="ORD0045"/>
    <x v="379"/>
    <x v="0"/>
    <x v="1"/>
    <x v="10"/>
    <x v="3"/>
    <x v="3"/>
    <x v="5"/>
    <x v="4"/>
    <x v="0"/>
    <n v="9"/>
    <n v="8000"/>
    <n v="72000"/>
    <n v="58320"/>
    <n v="13680"/>
    <n v="0.19"/>
  </r>
  <r>
    <s v="ORD0070"/>
    <x v="379"/>
    <x v="0"/>
    <x v="1"/>
    <x v="0"/>
    <x v="0"/>
    <x v="0"/>
    <x v="0"/>
    <x v="7"/>
    <x v="0"/>
    <n v="3"/>
    <n v="1200"/>
    <n v="3600"/>
    <n v="3204"/>
    <n v="396"/>
    <n v="0.11"/>
  </r>
  <r>
    <s v="ORD0085"/>
    <x v="379"/>
    <x v="0"/>
    <x v="1"/>
    <x v="9"/>
    <x v="2"/>
    <x v="1"/>
    <x v="7"/>
    <x v="7"/>
    <x v="1"/>
    <n v="4"/>
    <n v="12000"/>
    <n v="48000"/>
    <n v="34560"/>
    <n v="13440"/>
    <n v="0.28000000000000003"/>
  </r>
  <r>
    <s v="ORD0091"/>
    <x v="379"/>
    <x v="0"/>
    <x v="1"/>
    <x v="4"/>
    <x v="0"/>
    <x v="2"/>
    <x v="8"/>
    <x v="7"/>
    <x v="0"/>
    <n v="6"/>
    <n v="300"/>
    <n v="1800"/>
    <n v="1152"/>
    <n v="648"/>
    <n v="0.36"/>
  </r>
  <r>
    <s v="ORD0112"/>
    <x v="379"/>
    <x v="0"/>
    <x v="1"/>
    <x v="10"/>
    <x v="3"/>
    <x v="0"/>
    <x v="8"/>
    <x v="6"/>
    <x v="1"/>
    <n v="9"/>
    <n v="12000"/>
    <n v="108000"/>
    <n v="93960"/>
    <n v="14040"/>
    <n v="0.13"/>
  </r>
  <r>
    <s v="ORD0126"/>
    <x v="379"/>
    <x v="0"/>
    <x v="1"/>
    <x v="7"/>
    <x v="3"/>
    <x v="2"/>
    <x v="1"/>
    <x v="7"/>
    <x v="0"/>
    <n v="5"/>
    <n v="50"/>
    <n v="250"/>
    <n v="197.5"/>
    <n v="52.5"/>
    <n v="0.21"/>
  </r>
  <r>
    <s v="ORD0473"/>
    <x v="379"/>
    <x v="0"/>
    <x v="1"/>
    <x v="11"/>
    <x v="1"/>
    <x v="2"/>
    <x v="2"/>
    <x v="4"/>
    <x v="1"/>
    <n v="8"/>
    <n v="15000"/>
    <n v="120000"/>
    <n v="108000"/>
    <n v="12000"/>
    <n v="0.1"/>
  </r>
  <r>
    <s v="ORD0218"/>
    <x v="380"/>
    <x v="0"/>
    <x v="1"/>
    <x v="14"/>
    <x v="3"/>
    <x v="4"/>
    <x v="3"/>
    <x v="6"/>
    <x v="1"/>
    <n v="8"/>
    <n v="700"/>
    <n v="5600"/>
    <n v="3696"/>
    <n v="1904"/>
    <n v="0.34"/>
  </r>
  <r>
    <s v="ORD0289"/>
    <x v="380"/>
    <x v="0"/>
    <x v="1"/>
    <x v="0"/>
    <x v="0"/>
    <x v="1"/>
    <x v="8"/>
    <x v="5"/>
    <x v="1"/>
    <n v="11"/>
    <n v="20"/>
    <n v="220"/>
    <n v="182.6"/>
    <n v="37.400000000000006"/>
    <n v="0.17"/>
  </r>
  <r>
    <s v="ORD0341"/>
    <x v="381"/>
    <x v="0"/>
    <x v="1"/>
    <x v="12"/>
    <x v="1"/>
    <x v="0"/>
    <x v="6"/>
    <x v="5"/>
    <x v="0"/>
    <n v="11"/>
    <n v="8000"/>
    <n v="88000"/>
    <n v="77440"/>
    <n v="10560"/>
    <n v="0.12"/>
  </r>
  <r>
    <s v="ORD0414"/>
    <x v="381"/>
    <x v="0"/>
    <x v="1"/>
    <x v="5"/>
    <x v="2"/>
    <x v="4"/>
    <x v="8"/>
    <x v="7"/>
    <x v="0"/>
    <n v="13"/>
    <n v="150"/>
    <n v="1950"/>
    <n v="1618.5"/>
    <n v="331.5"/>
    <n v="0.17"/>
  </r>
  <r>
    <s v="ORD0032"/>
    <x v="382"/>
    <x v="0"/>
    <x v="1"/>
    <x v="10"/>
    <x v="3"/>
    <x v="0"/>
    <x v="3"/>
    <x v="6"/>
    <x v="1"/>
    <n v="17"/>
    <n v="20"/>
    <n v="340"/>
    <n v="207.4"/>
    <n v="132.6"/>
    <n v="0.38999999999999996"/>
  </r>
  <r>
    <s v="ORD0259"/>
    <x v="382"/>
    <x v="0"/>
    <x v="1"/>
    <x v="5"/>
    <x v="2"/>
    <x v="0"/>
    <x v="2"/>
    <x v="7"/>
    <x v="0"/>
    <n v="17"/>
    <n v="700"/>
    <n v="11900"/>
    <n v="9044"/>
    <n v="2856"/>
    <n v="0.24"/>
  </r>
  <r>
    <s v="ORD0349"/>
    <x v="382"/>
    <x v="0"/>
    <x v="1"/>
    <x v="15"/>
    <x v="3"/>
    <x v="4"/>
    <x v="2"/>
    <x v="7"/>
    <x v="1"/>
    <n v="10"/>
    <n v="3500"/>
    <n v="35000"/>
    <n v="25550"/>
    <n v="9450"/>
    <n v="0.27"/>
  </r>
  <r>
    <s v="ORD0411"/>
    <x v="382"/>
    <x v="0"/>
    <x v="1"/>
    <x v="14"/>
    <x v="3"/>
    <x v="2"/>
    <x v="9"/>
    <x v="6"/>
    <x v="0"/>
    <n v="1"/>
    <n v="700"/>
    <n v="700"/>
    <n v="581"/>
    <n v="119"/>
    <n v="0.17"/>
  </r>
  <r>
    <s v="ORD0121"/>
    <x v="383"/>
    <x v="0"/>
    <x v="1"/>
    <x v="10"/>
    <x v="3"/>
    <x v="3"/>
    <x v="7"/>
    <x v="7"/>
    <x v="1"/>
    <n v="7"/>
    <n v="3500"/>
    <n v="24500"/>
    <n v="21805"/>
    <n v="2695"/>
    <n v="0.11"/>
  </r>
  <r>
    <s v="ORD0378"/>
    <x v="383"/>
    <x v="0"/>
    <x v="1"/>
    <x v="3"/>
    <x v="1"/>
    <x v="0"/>
    <x v="1"/>
    <x v="0"/>
    <x v="1"/>
    <n v="11"/>
    <n v="15000"/>
    <n v="165000"/>
    <n v="141900"/>
    <n v="23100"/>
    <n v="0.14000000000000001"/>
  </r>
  <r>
    <s v="ORD0210"/>
    <x v="384"/>
    <x v="0"/>
    <x v="1"/>
    <x v="0"/>
    <x v="0"/>
    <x v="3"/>
    <x v="9"/>
    <x v="3"/>
    <x v="0"/>
    <n v="2"/>
    <n v="8000"/>
    <n v="16000"/>
    <n v="10880"/>
    <n v="5120"/>
    <n v="0.32"/>
  </r>
  <r>
    <s v="ORD0228"/>
    <x v="385"/>
    <x v="0"/>
    <x v="1"/>
    <x v="13"/>
    <x v="3"/>
    <x v="2"/>
    <x v="4"/>
    <x v="3"/>
    <x v="1"/>
    <n v="19"/>
    <n v="20"/>
    <n v="380"/>
    <n v="235.6"/>
    <n v="144.4"/>
    <n v="0.38"/>
  </r>
  <r>
    <s v="ORD0430"/>
    <x v="385"/>
    <x v="0"/>
    <x v="1"/>
    <x v="5"/>
    <x v="2"/>
    <x v="1"/>
    <x v="0"/>
    <x v="5"/>
    <x v="0"/>
    <n v="6"/>
    <n v="700"/>
    <n v="4200"/>
    <n v="3318"/>
    <n v="882"/>
    <n v="0.21"/>
  </r>
  <r>
    <s v="ORD0261"/>
    <x v="386"/>
    <x v="0"/>
    <x v="1"/>
    <x v="13"/>
    <x v="3"/>
    <x v="3"/>
    <x v="6"/>
    <x v="6"/>
    <x v="1"/>
    <n v="14"/>
    <n v="300"/>
    <n v="4200"/>
    <n v="3570"/>
    <n v="630"/>
    <n v="0.15"/>
  </r>
  <r>
    <s v="ORD0332"/>
    <x v="387"/>
    <x v="0"/>
    <x v="1"/>
    <x v="5"/>
    <x v="2"/>
    <x v="3"/>
    <x v="0"/>
    <x v="7"/>
    <x v="0"/>
    <n v="18"/>
    <n v="9000"/>
    <n v="162000"/>
    <n v="139320"/>
    <n v="22680"/>
    <n v="0.14000000000000001"/>
  </r>
  <r>
    <s v="ORD0426"/>
    <x v="388"/>
    <x v="0"/>
    <x v="1"/>
    <x v="2"/>
    <x v="1"/>
    <x v="4"/>
    <x v="7"/>
    <x v="0"/>
    <x v="1"/>
    <n v="10"/>
    <n v="45000"/>
    <n v="450000"/>
    <n v="373500"/>
    <n v="76500"/>
    <n v="0.17"/>
  </r>
  <r>
    <s v="ORD0423"/>
    <x v="389"/>
    <x v="0"/>
    <x v="1"/>
    <x v="0"/>
    <x v="0"/>
    <x v="0"/>
    <x v="2"/>
    <x v="4"/>
    <x v="1"/>
    <n v="10"/>
    <n v="1200"/>
    <n v="12000"/>
    <n v="8040"/>
    <n v="3960"/>
    <n v="0.33"/>
  </r>
  <r>
    <s v="ORD0327"/>
    <x v="390"/>
    <x v="0"/>
    <x v="1"/>
    <x v="9"/>
    <x v="2"/>
    <x v="2"/>
    <x v="5"/>
    <x v="4"/>
    <x v="1"/>
    <n v="12"/>
    <n v="25000"/>
    <n v="300000"/>
    <n v="234000"/>
    <n v="66000"/>
    <n v="0.22"/>
  </r>
  <r>
    <s v="ORD0340"/>
    <x v="390"/>
    <x v="0"/>
    <x v="1"/>
    <x v="6"/>
    <x v="2"/>
    <x v="1"/>
    <x v="0"/>
    <x v="6"/>
    <x v="1"/>
    <n v="6"/>
    <n v="300"/>
    <n v="1800"/>
    <n v="1296"/>
    <n v="504"/>
    <n v="0.28000000000000003"/>
  </r>
  <r>
    <s v="ORD0492"/>
    <x v="390"/>
    <x v="0"/>
    <x v="1"/>
    <x v="2"/>
    <x v="1"/>
    <x v="1"/>
    <x v="4"/>
    <x v="1"/>
    <x v="1"/>
    <n v="11"/>
    <n v="8000"/>
    <n v="88000"/>
    <n v="56320"/>
    <n v="31680"/>
    <n v="0.36"/>
  </r>
  <r>
    <s v="ORD0197"/>
    <x v="391"/>
    <x v="1"/>
    <x v="1"/>
    <x v="9"/>
    <x v="2"/>
    <x v="0"/>
    <x v="0"/>
    <x v="1"/>
    <x v="1"/>
    <n v="7"/>
    <n v="20"/>
    <n v="140"/>
    <n v="121.8"/>
    <n v="18.200000000000003"/>
    <n v="0.13000000000000003"/>
  </r>
  <r>
    <s v="ORD0359"/>
    <x v="391"/>
    <x v="1"/>
    <x v="1"/>
    <x v="8"/>
    <x v="0"/>
    <x v="0"/>
    <x v="2"/>
    <x v="0"/>
    <x v="1"/>
    <n v="16"/>
    <n v="50"/>
    <n v="800"/>
    <n v="656"/>
    <n v="144"/>
    <n v="0.18"/>
  </r>
  <r>
    <s v="ORD0206"/>
    <x v="392"/>
    <x v="1"/>
    <x v="1"/>
    <x v="6"/>
    <x v="2"/>
    <x v="1"/>
    <x v="7"/>
    <x v="6"/>
    <x v="1"/>
    <n v="20"/>
    <n v="9000"/>
    <n v="180000"/>
    <n v="153000"/>
    <n v="27000"/>
    <n v="0.15"/>
  </r>
  <r>
    <s v="ORD0535"/>
    <x v="393"/>
    <x v="1"/>
    <x v="1"/>
    <x v="0"/>
    <x v="0"/>
    <x v="3"/>
    <x v="8"/>
    <x v="7"/>
    <x v="1"/>
    <n v="9"/>
    <n v="1200"/>
    <n v="10800"/>
    <n v="8964"/>
    <n v="1836"/>
    <n v="0.17"/>
  </r>
  <r>
    <s v="ORD0282"/>
    <x v="394"/>
    <x v="1"/>
    <x v="1"/>
    <x v="0"/>
    <x v="0"/>
    <x v="2"/>
    <x v="1"/>
    <x v="4"/>
    <x v="1"/>
    <n v="19"/>
    <n v="12000"/>
    <n v="228000"/>
    <n v="191520"/>
    <n v="36480"/>
    <n v="0.16"/>
  </r>
  <r>
    <s v="ORD0046"/>
    <x v="395"/>
    <x v="1"/>
    <x v="1"/>
    <x v="0"/>
    <x v="0"/>
    <x v="3"/>
    <x v="8"/>
    <x v="5"/>
    <x v="1"/>
    <n v="12"/>
    <n v="1200"/>
    <n v="14400"/>
    <n v="11232"/>
    <n v="3168"/>
    <n v="0.22"/>
  </r>
  <r>
    <s v="ORD0299"/>
    <x v="395"/>
    <x v="1"/>
    <x v="1"/>
    <x v="0"/>
    <x v="0"/>
    <x v="4"/>
    <x v="5"/>
    <x v="1"/>
    <x v="0"/>
    <n v="17"/>
    <n v="4000"/>
    <n v="68000"/>
    <n v="58480"/>
    <n v="9520"/>
    <n v="0.14000000000000001"/>
  </r>
  <r>
    <s v="ORD0317"/>
    <x v="396"/>
    <x v="1"/>
    <x v="1"/>
    <x v="0"/>
    <x v="0"/>
    <x v="3"/>
    <x v="4"/>
    <x v="7"/>
    <x v="0"/>
    <n v="1"/>
    <n v="15000"/>
    <n v="15000"/>
    <n v="9450"/>
    <n v="5550"/>
    <n v="0.37"/>
  </r>
  <r>
    <s v="ORD0225"/>
    <x v="397"/>
    <x v="1"/>
    <x v="1"/>
    <x v="10"/>
    <x v="3"/>
    <x v="3"/>
    <x v="2"/>
    <x v="7"/>
    <x v="0"/>
    <n v="10"/>
    <n v="1200"/>
    <n v="12000"/>
    <n v="7560"/>
    <n v="4440"/>
    <n v="0.37"/>
  </r>
  <r>
    <s v="ORD0446"/>
    <x v="397"/>
    <x v="1"/>
    <x v="1"/>
    <x v="12"/>
    <x v="1"/>
    <x v="2"/>
    <x v="8"/>
    <x v="0"/>
    <x v="0"/>
    <n v="12"/>
    <n v="3500"/>
    <n v="42000"/>
    <n v="26040"/>
    <n v="15960"/>
    <n v="0.38"/>
  </r>
  <r>
    <s v="ORD0264"/>
    <x v="398"/>
    <x v="1"/>
    <x v="1"/>
    <x v="4"/>
    <x v="0"/>
    <x v="2"/>
    <x v="0"/>
    <x v="2"/>
    <x v="1"/>
    <n v="3"/>
    <n v="15000"/>
    <n v="45000"/>
    <n v="34650"/>
    <n v="10350"/>
    <n v="0.23"/>
  </r>
  <r>
    <s v="ORD0384"/>
    <x v="398"/>
    <x v="1"/>
    <x v="1"/>
    <x v="9"/>
    <x v="2"/>
    <x v="1"/>
    <x v="1"/>
    <x v="5"/>
    <x v="0"/>
    <n v="12"/>
    <n v="3500"/>
    <n v="42000"/>
    <n v="34860"/>
    <n v="7140"/>
    <n v="0.17"/>
  </r>
  <r>
    <s v="ORD0269"/>
    <x v="399"/>
    <x v="1"/>
    <x v="1"/>
    <x v="3"/>
    <x v="1"/>
    <x v="1"/>
    <x v="0"/>
    <x v="2"/>
    <x v="1"/>
    <n v="12"/>
    <n v="9000"/>
    <n v="108000"/>
    <n v="93960"/>
    <n v="14040"/>
    <n v="0.13"/>
  </r>
  <r>
    <s v="ORD0328"/>
    <x v="399"/>
    <x v="1"/>
    <x v="1"/>
    <x v="5"/>
    <x v="2"/>
    <x v="0"/>
    <x v="3"/>
    <x v="2"/>
    <x v="1"/>
    <n v="11"/>
    <n v="150"/>
    <n v="1650"/>
    <n v="1122"/>
    <n v="528"/>
    <n v="0.32"/>
  </r>
  <r>
    <s v="ORD0493"/>
    <x v="399"/>
    <x v="1"/>
    <x v="1"/>
    <x v="1"/>
    <x v="0"/>
    <x v="4"/>
    <x v="7"/>
    <x v="4"/>
    <x v="1"/>
    <n v="20"/>
    <n v="20"/>
    <n v="400"/>
    <n v="276"/>
    <n v="124"/>
    <n v="0.31"/>
  </r>
  <r>
    <s v="ORD0068"/>
    <x v="400"/>
    <x v="1"/>
    <x v="1"/>
    <x v="6"/>
    <x v="2"/>
    <x v="4"/>
    <x v="0"/>
    <x v="3"/>
    <x v="1"/>
    <n v="12"/>
    <n v="150"/>
    <n v="1800"/>
    <n v="1350"/>
    <n v="450"/>
    <n v="0.25"/>
  </r>
  <r>
    <s v="ORD0392"/>
    <x v="400"/>
    <x v="1"/>
    <x v="1"/>
    <x v="8"/>
    <x v="0"/>
    <x v="4"/>
    <x v="6"/>
    <x v="6"/>
    <x v="0"/>
    <n v="17"/>
    <n v="4000"/>
    <n v="68000"/>
    <n v="42160"/>
    <n v="25840"/>
    <n v="0.38"/>
  </r>
  <r>
    <s v="ORD0017"/>
    <x v="401"/>
    <x v="1"/>
    <x v="1"/>
    <x v="8"/>
    <x v="0"/>
    <x v="0"/>
    <x v="3"/>
    <x v="4"/>
    <x v="0"/>
    <n v="3"/>
    <n v="15000"/>
    <n v="45000"/>
    <n v="40050"/>
    <n v="4950"/>
    <n v="0.11"/>
  </r>
  <r>
    <s v="ORD0355"/>
    <x v="401"/>
    <x v="1"/>
    <x v="1"/>
    <x v="1"/>
    <x v="0"/>
    <x v="4"/>
    <x v="9"/>
    <x v="1"/>
    <x v="0"/>
    <n v="10"/>
    <n v="45000"/>
    <n v="450000"/>
    <n v="360000"/>
    <n v="90000"/>
    <n v="0.2"/>
  </r>
  <r>
    <s v="ORD0460"/>
    <x v="401"/>
    <x v="1"/>
    <x v="1"/>
    <x v="6"/>
    <x v="2"/>
    <x v="1"/>
    <x v="5"/>
    <x v="0"/>
    <x v="1"/>
    <n v="3"/>
    <n v="700"/>
    <n v="2100"/>
    <n v="1344"/>
    <n v="756"/>
    <n v="0.36"/>
  </r>
  <r>
    <s v="ORD0517"/>
    <x v="402"/>
    <x v="1"/>
    <x v="1"/>
    <x v="7"/>
    <x v="3"/>
    <x v="1"/>
    <x v="2"/>
    <x v="2"/>
    <x v="0"/>
    <n v="17"/>
    <n v="20"/>
    <n v="340"/>
    <n v="204"/>
    <n v="136"/>
    <n v="0.4"/>
  </r>
  <r>
    <s v="ORD0002"/>
    <x v="403"/>
    <x v="1"/>
    <x v="1"/>
    <x v="12"/>
    <x v="1"/>
    <x v="1"/>
    <x v="5"/>
    <x v="3"/>
    <x v="1"/>
    <n v="10"/>
    <n v="3500"/>
    <n v="35000"/>
    <n v="28700"/>
    <n v="6300"/>
    <n v="0.18"/>
  </r>
  <r>
    <s v="ORD0148"/>
    <x v="403"/>
    <x v="1"/>
    <x v="1"/>
    <x v="3"/>
    <x v="1"/>
    <x v="0"/>
    <x v="7"/>
    <x v="5"/>
    <x v="1"/>
    <n v="5"/>
    <n v="150"/>
    <n v="750"/>
    <n v="675"/>
    <n v="75"/>
    <n v="0.1"/>
  </r>
  <r>
    <s v="ORD0406"/>
    <x v="403"/>
    <x v="1"/>
    <x v="1"/>
    <x v="1"/>
    <x v="0"/>
    <x v="4"/>
    <x v="9"/>
    <x v="6"/>
    <x v="0"/>
    <n v="15"/>
    <n v="12000"/>
    <n v="180000"/>
    <n v="120600"/>
    <n v="59400"/>
    <n v="0.33"/>
  </r>
  <r>
    <s v="ORD0089"/>
    <x v="404"/>
    <x v="1"/>
    <x v="1"/>
    <x v="13"/>
    <x v="3"/>
    <x v="2"/>
    <x v="7"/>
    <x v="3"/>
    <x v="0"/>
    <n v="1"/>
    <n v="4000"/>
    <n v="4000"/>
    <n v="3120"/>
    <n v="880"/>
    <n v="0.22"/>
  </r>
  <r>
    <s v="ORD0345"/>
    <x v="404"/>
    <x v="1"/>
    <x v="1"/>
    <x v="15"/>
    <x v="3"/>
    <x v="0"/>
    <x v="5"/>
    <x v="5"/>
    <x v="0"/>
    <n v="5"/>
    <n v="55000"/>
    <n v="275000"/>
    <n v="203500"/>
    <n v="71500"/>
    <n v="0.26"/>
  </r>
  <r>
    <s v="ORD0534"/>
    <x v="404"/>
    <x v="1"/>
    <x v="1"/>
    <x v="10"/>
    <x v="3"/>
    <x v="2"/>
    <x v="1"/>
    <x v="6"/>
    <x v="0"/>
    <n v="1"/>
    <n v="15000"/>
    <n v="15000"/>
    <n v="13500"/>
    <n v="1500"/>
    <n v="0.1"/>
  </r>
  <r>
    <s v="ORD0277"/>
    <x v="405"/>
    <x v="1"/>
    <x v="1"/>
    <x v="3"/>
    <x v="1"/>
    <x v="4"/>
    <x v="1"/>
    <x v="7"/>
    <x v="0"/>
    <n v="20"/>
    <n v="150"/>
    <n v="3000"/>
    <n v="2520"/>
    <n v="480"/>
    <n v="0.16"/>
  </r>
  <r>
    <s v="ORD0283"/>
    <x v="405"/>
    <x v="1"/>
    <x v="1"/>
    <x v="12"/>
    <x v="1"/>
    <x v="4"/>
    <x v="0"/>
    <x v="1"/>
    <x v="0"/>
    <n v="16"/>
    <n v="150"/>
    <n v="2400"/>
    <n v="1584"/>
    <n v="816"/>
    <n v="0.34"/>
  </r>
  <r>
    <s v="ORD0488"/>
    <x v="405"/>
    <x v="1"/>
    <x v="1"/>
    <x v="9"/>
    <x v="2"/>
    <x v="3"/>
    <x v="8"/>
    <x v="2"/>
    <x v="0"/>
    <n v="15"/>
    <n v="700"/>
    <n v="10500"/>
    <n v="8820"/>
    <n v="1680"/>
    <n v="0.16"/>
  </r>
  <r>
    <s v="ORD0157"/>
    <x v="406"/>
    <x v="1"/>
    <x v="1"/>
    <x v="4"/>
    <x v="0"/>
    <x v="3"/>
    <x v="3"/>
    <x v="5"/>
    <x v="0"/>
    <n v="20"/>
    <n v="700"/>
    <n v="14000"/>
    <n v="12320"/>
    <n v="1680"/>
    <n v="0.12"/>
  </r>
  <r>
    <s v="ORD0407"/>
    <x v="406"/>
    <x v="1"/>
    <x v="1"/>
    <x v="9"/>
    <x v="2"/>
    <x v="2"/>
    <x v="5"/>
    <x v="0"/>
    <x v="1"/>
    <n v="12"/>
    <n v="25000"/>
    <n v="300000"/>
    <n v="204000"/>
    <n v="96000"/>
    <n v="0.32"/>
  </r>
  <r>
    <s v="ORD0405"/>
    <x v="407"/>
    <x v="1"/>
    <x v="1"/>
    <x v="4"/>
    <x v="0"/>
    <x v="1"/>
    <x v="7"/>
    <x v="4"/>
    <x v="0"/>
    <n v="18"/>
    <n v="15000"/>
    <n v="270000"/>
    <n v="216000"/>
    <n v="54000"/>
    <n v="0.2"/>
  </r>
  <r>
    <s v="ORD0040"/>
    <x v="408"/>
    <x v="1"/>
    <x v="1"/>
    <x v="4"/>
    <x v="0"/>
    <x v="1"/>
    <x v="0"/>
    <x v="3"/>
    <x v="0"/>
    <n v="12"/>
    <n v="25000"/>
    <n v="300000"/>
    <n v="186000"/>
    <n v="114000"/>
    <n v="0.38"/>
  </r>
  <r>
    <s v="ORD0080"/>
    <x v="408"/>
    <x v="1"/>
    <x v="1"/>
    <x v="12"/>
    <x v="1"/>
    <x v="1"/>
    <x v="0"/>
    <x v="3"/>
    <x v="1"/>
    <n v="18"/>
    <n v="150"/>
    <n v="2700"/>
    <n v="1971"/>
    <n v="729"/>
    <n v="0.27"/>
  </r>
  <r>
    <s v="ORD0164"/>
    <x v="408"/>
    <x v="1"/>
    <x v="1"/>
    <x v="2"/>
    <x v="1"/>
    <x v="2"/>
    <x v="0"/>
    <x v="5"/>
    <x v="0"/>
    <n v="20"/>
    <n v="55000"/>
    <n v="1100000"/>
    <n v="704000"/>
    <n v="396000"/>
    <n v="0.36"/>
  </r>
  <r>
    <s v="ORD0320"/>
    <x v="408"/>
    <x v="1"/>
    <x v="1"/>
    <x v="1"/>
    <x v="0"/>
    <x v="1"/>
    <x v="0"/>
    <x v="1"/>
    <x v="0"/>
    <n v="1"/>
    <n v="3500"/>
    <n v="3500"/>
    <n v="2450"/>
    <n v="1050"/>
    <n v="0.3"/>
  </r>
  <r>
    <s v="ORD0220"/>
    <x v="409"/>
    <x v="1"/>
    <x v="1"/>
    <x v="2"/>
    <x v="1"/>
    <x v="0"/>
    <x v="5"/>
    <x v="3"/>
    <x v="1"/>
    <n v="19"/>
    <n v="12000"/>
    <n v="228000"/>
    <n v="173280"/>
    <n v="54720"/>
    <n v="0.24"/>
  </r>
  <r>
    <s v="ORD0056"/>
    <x v="410"/>
    <x v="1"/>
    <x v="1"/>
    <x v="14"/>
    <x v="3"/>
    <x v="1"/>
    <x v="0"/>
    <x v="6"/>
    <x v="1"/>
    <n v="13"/>
    <n v="4000"/>
    <n v="52000"/>
    <n v="37960"/>
    <n v="14040"/>
    <n v="0.27"/>
  </r>
  <r>
    <s v="ORD0110"/>
    <x v="410"/>
    <x v="1"/>
    <x v="1"/>
    <x v="4"/>
    <x v="0"/>
    <x v="4"/>
    <x v="8"/>
    <x v="3"/>
    <x v="0"/>
    <n v="18"/>
    <n v="8000"/>
    <n v="144000"/>
    <n v="113760"/>
    <n v="30240"/>
    <n v="0.21"/>
  </r>
  <r>
    <s v="ORD0303"/>
    <x v="410"/>
    <x v="1"/>
    <x v="1"/>
    <x v="15"/>
    <x v="3"/>
    <x v="3"/>
    <x v="3"/>
    <x v="5"/>
    <x v="1"/>
    <n v="13"/>
    <n v="55000"/>
    <n v="715000"/>
    <n v="643500"/>
    <n v="71500"/>
    <n v="0.1"/>
  </r>
  <r>
    <s v="ORD0354"/>
    <x v="410"/>
    <x v="1"/>
    <x v="1"/>
    <x v="12"/>
    <x v="1"/>
    <x v="1"/>
    <x v="9"/>
    <x v="0"/>
    <x v="0"/>
    <n v="13"/>
    <n v="3500"/>
    <n v="45500"/>
    <n v="31850"/>
    <n v="13650"/>
    <n v="0.3"/>
  </r>
  <r>
    <s v="ORD0433"/>
    <x v="411"/>
    <x v="1"/>
    <x v="1"/>
    <x v="3"/>
    <x v="1"/>
    <x v="4"/>
    <x v="0"/>
    <x v="5"/>
    <x v="1"/>
    <n v="13"/>
    <n v="9000"/>
    <n v="117000"/>
    <n v="83070"/>
    <n v="33930"/>
    <n v="0.28999999999999998"/>
  </r>
  <r>
    <s v="ORD0337"/>
    <x v="412"/>
    <x v="1"/>
    <x v="1"/>
    <x v="8"/>
    <x v="0"/>
    <x v="0"/>
    <x v="8"/>
    <x v="2"/>
    <x v="1"/>
    <n v="10"/>
    <n v="7000"/>
    <n v="70000"/>
    <n v="46200"/>
    <n v="23800"/>
    <n v="0.34"/>
  </r>
  <r>
    <s v="ORD0030"/>
    <x v="413"/>
    <x v="5"/>
    <x v="1"/>
    <x v="14"/>
    <x v="3"/>
    <x v="1"/>
    <x v="5"/>
    <x v="1"/>
    <x v="0"/>
    <n v="6"/>
    <n v="1200"/>
    <n v="7200"/>
    <n v="5688"/>
    <n v="1512"/>
    <n v="0.21"/>
  </r>
  <r>
    <s v="ORD0249"/>
    <x v="413"/>
    <x v="5"/>
    <x v="1"/>
    <x v="6"/>
    <x v="2"/>
    <x v="0"/>
    <x v="3"/>
    <x v="5"/>
    <x v="1"/>
    <n v="13"/>
    <n v="20"/>
    <n v="260"/>
    <n v="166.4"/>
    <n v="93.6"/>
    <n v="0.36"/>
  </r>
  <r>
    <s v="ORD0494"/>
    <x v="413"/>
    <x v="5"/>
    <x v="1"/>
    <x v="8"/>
    <x v="0"/>
    <x v="3"/>
    <x v="9"/>
    <x v="0"/>
    <x v="0"/>
    <n v="12"/>
    <n v="4000"/>
    <n v="48000"/>
    <n v="34560"/>
    <n v="13440"/>
    <n v="0.28000000000000003"/>
  </r>
  <r>
    <s v="ORD0502"/>
    <x v="414"/>
    <x v="5"/>
    <x v="1"/>
    <x v="7"/>
    <x v="3"/>
    <x v="0"/>
    <x v="6"/>
    <x v="1"/>
    <x v="0"/>
    <n v="5"/>
    <n v="3500"/>
    <n v="17500"/>
    <n v="15225"/>
    <n v="2275"/>
    <n v="0.13"/>
  </r>
  <r>
    <s v="ORD0519"/>
    <x v="414"/>
    <x v="5"/>
    <x v="1"/>
    <x v="2"/>
    <x v="1"/>
    <x v="0"/>
    <x v="6"/>
    <x v="6"/>
    <x v="0"/>
    <n v="17"/>
    <n v="50"/>
    <n v="850"/>
    <n v="680"/>
    <n v="170"/>
    <n v="0.2"/>
  </r>
  <r>
    <s v="ORD0107"/>
    <x v="415"/>
    <x v="5"/>
    <x v="1"/>
    <x v="13"/>
    <x v="3"/>
    <x v="4"/>
    <x v="0"/>
    <x v="0"/>
    <x v="0"/>
    <n v="13"/>
    <n v="9000"/>
    <n v="117000"/>
    <n v="70200"/>
    <n v="46800"/>
    <n v="0.4"/>
  </r>
  <r>
    <s v="ORD0301"/>
    <x v="415"/>
    <x v="5"/>
    <x v="1"/>
    <x v="7"/>
    <x v="3"/>
    <x v="4"/>
    <x v="1"/>
    <x v="7"/>
    <x v="0"/>
    <n v="3"/>
    <n v="4000"/>
    <n v="12000"/>
    <n v="7320"/>
    <n v="4680"/>
    <n v="0.39"/>
  </r>
  <r>
    <s v="ORD0346"/>
    <x v="415"/>
    <x v="5"/>
    <x v="1"/>
    <x v="15"/>
    <x v="3"/>
    <x v="0"/>
    <x v="1"/>
    <x v="2"/>
    <x v="1"/>
    <n v="2"/>
    <n v="7000"/>
    <n v="14000"/>
    <n v="9380"/>
    <n v="4620"/>
    <n v="0.33"/>
  </r>
  <r>
    <s v="ORD0396"/>
    <x v="416"/>
    <x v="5"/>
    <x v="1"/>
    <x v="7"/>
    <x v="3"/>
    <x v="4"/>
    <x v="4"/>
    <x v="0"/>
    <x v="0"/>
    <n v="2"/>
    <n v="20"/>
    <n v="40"/>
    <n v="27.2"/>
    <n v="12.8"/>
    <n v="0.32"/>
  </r>
  <r>
    <s v="ORD0200"/>
    <x v="417"/>
    <x v="5"/>
    <x v="1"/>
    <x v="1"/>
    <x v="0"/>
    <x v="4"/>
    <x v="0"/>
    <x v="2"/>
    <x v="1"/>
    <n v="1"/>
    <n v="4000"/>
    <n v="4000"/>
    <n v="3600"/>
    <n v="400"/>
    <n v="0.1"/>
  </r>
  <r>
    <s v="ORD0474"/>
    <x v="417"/>
    <x v="5"/>
    <x v="1"/>
    <x v="2"/>
    <x v="1"/>
    <x v="1"/>
    <x v="6"/>
    <x v="4"/>
    <x v="0"/>
    <n v="2"/>
    <n v="3500"/>
    <n v="7000"/>
    <n v="5600"/>
    <n v="1400"/>
    <n v="0.2"/>
  </r>
  <r>
    <s v="ORD0482"/>
    <x v="418"/>
    <x v="5"/>
    <x v="1"/>
    <x v="5"/>
    <x v="2"/>
    <x v="4"/>
    <x v="9"/>
    <x v="6"/>
    <x v="1"/>
    <n v="14"/>
    <n v="55000"/>
    <n v="770000"/>
    <n v="654500"/>
    <n v="115500"/>
    <n v="0.15"/>
  </r>
  <r>
    <s v="ORD0523"/>
    <x v="418"/>
    <x v="5"/>
    <x v="1"/>
    <x v="12"/>
    <x v="1"/>
    <x v="3"/>
    <x v="3"/>
    <x v="5"/>
    <x v="0"/>
    <n v="8"/>
    <n v="4000"/>
    <n v="32000"/>
    <n v="24960"/>
    <n v="7040"/>
    <n v="0.22"/>
  </r>
  <r>
    <s v="ORD0352"/>
    <x v="419"/>
    <x v="5"/>
    <x v="1"/>
    <x v="13"/>
    <x v="3"/>
    <x v="2"/>
    <x v="2"/>
    <x v="1"/>
    <x v="0"/>
    <n v="16"/>
    <n v="8000"/>
    <n v="128000"/>
    <n v="90880"/>
    <n v="37120"/>
    <n v="0.28999999999999998"/>
  </r>
  <r>
    <s v="ORD0060"/>
    <x v="420"/>
    <x v="5"/>
    <x v="1"/>
    <x v="5"/>
    <x v="2"/>
    <x v="0"/>
    <x v="3"/>
    <x v="0"/>
    <x v="0"/>
    <n v="1"/>
    <n v="1200"/>
    <n v="1200"/>
    <n v="924"/>
    <n v="276"/>
    <n v="0.23"/>
  </r>
  <r>
    <s v="ORD0442"/>
    <x v="420"/>
    <x v="5"/>
    <x v="1"/>
    <x v="3"/>
    <x v="1"/>
    <x v="2"/>
    <x v="4"/>
    <x v="3"/>
    <x v="0"/>
    <n v="16"/>
    <n v="3500"/>
    <n v="56000"/>
    <n v="38080"/>
    <n v="17920"/>
    <n v="0.32"/>
  </r>
  <r>
    <s v="ORD0108"/>
    <x v="421"/>
    <x v="5"/>
    <x v="1"/>
    <x v="15"/>
    <x v="3"/>
    <x v="3"/>
    <x v="3"/>
    <x v="7"/>
    <x v="0"/>
    <n v="9"/>
    <n v="1200"/>
    <n v="10800"/>
    <n v="9612"/>
    <n v="1188"/>
    <n v="0.11"/>
  </r>
  <r>
    <s v="ORD0390"/>
    <x v="421"/>
    <x v="5"/>
    <x v="1"/>
    <x v="9"/>
    <x v="2"/>
    <x v="3"/>
    <x v="7"/>
    <x v="0"/>
    <x v="1"/>
    <n v="7"/>
    <n v="9000"/>
    <n v="63000"/>
    <n v="46620"/>
    <n v="16380"/>
    <n v="0.26"/>
  </r>
  <r>
    <s v="ORD0069"/>
    <x v="422"/>
    <x v="5"/>
    <x v="1"/>
    <x v="10"/>
    <x v="3"/>
    <x v="0"/>
    <x v="5"/>
    <x v="6"/>
    <x v="1"/>
    <n v="17"/>
    <n v="300"/>
    <n v="5100"/>
    <n v="4284"/>
    <n v="816"/>
    <n v="0.16"/>
  </r>
  <r>
    <s v="ORD0450"/>
    <x v="422"/>
    <x v="5"/>
    <x v="1"/>
    <x v="1"/>
    <x v="0"/>
    <x v="3"/>
    <x v="7"/>
    <x v="5"/>
    <x v="1"/>
    <n v="9"/>
    <n v="12000"/>
    <n v="108000"/>
    <n v="77760"/>
    <n v="30240"/>
    <n v="0.28000000000000003"/>
  </r>
  <r>
    <s v="ORD0159"/>
    <x v="423"/>
    <x v="5"/>
    <x v="1"/>
    <x v="10"/>
    <x v="3"/>
    <x v="4"/>
    <x v="8"/>
    <x v="5"/>
    <x v="1"/>
    <n v="18"/>
    <n v="12000"/>
    <n v="216000"/>
    <n v="159840"/>
    <n v="56160"/>
    <n v="0.26"/>
  </r>
  <r>
    <s v="ORD0459"/>
    <x v="423"/>
    <x v="5"/>
    <x v="1"/>
    <x v="15"/>
    <x v="3"/>
    <x v="2"/>
    <x v="6"/>
    <x v="2"/>
    <x v="0"/>
    <n v="12"/>
    <n v="4000"/>
    <n v="48000"/>
    <n v="40320"/>
    <n v="7680"/>
    <n v="0.16"/>
  </r>
  <r>
    <s v="ORD0139"/>
    <x v="424"/>
    <x v="5"/>
    <x v="1"/>
    <x v="2"/>
    <x v="1"/>
    <x v="1"/>
    <x v="4"/>
    <x v="1"/>
    <x v="1"/>
    <n v="13"/>
    <n v="8000"/>
    <n v="104000"/>
    <n v="79040"/>
    <n v="24960"/>
    <n v="0.24"/>
  </r>
  <r>
    <s v="ORD0363"/>
    <x v="425"/>
    <x v="5"/>
    <x v="1"/>
    <x v="6"/>
    <x v="2"/>
    <x v="0"/>
    <x v="9"/>
    <x v="5"/>
    <x v="1"/>
    <n v="9"/>
    <n v="45000"/>
    <n v="405000"/>
    <n v="303750"/>
    <n v="101250"/>
    <n v="0.25"/>
  </r>
  <r>
    <s v="ORD0417"/>
    <x v="425"/>
    <x v="5"/>
    <x v="1"/>
    <x v="8"/>
    <x v="0"/>
    <x v="4"/>
    <x v="7"/>
    <x v="2"/>
    <x v="1"/>
    <n v="19"/>
    <n v="1200"/>
    <n v="22800"/>
    <n v="14136"/>
    <n v="8664"/>
    <n v="0.38"/>
  </r>
  <r>
    <s v="ORD0067"/>
    <x v="426"/>
    <x v="5"/>
    <x v="1"/>
    <x v="13"/>
    <x v="3"/>
    <x v="3"/>
    <x v="2"/>
    <x v="0"/>
    <x v="0"/>
    <n v="1"/>
    <n v="9000"/>
    <n v="9000"/>
    <n v="6300"/>
    <n v="2700"/>
    <n v="0.3"/>
  </r>
  <r>
    <s v="ORD0096"/>
    <x v="426"/>
    <x v="5"/>
    <x v="1"/>
    <x v="1"/>
    <x v="0"/>
    <x v="3"/>
    <x v="7"/>
    <x v="5"/>
    <x v="1"/>
    <n v="9"/>
    <n v="8000"/>
    <n v="72000"/>
    <n v="49680"/>
    <n v="22320"/>
    <n v="0.31"/>
  </r>
  <r>
    <s v="ORD0113"/>
    <x v="426"/>
    <x v="5"/>
    <x v="1"/>
    <x v="14"/>
    <x v="3"/>
    <x v="2"/>
    <x v="9"/>
    <x v="7"/>
    <x v="1"/>
    <n v="5"/>
    <n v="8000"/>
    <n v="40000"/>
    <n v="32400"/>
    <n v="7600"/>
    <n v="0.19"/>
  </r>
  <r>
    <s v="ORD0357"/>
    <x v="426"/>
    <x v="5"/>
    <x v="1"/>
    <x v="2"/>
    <x v="1"/>
    <x v="0"/>
    <x v="7"/>
    <x v="7"/>
    <x v="0"/>
    <n v="10"/>
    <n v="20"/>
    <n v="200"/>
    <n v="176"/>
    <n v="24"/>
    <n v="0.12"/>
  </r>
  <r>
    <s v="ORD0404"/>
    <x v="426"/>
    <x v="5"/>
    <x v="1"/>
    <x v="15"/>
    <x v="3"/>
    <x v="1"/>
    <x v="6"/>
    <x v="1"/>
    <x v="1"/>
    <n v="6"/>
    <n v="8000"/>
    <n v="48000"/>
    <n v="39360"/>
    <n v="8640"/>
    <n v="0.18"/>
  </r>
  <r>
    <s v="ORD0338"/>
    <x v="427"/>
    <x v="5"/>
    <x v="1"/>
    <x v="7"/>
    <x v="3"/>
    <x v="4"/>
    <x v="6"/>
    <x v="4"/>
    <x v="1"/>
    <n v="12"/>
    <n v="20"/>
    <n v="240"/>
    <n v="199.2"/>
    <n v="40.800000000000011"/>
    <n v="0.17000000000000004"/>
  </r>
  <r>
    <s v="ORD0498"/>
    <x v="427"/>
    <x v="5"/>
    <x v="1"/>
    <x v="11"/>
    <x v="1"/>
    <x v="4"/>
    <x v="9"/>
    <x v="3"/>
    <x v="0"/>
    <n v="9"/>
    <n v="55000"/>
    <n v="495000"/>
    <n v="297000"/>
    <n v="198000"/>
    <n v="0.4"/>
  </r>
  <r>
    <s v="ORD0143"/>
    <x v="428"/>
    <x v="5"/>
    <x v="1"/>
    <x v="8"/>
    <x v="0"/>
    <x v="3"/>
    <x v="9"/>
    <x v="6"/>
    <x v="1"/>
    <n v="17"/>
    <n v="15000"/>
    <n v="255000"/>
    <n v="165750"/>
    <n v="89250"/>
    <n v="0.35"/>
  </r>
  <r>
    <s v="ORD0151"/>
    <x v="428"/>
    <x v="5"/>
    <x v="1"/>
    <x v="7"/>
    <x v="3"/>
    <x v="0"/>
    <x v="4"/>
    <x v="0"/>
    <x v="0"/>
    <n v="11"/>
    <n v="4000"/>
    <n v="44000"/>
    <n v="27280"/>
    <n v="16720"/>
    <n v="0.38"/>
  </r>
  <r>
    <s v="ORD0497"/>
    <x v="428"/>
    <x v="5"/>
    <x v="1"/>
    <x v="13"/>
    <x v="3"/>
    <x v="2"/>
    <x v="8"/>
    <x v="3"/>
    <x v="1"/>
    <n v="17"/>
    <n v="55000"/>
    <n v="935000"/>
    <n v="673200"/>
    <n v="261800"/>
    <n v="0.28000000000000003"/>
  </r>
  <r>
    <s v="ORD0134"/>
    <x v="429"/>
    <x v="5"/>
    <x v="1"/>
    <x v="9"/>
    <x v="2"/>
    <x v="3"/>
    <x v="2"/>
    <x v="3"/>
    <x v="0"/>
    <n v="9"/>
    <n v="150"/>
    <n v="1350"/>
    <n v="810"/>
    <n v="540"/>
    <n v="0.4"/>
  </r>
  <r>
    <s v="ORD0334"/>
    <x v="429"/>
    <x v="5"/>
    <x v="1"/>
    <x v="2"/>
    <x v="1"/>
    <x v="2"/>
    <x v="2"/>
    <x v="1"/>
    <x v="1"/>
    <n v="11"/>
    <n v="50"/>
    <n v="550"/>
    <n v="357.5"/>
    <n v="192.5"/>
    <n v="0.35"/>
  </r>
  <r>
    <s v="ORD0408"/>
    <x v="429"/>
    <x v="5"/>
    <x v="1"/>
    <x v="11"/>
    <x v="1"/>
    <x v="1"/>
    <x v="7"/>
    <x v="3"/>
    <x v="0"/>
    <n v="4"/>
    <n v="7000"/>
    <n v="28000"/>
    <n v="24920"/>
    <n v="3080"/>
    <n v="0.11"/>
  </r>
  <r>
    <s v="ORD0186"/>
    <x v="430"/>
    <x v="5"/>
    <x v="1"/>
    <x v="6"/>
    <x v="2"/>
    <x v="4"/>
    <x v="7"/>
    <x v="7"/>
    <x v="0"/>
    <n v="20"/>
    <n v="9000"/>
    <n v="180000"/>
    <n v="122400"/>
    <n v="57600"/>
    <n v="0.32"/>
  </r>
  <r>
    <s v="ORD0304"/>
    <x v="430"/>
    <x v="5"/>
    <x v="1"/>
    <x v="9"/>
    <x v="2"/>
    <x v="2"/>
    <x v="4"/>
    <x v="7"/>
    <x v="1"/>
    <n v="13"/>
    <n v="15000"/>
    <n v="195000"/>
    <n v="152100"/>
    <n v="42900"/>
    <n v="0.22"/>
  </r>
  <r>
    <s v="ORD0336"/>
    <x v="430"/>
    <x v="5"/>
    <x v="1"/>
    <x v="0"/>
    <x v="0"/>
    <x v="1"/>
    <x v="4"/>
    <x v="3"/>
    <x v="0"/>
    <n v="14"/>
    <n v="700"/>
    <n v="9800"/>
    <n v="7056"/>
    <n v="2744"/>
    <n v="0.28000000000000003"/>
  </r>
  <r>
    <s v="ORD0094"/>
    <x v="431"/>
    <x v="5"/>
    <x v="1"/>
    <x v="15"/>
    <x v="3"/>
    <x v="4"/>
    <x v="5"/>
    <x v="6"/>
    <x v="1"/>
    <n v="5"/>
    <n v="7000"/>
    <n v="35000"/>
    <n v="24500"/>
    <n v="10500"/>
    <n v="0.3"/>
  </r>
  <r>
    <s v="ORD0524"/>
    <x v="431"/>
    <x v="5"/>
    <x v="1"/>
    <x v="13"/>
    <x v="3"/>
    <x v="2"/>
    <x v="7"/>
    <x v="3"/>
    <x v="1"/>
    <n v="5"/>
    <n v="12000"/>
    <n v="60000"/>
    <n v="53400"/>
    <n v="6600"/>
    <n v="0.11"/>
  </r>
  <r>
    <s v="ORD0104"/>
    <x v="432"/>
    <x v="2"/>
    <x v="1"/>
    <x v="3"/>
    <x v="1"/>
    <x v="4"/>
    <x v="0"/>
    <x v="0"/>
    <x v="0"/>
    <n v="9"/>
    <n v="3500"/>
    <n v="31500"/>
    <n v="26460"/>
    <n v="5040"/>
    <n v="0.16"/>
  </r>
  <r>
    <s v="ORD0241"/>
    <x v="432"/>
    <x v="2"/>
    <x v="1"/>
    <x v="6"/>
    <x v="2"/>
    <x v="3"/>
    <x v="0"/>
    <x v="6"/>
    <x v="1"/>
    <n v="9"/>
    <n v="3500"/>
    <n v="31500"/>
    <n v="24570"/>
    <n v="6930"/>
    <n v="0.22"/>
  </r>
  <r>
    <s v="ORD0323"/>
    <x v="432"/>
    <x v="2"/>
    <x v="1"/>
    <x v="2"/>
    <x v="1"/>
    <x v="0"/>
    <x v="6"/>
    <x v="2"/>
    <x v="0"/>
    <n v="12"/>
    <n v="12000"/>
    <n v="144000"/>
    <n v="106560"/>
    <n v="37440"/>
    <n v="0.26"/>
  </r>
  <r>
    <s v="ORD0458"/>
    <x v="432"/>
    <x v="2"/>
    <x v="1"/>
    <x v="10"/>
    <x v="3"/>
    <x v="2"/>
    <x v="6"/>
    <x v="1"/>
    <x v="0"/>
    <n v="1"/>
    <n v="20"/>
    <n v="20"/>
    <n v="15.6"/>
    <n v="4.4000000000000004"/>
    <n v="0.22000000000000003"/>
  </r>
  <r>
    <s v="ORD0529"/>
    <x v="432"/>
    <x v="2"/>
    <x v="1"/>
    <x v="13"/>
    <x v="3"/>
    <x v="1"/>
    <x v="4"/>
    <x v="0"/>
    <x v="1"/>
    <n v="6"/>
    <n v="1200"/>
    <n v="7200"/>
    <n v="4680"/>
    <n v="2520"/>
    <n v="0.35"/>
  </r>
  <r>
    <s v="ORD0102"/>
    <x v="433"/>
    <x v="2"/>
    <x v="1"/>
    <x v="12"/>
    <x v="1"/>
    <x v="4"/>
    <x v="6"/>
    <x v="6"/>
    <x v="1"/>
    <n v="19"/>
    <n v="12000"/>
    <n v="228000"/>
    <n v="148200"/>
    <n v="79800"/>
    <n v="0.35"/>
  </r>
  <r>
    <s v="ORD0039"/>
    <x v="434"/>
    <x v="2"/>
    <x v="1"/>
    <x v="10"/>
    <x v="3"/>
    <x v="3"/>
    <x v="8"/>
    <x v="0"/>
    <x v="1"/>
    <n v="7"/>
    <n v="20"/>
    <n v="140"/>
    <n v="96.6"/>
    <n v="43.400000000000006"/>
    <n v="0.31000000000000005"/>
  </r>
  <r>
    <s v="ORD0222"/>
    <x v="434"/>
    <x v="2"/>
    <x v="1"/>
    <x v="0"/>
    <x v="0"/>
    <x v="0"/>
    <x v="5"/>
    <x v="0"/>
    <x v="1"/>
    <n v="14"/>
    <n v="7000"/>
    <n v="98000"/>
    <n v="76440"/>
    <n v="21560"/>
    <n v="0.22"/>
  </r>
  <r>
    <s v="ORD0235"/>
    <x v="435"/>
    <x v="2"/>
    <x v="1"/>
    <x v="6"/>
    <x v="2"/>
    <x v="1"/>
    <x v="8"/>
    <x v="1"/>
    <x v="1"/>
    <n v="18"/>
    <n v="25000"/>
    <n v="450000"/>
    <n v="328500"/>
    <n v="121500"/>
    <n v="0.27"/>
  </r>
  <r>
    <s v="ORD0250"/>
    <x v="435"/>
    <x v="2"/>
    <x v="1"/>
    <x v="2"/>
    <x v="1"/>
    <x v="4"/>
    <x v="6"/>
    <x v="0"/>
    <x v="1"/>
    <n v="16"/>
    <n v="3500"/>
    <n v="56000"/>
    <n v="36960"/>
    <n v="19040"/>
    <n v="0.34"/>
  </r>
  <r>
    <s v="ORD0025"/>
    <x v="436"/>
    <x v="2"/>
    <x v="1"/>
    <x v="12"/>
    <x v="1"/>
    <x v="4"/>
    <x v="7"/>
    <x v="1"/>
    <x v="1"/>
    <n v="18"/>
    <n v="3500"/>
    <n v="63000"/>
    <n v="51030"/>
    <n v="11970"/>
    <n v="0.19"/>
  </r>
  <r>
    <s v="ORD0537"/>
    <x v="437"/>
    <x v="2"/>
    <x v="1"/>
    <x v="6"/>
    <x v="2"/>
    <x v="1"/>
    <x v="2"/>
    <x v="2"/>
    <x v="1"/>
    <n v="15"/>
    <n v="50"/>
    <n v="750"/>
    <n v="667.5"/>
    <n v="82.5"/>
    <n v="0.11"/>
  </r>
  <r>
    <s v="ORD0098"/>
    <x v="438"/>
    <x v="2"/>
    <x v="1"/>
    <x v="13"/>
    <x v="3"/>
    <x v="2"/>
    <x v="2"/>
    <x v="0"/>
    <x v="1"/>
    <n v="8"/>
    <n v="1200"/>
    <n v="9600"/>
    <n v="8352"/>
    <n v="1248"/>
    <n v="0.13"/>
  </r>
  <r>
    <s v="ORD0229"/>
    <x v="438"/>
    <x v="2"/>
    <x v="1"/>
    <x v="9"/>
    <x v="2"/>
    <x v="1"/>
    <x v="8"/>
    <x v="0"/>
    <x v="1"/>
    <n v="18"/>
    <n v="45000"/>
    <n v="810000"/>
    <n v="639900"/>
    <n v="170100"/>
    <n v="0.21"/>
  </r>
  <r>
    <s v="ORD0005"/>
    <x v="439"/>
    <x v="2"/>
    <x v="1"/>
    <x v="10"/>
    <x v="3"/>
    <x v="4"/>
    <x v="0"/>
    <x v="2"/>
    <x v="1"/>
    <n v="9"/>
    <n v="700"/>
    <n v="6300"/>
    <n v="4347"/>
    <n v="1953"/>
    <n v="0.31"/>
  </r>
  <r>
    <s v="ORD0167"/>
    <x v="440"/>
    <x v="2"/>
    <x v="1"/>
    <x v="6"/>
    <x v="2"/>
    <x v="0"/>
    <x v="0"/>
    <x v="1"/>
    <x v="0"/>
    <n v="1"/>
    <n v="8000"/>
    <n v="8000"/>
    <n v="5920"/>
    <n v="2080"/>
    <n v="0.26"/>
  </r>
  <r>
    <s v="ORD0344"/>
    <x v="441"/>
    <x v="2"/>
    <x v="1"/>
    <x v="15"/>
    <x v="3"/>
    <x v="3"/>
    <x v="1"/>
    <x v="5"/>
    <x v="1"/>
    <n v="1"/>
    <n v="20"/>
    <n v="20"/>
    <n v="17.399999999999999"/>
    <n v="2.6000000000000014"/>
    <n v="0.13000000000000006"/>
  </r>
  <r>
    <s v="ORD0018"/>
    <x v="442"/>
    <x v="2"/>
    <x v="1"/>
    <x v="5"/>
    <x v="2"/>
    <x v="2"/>
    <x v="1"/>
    <x v="4"/>
    <x v="1"/>
    <n v="10"/>
    <n v="1200"/>
    <n v="12000"/>
    <n v="7680"/>
    <n v="4320"/>
    <n v="0.36"/>
  </r>
  <r>
    <s v="ORD0027"/>
    <x v="442"/>
    <x v="2"/>
    <x v="1"/>
    <x v="2"/>
    <x v="1"/>
    <x v="0"/>
    <x v="4"/>
    <x v="6"/>
    <x v="1"/>
    <n v="17"/>
    <n v="3500"/>
    <n v="59500"/>
    <n v="49980"/>
    <n v="9520"/>
    <n v="0.16"/>
  </r>
  <r>
    <s v="ORD0245"/>
    <x v="442"/>
    <x v="2"/>
    <x v="1"/>
    <x v="3"/>
    <x v="1"/>
    <x v="0"/>
    <x v="9"/>
    <x v="0"/>
    <x v="1"/>
    <n v="19"/>
    <n v="300"/>
    <n v="5700"/>
    <n v="4845"/>
    <n v="855"/>
    <n v="0.15"/>
  </r>
  <r>
    <s v="ORD0461"/>
    <x v="442"/>
    <x v="2"/>
    <x v="1"/>
    <x v="7"/>
    <x v="3"/>
    <x v="0"/>
    <x v="0"/>
    <x v="2"/>
    <x v="0"/>
    <n v="5"/>
    <n v="12000"/>
    <n v="60000"/>
    <n v="38400"/>
    <n v="21600"/>
    <n v="0.36"/>
  </r>
  <r>
    <s v="ORD0470"/>
    <x v="442"/>
    <x v="2"/>
    <x v="1"/>
    <x v="3"/>
    <x v="1"/>
    <x v="1"/>
    <x v="2"/>
    <x v="4"/>
    <x v="1"/>
    <n v="13"/>
    <n v="700"/>
    <n v="9100"/>
    <n v="7007"/>
    <n v="2093"/>
    <n v="0.23"/>
  </r>
  <r>
    <s v="ORD0472"/>
    <x v="442"/>
    <x v="2"/>
    <x v="1"/>
    <x v="2"/>
    <x v="1"/>
    <x v="0"/>
    <x v="1"/>
    <x v="2"/>
    <x v="1"/>
    <n v="4"/>
    <n v="300"/>
    <n v="1200"/>
    <n v="768"/>
    <n v="432"/>
    <n v="0.36"/>
  </r>
  <r>
    <s v="ORD0065"/>
    <x v="443"/>
    <x v="2"/>
    <x v="1"/>
    <x v="1"/>
    <x v="0"/>
    <x v="4"/>
    <x v="2"/>
    <x v="7"/>
    <x v="0"/>
    <n v="12"/>
    <n v="300"/>
    <n v="3600"/>
    <n v="2160"/>
    <n v="1440"/>
    <n v="0.4"/>
  </r>
  <r>
    <s v="ORD0152"/>
    <x v="444"/>
    <x v="2"/>
    <x v="1"/>
    <x v="12"/>
    <x v="1"/>
    <x v="3"/>
    <x v="6"/>
    <x v="0"/>
    <x v="0"/>
    <n v="17"/>
    <n v="300"/>
    <n v="5100"/>
    <n v="4080"/>
    <n v="1020"/>
    <n v="0.2"/>
  </r>
  <r>
    <s v="ORD0049"/>
    <x v="445"/>
    <x v="2"/>
    <x v="1"/>
    <x v="12"/>
    <x v="1"/>
    <x v="4"/>
    <x v="2"/>
    <x v="6"/>
    <x v="0"/>
    <n v="20"/>
    <n v="3500"/>
    <n v="70000"/>
    <n v="42000"/>
    <n v="28000"/>
    <n v="0.4"/>
  </r>
  <r>
    <s v="ORD0183"/>
    <x v="445"/>
    <x v="2"/>
    <x v="1"/>
    <x v="1"/>
    <x v="0"/>
    <x v="4"/>
    <x v="1"/>
    <x v="6"/>
    <x v="1"/>
    <n v="9"/>
    <n v="300"/>
    <n v="2700"/>
    <n v="2079"/>
    <n v="621"/>
    <n v="0.23"/>
  </r>
  <r>
    <s v="ORD0022"/>
    <x v="446"/>
    <x v="2"/>
    <x v="1"/>
    <x v="1"/>
    <x v="0"/>
    <x v="1"/>
    <x v="7"/>
    <x v="5"/>
    <x v="1"/>
    <n v="11"/>
    <n v="4000"/>
    <n v="44000"/>
    <n v="32560"/>
    <n v="11440"/>
    <n v="0.26"/>
  </r>
  <r>
    <s v="ORD0033"/>
    <x v="446"/>
    <x v="2"/>
    <x v="1"/>
    <x v="10"/>
    <x v="3"/>
    <x v="0"/>
    <x v="2"/>
    <x v="5"/>
    <x v="0"/>
    <n v="19"/>
    <n v="9000"/>
    <n v="171000"/>
    <n v="136800"/>
    <n v="34200"/>
    <n v="0.2"/>
  </r>
  <r>
    <s v="ORD0238"/>
    <x v="446"/>
    <x v="2"/>
    <x v="1"/>
    <x v="4"/>
    <x v="0"/>
    <x v="0"/>
    <x v="0"/>
    <x v="2"/>
    <x v="0"/>
    <n v="1"/>
    <n v="150"/>
    <n v="150"/>
    <n v="97.5"/>
    <n v="52.5"/>
    <n v="0.35"/>
  </r>
  <r>
    <s v="ORD0416"/>
    <x v="446"/>
    <x v="2"/>
    <x v="1"/>
    <x v="6"/>
    <x v="2"/>
    <x v="4"/>
    <x v="5"/>
    <x v="1"/>
    <x v="0"/>
    <n v="2"/>
    <n v="20"/>
    <n v="40"/>
    <n v="34.799999999999997"/>
    <n v="5.2000000000000028"/>
    <n v="0.13000000000000006"/>
  </r>
  <r>
    <s v="ORD0429"/>
    <x v="446"/>
    <x v="2"/>
    <x v="1"/>
    <x v="2"/>
    <x v="1"/>
    <x v="4"/>
    <x v="5"/>
    <x v="1"/>
    <x v="1"/>
    <n v="16"/>
    <n v="1200"/>
    <n v="19200"/>
    <n v="15552"/>
    <n v="3648"/>
    <n v="0.19"/>
  </r>
  <r>
    <s v="ORD0508"/>
    <x v="446"/>
    <x v="2"/>
    <x v="1"/>
    <x v="8"/>
    <x v="0"/>
    <x v="1"/>
    <x v="5"/>
    <x v="2"/>
    <x v="1"/>
    <n v="12"/>
    <n v="50"/>
    <n v="600"/>
    <n v="414"/>
    <n v="186"/>
    <n v="0.31"/>
  </r>
  <r>
    <s v="ORD0369"/>
    <x v="447"/>
    <x v="2"/>
    <x v="1"/>
    <x v="13"/>
    <x v="3"/>
    <x v="0"/>
    <x v="0"/>
    <x v="3"/>
    <x v="0"/>
    <n v="3"/>
    <n v="20"/>
    <n v="60"/>
    <n v="36.6"/>
    <n v="23.4"/>
    <n v="0.38999999999999996"/>
  </r>
  <r>
    <s v="ORD0044"/>
    <x v="448"/>
    <x v="2"/>
    <x v="1"/>
    <x v="1"/>
    <x v="0"/>
    <x v="1"/>
    <x v="1"/>
    <x v="0"/>
    <x v="1"/>
    <n v="17"/>
    <n v="45000"/>
    <n v="765000"/>
    <n v="466650"/>
    <n v="298350"/>
    <n v="0.39"/>
  </r>
  <r>
    <s v="ORD0278"/>
    <x v="448"/>
    <x v="2"/>
    <x v="1"/>
    <x v="13"/>
    <x v="3"/>
    <x v="2"/>
    <x v="5"/>
    <x v="6"/>
    <x v="0"/>
    <n v="16"/>
    <n v="1200"/>
    <n v="19200"/>
    <n v="15936"/>
    <n v="3264"/>
    <n v="0.17"/>
  </r>
  <r>
    <s v="ORD0513"/>
    <x v="448"/>
    <x v="2"/>
    <x v="1"/>
    <x v="9"/>
    <x v="2"/>
    <x v="4"/>
    <x v="4"/>
    <x v="4"/>
    <x v="1"/>
    <n v="7"/>
    <n v="25000"/>
    <n v="175000"/>
    <n v="143500"/>
    <n v="31500"/>
    <n v="0.18"/>
  </r>
  <r>
    <s v="ORD0230"/>
    <x v="449"/>
    <x v="2"/>
    <x v="1"/>
    <x v="8"/>
    <x v="0"/>
    <x v="4"/>
    <x v="3"/>
    <x v="5"/>
    <x v="1"/>
    <n v="14"/>
    <n v="300"/>
    <n v="4200"/>
    <n v="3738"/>
    <n v="462"/>
    <n v="0.11"/>
  </r>
  <r>
    <s v="ORD0281"/>
    <x v="449"/>
    <x v="2"/>
    <x v="1"/>
    <x v="14"/>
    <x v="3"/>
    <x v="0"/>
    <x v="8"/>
    <x v="6"/>
    <x v="0"/>
    <n v="5"/>
    <n v="45000"/>
    <n v="225000"/>
    <n v="186750"/>
    <n v="38250"/>
    <n v="0.17"/>
  </r>
  <r>
    <s v="ORD0391"/>
    <x v="449"/>
    <x v="2"/>
    <x v="1"/>
    <x v="15"/>
    <x v="3"/>
    <x v="3"/>
    <x v="5"/>
    <x v="7"/>
    <x v="1"/>
    <n v="4"/>
    <n v="20"/>
    <n v="80"/>
    <n v="52"/>
    <n v="28"/>
    <n v="0.35"/>
  </r>
  <r>
    <s v="ORD0015"/>
    <x v="450"/>
    <x v="2"/>
    <x v="1"/>
    <x v="8"/>
    <x v="0"/>
    <x v="3"/>
    <x v="4"/>
    <x v="3"/>
    <x v="0"/>
    <n v="4"/>
    <n v="700"/>
    <n v="2800"/>
    <n v="2296"/>
    <n v="504"/>
    <n v="0.18"/>
  </r>
  <r>
    <s v="ORD0353"/>
    <x v="450"/>
    <x v="2"/>
    <x v="1"/>
    <x v="9"/>
    <x v="2"/>
    <x v="1"/>
    <x v="3"/>
    <x v="1"/>
    <x v="0"/>
    <n v="11"/>
    <n v="55000"/>
    <n v="605000"/>
    <n v="496100"/>
    <n v="108900"/>
    <n v="0.18"/>
  </r>
  <r>
    <s v="ORD0310"/>
    <x v="451"/>
    <x v="2"/>
    <x v="1"/>
    <x v="1"/>
    <x v="0"/>
    <x v="2"/>
    <x v="5"/>
    <x v="0"/>
    <x v="0"/>
    <n v="6"/>
    <n v="1200"/>
    <n v="7200"/>
    <n v="6264"/>
    <n v="936"/>
    <n v="0.13"/>
  </r>
  <r>
    <s v="ORD0037"/>
    <x v="452"/>
    <x v="9"/>
    <x v="1"/>
    <x v="3"/>
    <x v="1"/>
    <x v="1"/>
    <x v="5"/>
    <x v="7"/>
    <x v="0"/>
    <n v="5"/>
    <n v="300"/>
    <n v="1500"/>
    <n v="975"/>
    <n v="525"/>
    <n v="0.35"/>
  </r>
  <r>
    <s v="ORD0467"/>
    <x v="452"/>
    <x v="9"/>
    <x v="1"/>
    <x v="6"/>
    <x v="2"/>
    <x v="2"/>
    <x v="2"/>
    <x v="7"/>
    <x v="0"/>
    <n v="17"/>
    <n v="300"/>
    <n v="5100"/>
    <n v="3723"/>
    <n v="1377"/>
    <n v="0.27"/>
  </r>
  <r>
    <s v="ORD0368"/>
    <x v="453"/>
    <x v="9"/>
    <x v="1"/>
    <x v="13"/>
    <x v="3"/>
    <x v="4"/>
    <x v="8"/>
    <x v="7"/>
    <x v="0"/>
    <n v="8"/>
    <n v="8000"/>
    <n v="64000"/>
    <n v="40960"/>
    <n v="23040"/>
    <n v="0.36"/>
  </r>
  <r>
    <s v="ORD0043"/>
    <x v="454"/>
    <x v="9"/>
    <x v="1"/>
    <x v="11"/>
    <x v="1"/>
    <x v="0"/>
    <x v="2"/>
    <x v="2"/>
    <x v="0"/>
    <n v="10"/>
    <n v="55000"/>
    <n v="550000"/>
    <n v="462000"/>
    <n v="88000"/>
    <n v="0.16"/>
  </r>
  <r>
    <s v="ORD0100"/>
    <x v="454"/>
    <x v="9"/>
    <x v="1"/>
    <x v="6"/>
    <x v="2"/>
    <x v="1"/>
    <x v="4"/>
    <x v="7"/>
    <x v="0"/>
    <n v="16"/>
    <n v="25000"/>
    <n v="400000"/>
    <n v="320000"/>
    <n v="80000"/>
    <n v="0.2"/>
  </r>
  <r>
    <s v="ORD0227"/>
    <x v="454"/>
    <x v="9"/>
    <x v="1"/>
    <x v="10"/>
    <x v="3"/>
    <x v="0"/>
    <x v="9"/>
    <x v="1"/>
    <x v="1"/>
    <n v="14"/>
    <n v="4000"/>
    <n v="56000"/>
    <n v="39760"/>
    <n v="16240"/>
    <n v="0.28999999999999998"/>
  </r>
  <r>
    <s v="ORD0499"/>
    <x v="454"/>
    <x v="9"/>
    <x v="1"/>
    <x v="12"/>
    <x v="1"/>
    <x v="3"/>
    <x v="9"/>
    <x v="6"/>
    <x v="0"/>
    <n v="2"/>
    <n v="8000"/>
    <n v="16000"/>
    <n v="12480"/>
    <n v="3520"/>
    <n v="0.22"/>
  </r>
  <r>
    <s v="ORD0389"/>
    <x v="455"/>
    <x v="9"/>
    <x v="1"/>
    <x v="1"/>
    <x v="0"/>
    <x v="3"/>
    <x v="5"/>
    <x v="6"/>
    <x v="1"/>
    <n v="4"/>
    <n v="300"/>
    <n v="1200"/>
    <n v="1008"/>
    <n v="192"/>
    <n v="0.16"/>
  </r>
  <r>
    <s v="ORD0021"/>
    <x v="456"/>
    <x v="9"/>
    <x v="1"/>
    <x v="5"/>
    <x v="2"/>
    <x v="3"/>
    <x v="4"/>
    <x v="2"/>
    <x v="0"/>
    <n v="15"/>
    <n v="15000"/>
    <n v="225000"/>
    <n v="189000"/>
    <n v="36000"/>
    <n v="0.16"/>
  </r>
  <r>
    <s v="ORD0120"/>
    <x v="456"/>
    <x v="9"/>
    <x v="1"/>
    <x v="14"/>
    <x v="3"/>
    <x v="1"/>
    <x v="1"/>
    <x v="5"/>
    <x v="0"/>
    <n v="9"/>
    <n v="20"/>
    <n v="180"/>
    <n v="131.4"/>
    <n v="48.599999999999994"/>
    <n v="0.26999999999999996"/>
  </r>
  <r>
    <s v="ORD0316"/>
    <x v="456"/>
    <x v="9"/>
    <x v="1"/>
    <x v="6"/>
    <x v="2"/>
    <x v="0"/>
    <x v="4"/>
    <x v="7"/>
    <x v="0"/>
    <n v="11"/>
    <n v="8000"/>
    <n v="88000"/>
    <n v="62480"/>
    <n v="25520"/>
    <n v="0.28999999999999998"/>
  </r>
  <r>
    <s v="ORD0452"/>
    <x v="456"/>
    <x v="9"/>
    <x v="1"/>
    <x v="8"/>
    <x v="0"/>
    <x v="0"/>
    <x v="8"/>
    <x v="6"/>
    <x v="0"/>
    <n v="13"/>
    <n v="45000"/>
    <n v="585000"/>
    <n v="520650"/>
    <n v="64350"/>
    <n v="0.11"/>
  </r>
  <r>
    <s v="ORD0194"/>
    <x v="457"/>
    <x v="9"/>
    <x v="1"/>
    <x v="3"/>
    <x v="1"/>
    <x v="1"/>
    <x v="9"/>
    <x v="1"/>
    <x v="0"/>
    <n v="20"/>
    <n v="700"/>
    <n v="14000"/>
    <n v="11200"/>
    <n v="2800"/>
    <n v="0.2"/>
  </r>
  <r>
    <s v="ORD0480"/>
    <x v="457"/>
    <x v="9"/>
    <x v="1"/>
    <x v="12"/>
    <x v="1"/>
    <x v="3"/>
    <x v="0"/>
    <x v="4"/>
    <x v="0"/>
    <n v="12"/>
    <n v="150"/>
    <n v="1800"/>
    <n v="1206"/>
    <n v="594"/>
    <n v="0.33"/>
  </r>
  <r>
    <s v="ORD0351"/>
    <x v="458"/>
    <x v="9"/>
    <x v="1"/>
    <x v="3"/>
    <x v="1"/>
    <x v="4"/>
    <x v="6"/>
    <x v="2"/>
    <x v="1"/>
    <n v="7"/>
    <n v="25000"/>
    <n v="175000"/>
    <n v="147000"/>
    <n v="28000"/>
    <n v="0.16"/>
  </r>
  <r>
    <s v="ORD0428"/>
    <x v="458"/>
    <x v="9"/>
    <x v="1"/>
    <x v="14"/>
    <x v="3"/>
    <x v="1"/>
    <x v="8"/>
    <x v="5"/>
    <x v="0"/>
    <n v="3"/>
    <n v="45000"/>
    <n v="135000"/>
    <n v="85050"/>
    <n v="49950"/>
    <n v="0.37"/>
  </r>
  <r>
    <s v="ORD0031"/>
    <x v="459"/>
    <x v="9"/>
    <x v="1"/>
    <x v="3"/>
    <x v="1"/>
    <x v="4"/>
    <x v="2"/>
    <x v="0"/>
    <x v="0"/>
    <n v="8"/>
    <n v="55000"/>
    <n v="440000"/>
    <n v="347600"/>
    <n v="92400"/>
    <n v="0.21"/>
  </r>
  <r>
    <s v="ORD0260"/>
    <x v="459"/>
    <x v="9"/>
    <x v="1"/>
    <x v="1"/>
    <x v="0"/>
    <x v="3"/>
    <x v="7"/>
    <x v="6"/>
    <x v="1"/>
    <n v="17"/>
    <n v="3500"/>
    <n v="59500"/>
    <n v="41055"/>
    <n v="18445"/>
    <n v="0.31"/>
  </r>
  <r>
    <s v="ORD0047"/>
    <x v="460"/>
    <x v="9"/>
    <x v="1"/>
    <x v="11"/>
    <x v="1"/>
    <x v="3"/>
    <x v="0"/>
    <x v="3"/>
    <x v="1"/>
    <n v="13"/>
    <n v="300"/>
    <n v="3900"/>
    <n v="3237"/>
    <n v="663"/>
    <n v="0.17"/>
  </r>
  <r>
    <s v="ORD0254"/>
    <x v="460"/>
    <x v="9"/>
    <x v="1"/>
    <x v="1"/>
    <x v="0"/>
    <x v="2"/>
    <x v="3"/>
    <x v="0"/>
    <x v="1"/>
    <n v="7"/>
    <n v="25000"/>
    <n v="175000"/>
    <n v="124250"/>
    <n v="50750"/>
    <n v="0.28999999999999998"/>
  </r>
  <r>
    <s v="ORD0372"/>
    <x v="461"/>
    <x v="9"/>
    <x v="1"/>
    <x v="13"/>
    <x v="3"/>
    <x v="4"/>
    <x v="4"/>
    <x v="4"/>
    <x v="1"/>
    <n v="7"/>
    <n v="50"/>
    <n v="350"/>
    <n v="294"/>
    <n v="56"/>
    <n v="0.16"/>
  </r>
  <r>
    <s v="ORD0052"/>
    <x v="462"/>
    <x v="9"/>
    <x v="1"/>
    <x v="6"/>
    <x v="2"/>
    <x v="3"/>
    <x v="0"/>
    <x v="4"/>
    <x v="0"/>
    <n v="12"/>
    <n v="8000"/>
    <n v="96000"/>
    <n v="63360"/>
    <n v="32640"/>
    <n v="0.34"/>
  </r>
  <r>
    <s v="ORD0386"/>
    <x v="462"/>
    <x v="9"/>
    <x v="1"/>
    <x v="0"/>
    <x v="0"/>
    <x v="2"/>
    <x v="8"/>
    <x v="4"/>
    <x v="0"/>
    <n v="5"/>
    <n v="4000"/>
    <n v="20000"/>
    <n v="14000"/>
    <n v="6000"/>
    <n v="0.3"/>
  </r>
  <r>
    <s v="ORD0468"/>
    <x v="462"/>
    <x v="9"/>
    <x v="1"/>
    <x v="9"/>
    <x v="2"/>
    <x v="1"/>
    <x v="7"/>
    <x v="4"/>
    <x v="1"/>
    <n v="13"/>
    <n v="4000"/>
    <n v="52000"/>
    <n v="45760"/>
    <n v="6240"/>
    <n v="0.12"/>
  </r>
  <r>
    <s v="ORD0244"/>
    <x v="463"/>
    <x v="9"/>
    <x v="1"/>
    <x v="7"/>
    <x v="3"/>
    <x v="4"/>
    <x v="7"/>
    <x v="6"/>
    <x v="0"/>
    <n v="7"/>
    <n v="20"/>
    <n v="140"/>
    <n v="85.4"/>
    <n v="54.599999999999994"/>
    <n v="0.38999999999999996"/>
  </r>
  <r>
    <s v="ORD0322"/>
    <x v="464"/>
    <x v="9"/>
    <x v="1"/>
    <x v="14"/>
    <x v="3"/>
    <x v="4"/>
    <x v="8"/>
    <x v="5"/>
    <x v="0"/>
    <n v="13"/>
    <n v="20"/>
    <n v="260"/>
    <n v="179.4"/>
    <n v="80.599999999999994"/>
    <n v="0.31"/>
  </r>
  <r>
    <s v="ORD0447"/>
    <x v="464"/>
    <x v="9"/>
    <x v="1"/>
    <x v="5"/>
    <x v="2"/>
    <x v="3"/>
    <x v="8"/>
    <x v="6"/>
    <x v="0"/>
    <n v="15"/>
    <n v="8000"/>
    <n v="120000"/>
    <n v="85200"/>
    <n v="34800"/>
    <n v="0.28999999999999998"/>
  </r>
  <r>
    <s v="ORD0356"/>
    <x v="465"/>
    <x v="9"/>
    <x v="1"/>
    <x v="12"/>
    <x v="1"/>
    <x v="1"/>
    <x v="6"/>
    <x v="2"/>
    <x v="1"/>
    <n v="18"/>
    <n v="55000"/>
    <n v="990000"/>
    <n v="811800"/>
    <n v="178200"/>
    <n v="0.18"/>
  </r>
  <r>
    <s v="ORD0432"/>
    <x v="465"/>
    <x v="9"/>
    <x v="1"/>
    <x v="1"/>
    <x v="0"/>
    <x v="0"/>
    <x v="1"/>
    <x v="5"/>
    <x v="0"/>
    <n v="10"/>
    <n v="300"/>
    <n v="3000"/>
    <n v="2490"/>
    <n v="510"/>
    <n v="0.17"/>
  </r>
  <r>
    <s v="ORD0532"/>
    <x v="465"/>
    <x v="9"/>
    <x v="1"/>
    <x v="6"/>
    <x v="2"/>
    <x v="4"/>
    <x v="1"/>
    <x v="6"/>
    <x v="1"/>
    <n v="5"/>
    <n v="12000"/>
    <n v="60000"/>
    <n v="44400"/>
    <n v="15600"/>
    <n v="0.26"/>
  </r>
  <r>
    <s v="ORD0360"/>
    <x v="466"/>
    <x v="9"/>
    <x v="1"/>
    <x v="15"/>
    <x v="3"/>
    <x v="3"/>
    <x v="1"/>
    <x v="4"/>
    <x v="0"/>
    <n v="7"/>
    <n v="1200"/>
    <n v="8400"/>
    <n v="6552"/>
    <n v="1848"/>
    <n v="0.22"/>
  </r>
  <r>
    <s v="ORD0420"/>
    <x v="466"/>
    <x v="9"/>
    <x v="1"/>
    <x v="9"/>
    <x v="2"/>
    <x v="3"/>
    <x v="0"/>
    <x v="5"/>
    <x v="1"/>
    <n v="1"/>
    <n v="55000"/>
    <n v="55000"/>
    <n v="37950"/>
    <n v="17050"/>
    <n v="0.31"/>
  </r>
  <r>
    <s v="ORD0477"/>
    <x v="466"/>
    <x v="9"/>
    <x v="1"/>
    <x v="10"/>
    <x v="3"/>
    <x v="2"/>
    <x v="5"/>
    <x v="1"/>
    <x v="0"/>
    <n v="18"/>
    <n v="50"/>
    <n v="900"/>
    <n v="594"/>
    <n v="306"/>
    <n v="0.34"/>
  </r>
  <r>
    <s v="ORD0090"/>
    <x v="467"/>
    <x v="9"/>
    <x v="1"/>
    <x v="0"/>
    <x v="0"/>
    <x v="0"/>
    <x v="2"/>
    <x v="0"/>
    <x v="1"/>
    <n v="1"/>
    <n v="4000"/>
    <n v="4000"/>
    <n v="2600"/>
    <n v="1400"/>
    <n v="0.35"/>
  </r>
  <r>
    <s v="ORD0226"/>
    <x v="468"/>
    <x v="9"/>
    <x v="1"/>
    <x v="14"/>
    <x v="3"/>
    <x v="4"/>
    <x v="1"/>
    <x v="0"/>
    <x v="1"/>
    <n v="2"/>
    <n v="20"/>
    <n v="40"/>
    <n v="31.6"/>
    <n v="8.3999999999999986"/>
    <n v="0.20999999999999996"/>
  </r>
  <r>
    <s v="ORD0443"/>
    <x v="468"/>
    <x v="9"/>
    <x v="1"/>
    <x v="9"/>
    <x v="2"/>
    <x v="3"/>
    <x v="3"/>
    <x v="3"/>
    <x v="1"/>
    <n v="4"/>
    <n v="55000"/>
    <n v="220000"/>
    <n v="176000"/>
    <n v="44000"/>
    <n v="0.2"/>
  </r>
  <r>
    <s v="ORD0236"/>
    <x v="469"/>
    <x v="9"/>
    <x v="1"/>
    <x v="12"/>
    <x v="1"/>
    <x v="1"/>
    <x v="4"/>
    <x v="3"/>
    <x v="0"/>
    <n v="1"/>
    <n v="9000"/>
    <n v="9000"/>
    <n v="7290"/>
    <n v="1710"/>
    <n v="0.19"/>
  </r>
  <r>
    <s v="ORD0213"/>
    <x v="470"/>
    <x v="9"/>
    <x v="1"/>
    <x v="3"/>
    <x v="1"/>
    <x v="1"/>
    <x v="9"/>
    <x v="1"/>
    <x v="1"/>
    <n v="14"/>
    <n v="3500"/>
    <n v="49000"/>
    <n v="41650"/>
    <n v="7350"/>
    <n v="0.15"/>
  </r>
  <r>
    <s v="ORD0306"/>
    <x v="470"/>
    <x v="9"/>
    <x v="1"/>
    <x v="8"/>
    <x v="0"/>
    <x v="1"/>
    <x v="7"/>
    <x v="2"/>
    <x v="0"/>
    <n v="8"/>
    <n v="300"/>
    <n v="2400"/>
    <n v="2136"/>
    <n v="264"/>
    <n v="0.11"/>
  </r>
  <r>
    <s v="ORD0007"/>
    <x v="471"/>
    <x v="9"/>
    <x v="1"/>
    <x v="12"/>
    <x v="1"/>
    <x v="1"/>
    <x v="3"/>
    <x v="2"/>
    <x v="1"/>
    <n v="11"/>
    <n v="300"/>
    <n v="3300"/>
    <n v="2442"/>
    <n v="858"/>
    <n v="0.26"/>
  </r>
  <r>
    <s v="ORD0205"/>
    <x v="471"/>
    <x v="9"/>
    <x v="1"/>
    <x v="0"/>
    <x v="0"/>
    <x v="0"/>
    <x v="5"/>
    <x v="2"/>
    <x v="1"/>
    <n v="17"/>
    <n v="50"/>
    <n v="850"/>
    <n v="586.5"/>
    <n v="263.5"/>
    <n v="0.31"/>
  </r>
  <r>
    <s v="ORD0319"/>
    <x v="471"/>
    <x v="9"/>
    <x v="1"/>
    <x v="10"/>
    <x v="3"/>
    <x v="1"/>
    <x v="3"/>
    <x v="2"/>
    <x v="1"/>
    <n v="2"/>
    <n v="8000"/>
    <n v="16000"/>
    <n v="10240"/>
    <n v="5760"/>
    <n v="0.36"/>
  </r>
  <r>
    <s v="ORD0383"/>
    <x v="471"/>
    <x v="9"/>
    <x v="1"/>
    <x v="4"/>
    <x v="0"/>
    <x v="1"/>
    <x v="6"/>
    <x v="7"/>
    <x v="1"/>
    <n v="10"/>
    <n v="45000"/>
    <n v="450000"/>
    <n v="333000"/>
    <n v="117000"/>
    <n v="0.26"/>
  </r>
  <r>
    <s v="ORD0318"/>
    <x v="472"/>
    <x v="9"/>
    <x v="1"/>
    <x v="14"/>
    <x v="3"/>
    <x v="1"/>
    <x v="3"/>
    <x v="7"/>
    <x v="0"/>
    <n v="9"/>
    <n v="45000"/>
    <n v="405000"/>
    <n v="259200"/>
    <n v="145800"/>
    <n v="0.36"/>
  </r>
  <r>
    <s v="ORD0335"/>
    <x v="472"/>
    <x v="9"/>
    <x v="1"/>
    <x v="8"/>
    <x v="0"/>
    <x v="0"/>
    <x v="9"/>
    <x v="1"/>
    <x v="0"/>
    <n v="6"/>
    <n v="3500"/>
    <n v="21000"/>
    <n v="12810"/>
    <n v="8190"/>
    <n v="0.39"/>
  </r>
  <r>
    <s v="ORD0127"/>
    <x v="473"/>
    <x v="9"/>
    <x v="1"/>
    <x v="5"/>
    <x v="2"/>
    <x v="4"/>
    <x v="4"/>
    <x v="4"/>
    <x v="1"/>
    <n v="12"/>
    <n v="20"/>
    <n v="240"/>
    <n v="192"/>
    <n v="48"/>
    <n v="0.2"/>
  </r>
  <r>
    <s v="ORD0422"/>
    <x v="473"/>
    <x v="9"/>
    <x v="1"/>
    <x v="13"/>
    <x v="3"/>
    <x v="2"/>
    <x v="3"/>
    <x v="3"/>
    <x v="1"/>
    <n v="19"/>
    <n v="150"/>
    <n v="2850"/>
    <n v="2194.5"/>
    <n v="655.5"/>
    <n v="0.23"/>
  </r>
  <r>
    <s v="ORD0176"/>
    <x v="474"/>
    <x v="11"/>
    <x v="1"/>
    <x v="1"/>
    <x v="0"/>
    <x v="0"/>
    <x v="1"/>
    <x v="5"/>
    <x v="1"/>
    <n v="4"/>
    <n v="3500"/>
    <n v="14000"/>
    <n v="10920"/>
    <n v="3080"/>
    <n v="0.22"/>
  </r>
  <r>
    <s v="ORD0511"/>
    <x v="474"/>
    <x v="11"/>
    <x v="1"/>
    <x v="1"/>
    <x v="0"/>
    <x v="0"/>
    <x v="8"/>
    <x v="1"/>
    <x v="0"/>
    <n v="17"/>
    <n v="7000"/>
    <n v="119000"/>
    <n v="82110"/>
    <n v="36890"/>
    <n v="0.31"/>
  </r>
  <r>
    <s v="ORD0211"/>
    <x v="475"/>
    <x v="11"/>
    <x v="1"/>
    <x v="7"/>
    <x v="3"/>
    <x v="3"/>
    <x v="6"/>
    <x v="6"/>
    <x v="1"/>
    <n v="9"/>
    <n v="4000"/>
    <n v="36000"/>
    <n v="24480"/>
    <n v="11520"/>
    <n v="0.32"/>
  </r>
  <r>
    <s v="ORD0331"/>
    <x v="475"/>
    <x v="11"/>
    <x v="1"/>
    <x v="15"/>
    <x v="3"/>
    <x v="4"/>
    <x v="9"/>
    <x v="7"/>
    <x v="1"/>
    <n v="9"/>
    <n v="4000"/>
    <n v="36000"/>
    <n v="28800"/>
    <n v="7200"/>
    <n v="0.2"/>
  </r>
  <r>
    <s v="ORD0491"/>
    <x v="475"/>
    <x v="11"/>
    <x v="1"/>
    <x v="2"/>
    <x v="1"/>
    <x v="4"/>
    <x v="1"/>
    <x v="7"/>
    <x v="0"/>
    <n v="8"/>
    <n v="20"/>
    <n v="160"/>
    <n v="132.80000000000001"/>
    <n v="27.199999999999989"/>
    <n v="0.16999999999999993"/>
  </r>
  <r>
    <s v="ORD0014"/>
    <x v="476"/>
    <x v="11"/>
    <x v="1"/>
    <x v="14"/>
    <x v="3"/>
    <x v="4"/>
    <x v="9"/>
    <x v="2"/>
    <x v="0"/>
    <n v="12"/>
    <n v="45000"/>
    <n v="540000"/>
    <n v="480600"/>
    <n v="59400"/>
    <n v="0.11"/>
  </r>
  <r>
    <s v="ORD0209"/>
    <x v="477"/>
    <x v="11"/>
    <x v="1"/>
    <x v="13"/>
    <x v="3"/>
    <x v="4"/>
    <x v="3"/>
    <x v="3"/>
    <x v="0"/>
    <n v="8"/>
    <n v="4000"/>
    <n v="32000"/>
    <n v="24640"/>
    <n v="7360"/>
    <n v="0.23"/>
  </r>
  <r>
    <s v="ORD0292"/>
    <x v="477"/>
    <x v="11"/>
    <x v="1"/>
    <x v="4"/>
    <x v="0"/>
    <x v="3"/>
    <x v="2"/>
    <x v="1"/>
    <x v="0"/>
    <n v="1"/>
    <n v="12000"/>
    <n v="12000"/>
    <n v="8040"/>
    <n v="3960"/>
    <n v="0.33"/>
  </r>
  <r>
    <s v="ORD0314"/>
    <x v="477"/>
    <x v="11"/>
    <x v="1"/>
    <x v="2"/>
    <x v="1"/>
    <x v="4"/>
    <x v="8"/>
    <x v="1"/>
    <x v="1"/>
    <n v="5"/>
    <n v="50"/>
    <n v="250"/>
    <n v="182.5"/>
    <n v="67.5"/>
    <n v="0.27"/>
  </r>
  <r>
    <s v="ORD0437"/>
    <x v="477"/>
    <x v="11"/>
    <x v="1"/>
    <x v="14"/>
    <x v="3"/>
    <x v="4"/>
    <x v="2"/>
    <x v="4"/>
    <x v="1"/>
    <n v="17"/>
    <n v="8000"/>
    <n v="136000"/>
    <n v="82960"/>
    <n v="53040"/>
    <n v="0.39"/>
  </r>
  <r>
    <s v="ORD0522"/>
    <x v="477"/>
    <x v="11"/>
    <x v="1"/>
    <x v="11"/>
    <x v="1"/>
    <x v="1"/>
    <x v="7"/>
    <x v="2"/>
    <x v="1"/>
    <n v="11"/>
    <n v="50"/>
    <n v="550"/>
    <n v="357.5"/>
    <n v="192.5"/>
    <n v="0.35"/>
  </r>
  <r>
    <s v="ORD0350"/>
    <x v="478"/>
    <x v="11"/>
    <x v="1"/>
    <x v="11"/>
    <x v="1"/>
    <x v="4"/>
    <x v="8"/>
    <x v="6"/>
    <x v="0"/>
    <n v="8"/>
    <n v="7000"/>
    <n v="56000"/>
    <n v="34160"/>
    <n v="21840"/>
    <n v="0.39"/>
  </r>
  <r>
    <s v="ORD0221"/>
    <x v="479"/>
    <x v="11"/>
    <x v="1"/>
    <x v="11"/>
    <x v="1"/>
    <x v="2"/>
    <x v="0"/>
    <x v="4"/>
    <x v="1"/>
    <n v="11"/>
    <n v="4000"/>
    <n v="44000"/>
    <n v="34320"/>
    <n v="9680"/>
    <n v="0.22"/>
  </r>
  <r>
    <s v="ORD0086"/>
    <x v="480"/>
    <x v="11"/>
    <x v="1"/>
    <x v="3"/>
    <x v="1"/>
    <x v="0"/>
    <x v="3"/>
    <x v="6"/>
    <x v="0"/>
    <n v="1"/>
    <n v="150"/>
    <n v="150"/>
    <n v="132"/>
    <n v="18"/>
    <n v="0.12"/>
  </r>
  <r>
    <s v="ORD0182"/>
    <x v="480"/>
    <x v="11"/>
    <x v="1"/>
    <x v="1"/>
    <x v="0"/>
    <x v="1"/>
    <x v="9"/>
    <x v="3"/>
    <x v="1"/>
    <n v="14"/>
    <n v="3500"/>
    <n v="49000"/>
    <n v="40670"/>
    <n v="8330"/>
    <n v="0.17"/>
  </r>
  <r>
    <s v="ORD0435"/>
    <x v="481"/>
    <x v="11"/>
    <x v="1"/>
    <x v="1"/>
    <x v="0"/>
    <x v="0"/>
    <x v="0"/>
    <x v="6"/>
    <x v="1"/>
    <n v="7"/>
    <n v="1200"/>
    <n v="8400"/>
    <n v="5544"/>
    <n v="2856"/>
    <n v="0.34"/>
  </r>
  <r>
    <s v="ORD0051"/>
    <x v="482"/>
    <x v="11"/>
    <x v="1"/>
    <x v="14"/>
    <x v="3"/>
    <x v="2"/>
    <x v="1"/>
    <x v="3"/>
    <x v="1"/>
    <n v="14"/>
    <n v="150"/>
    <n v="2100"/>
    <n v="1596"/>
    <n v="504"/>
    <n v="0.24"/>
  </r>
  <r>
    <s v="ORD0464"/>
    <x v="482"/>
    <x v="11"/>
    <x v="1"/>
    <x v="11"/>
    <x v="1"/>
    <x v="0"/>
    <x v="9"/>
    <x v="1"/>
    <x v="1"/>
    <n v="9"/>
    <n v="8000"/>
    <n v="72000"/>
    <n v="61920"/>
    <n v="10080"/>
    <n v="0.14000000000000001"/>
  </r>
  <r>
    <s v="ORD0527"/>
    <x v="482"/>
    <x v="11"/>
    <x v="1"/>
    <x v="12"/>
    <x v="1"/>
    <x v="2"/>
    <x v="1"/>
    <x v="4"/>
    <x v="1"/>
    <n v="1"/>
    <n v="15000"/>
    <n v="15000"/>
    <n v="12600"/>
    <n v="2400"/>
    <n v="0.16"/>
  </r>
  <r>
    <s v="ORD0035"/>
    <x v="483"/>
    <x v="11"/>
    <x v="1"/>
    <x v="8"/>
    <x v="0"/>
    <x v="2"/>
    <x v="3"/>
    <x v="3"/>
    <x v="1"/>
    <n v="11"/>
    <n v="20"/>
    <n v="220"/>
    <n v="140.80000000000001"/>
    <n v="79.199999999999989"/>
    <n v="0.35999999999999993"/>
  </r>
  <r>
    <s v="ORD0087"/>
    <x v="484"/>
    <x v="11"/>
    <x v="1"/>
    <x v="9"/>
    <x v="2"/>
    <x v="3"/>
    <x v="7"/>
    <x v="2"/>
    <x v="0"/>
    <n v="17"/>
    <n v="150"/>
    <n v="2550"/>
    <n v="1606.5"/>
    <n v="943.5"/>
    <n v="0.37"/>
  </r>
  <r>
    <s v="ORD0376"/>
    <x v="484"/>
    <x v="11"/>
    <x v="1"/>
    <x v="1"/>
    <x v="0"/>
    <x v="0"/>
    <x v="5"/>
    <x v="5"/>
    <x v="1"/>
    <n v="2"/>
    <n v="9000"/>
    <n v="18000"/>
    <n v="12780"/>
    <n v="5220"/>
    <n v="0.28999999999999998"/>
  </r>
  <r>
    <s v="ORD0262"/>
    <x v="485"/>
    <x v="11"/>
    <x v="1"/>
    <x v="14"/>
    <x v="3"/>
    <x v="2"/>
    <x v="8"/>
    <x v="7"/>
    <x v="1"/>
    <n v="1"/>
    <n v="55000"/>
    <n v="55000"/>
    <n v="36850"/>
    <n v="18150"/>
    <n v="0.33"/>
  </r>
  <r>
    <s v="ORD0038"/>
    <x v="486"/>
    <x v="11"/>
    <x v="1"/>
    <x v="15"/>
    <x v="3"/>
    <x v="1"/>
    <x v="4"/>
    <x v="0"/>
    <x v="1"/>
    <n v="6"/>
    <n v="7000"/>
    <n v="42000"/>
    <n v="33600"/>
    <n v="8400"/>
    <n v="0.2"/>
  </r>
  <r>
    <s v="ORD0275"/>
    <x v="486"/>
    <x v="11"/>
    <x v="1"/>
    <x v="7"/>
    <x v="3"/>
    <x v="1"/>
    <x v="5"/>
    <x v="4"/>
    <x v="0"/>
    <n v="2"/>
    <n v="9000"/>
    <n v="18000"/>
    <n v="12420"/>
    <n v="5580"/>
    <n v="0.31"/>
  </r>
  <r>
    <s v="ORD0382"/>
    <x v="486"/>
    <x v="11"/>
    <x v="1"/>
    <x v="4"/>
    <x v="0"/>
    <x v="0"/>
    <x v="3"/>
    <x v="1"/>
    <x v="0"/>
    <n v="7"/>
    <n v="700"/>
    <n v="4900"/>
    <n v="3577"/>
    <n v="1323"/>
    <n v="0.27"/>
  </r>
  <r>
    <s v="ORD0514"/>
    <x v="486"/>
    <x v="11"/>
    <x v="1"/>
    <x v="9"/>
    <x v="2"/>
    <x v="3"/>
    <x v="5"/>
    <x v="3"/>
    <x v="1"/>
    <n v="2"/>
    <n v="9000"/>
    <n v="18000"/>
    <n v="14400"/>
    <n v="3600"/>
    <n v="0.2"/>
  </r>
  <r>
    <s v="ORD0083"/>
    <x v="487"/>
    <x v="11"/>
    <x v="1"/>
    <x v="2"/>
    <x v="1"/>
    <x v="1"/>
    <x v="7"/>
    <x v="1"/>
    <x v="1"/>
    <n v="16"/>
    <n v="8000"/>
    <n v="128000"/>
    <n v="104960"/>
    <n v="23040"/>
    <n v="0.18"/>
  </r>
  <r>
    <s v="ORD0117"/>
    <x v="487"/>
    <x v="11"/>
    <x v="1"/>
    <x v="10"/>
    <x v="3"/>
    <x v="1"/>
    <x v="0"/>
    <x v="2"/>
    <x v="1"/>
    <n v="18"/>
    <n v="50"/>
    <n v="900"/>
    <n v="711"/>
    <n v="189"/>
    <n v="0.21"/>
  </r>
  <r>
    <s v="ORD0129"/>
    <x v="488"/>
    <x v="11"/>
    <x v="1"/>
    <x v="11"/>
    <x v="1"/>
    <x v="4"/>
    <x v="0"/>
    <x v="3"/>
    <x v="1"/>
    <n v="17"/>
    <n v="700"/>
    <n v="11900"/>
    <n v="9758"/>
    <n v="2142"/>
    <n v="0.18"/>
  </r>
  <r>
    <s v="ORD0365"/>
    <x v="488"/>
    <x v="11"/>
    <x v="1"/>
    <x v="15"/>
    <x v="3"/>
    <x v="4"/>
    <x v="8"/>
    <x v="4"/>
    <x v="1"/>
    <n v="15"/>
    <n v="8000"/>
    <n v="120000"/>
    <n v="88800"/>
    <n v="31200"/>
    <n v="0.26"/>
  </r>
  <r>
    <s v="ORD0290"/>
    <x v="489"/>
    <x v="11"/>
    <x v="1"/>
    <x v="4"/>
    <x v="0"/>
    <x v="3"/>
    <x v="8"/>
    <x v="5"/>
    <x v="1"/>
    <n v="2"/>
    <n v="1200"/>
    <n v="2400"/>
    <n v="1872"/>
    <n v="528"/>
    <n v="0.22"/>
  </r>
  <r>
    <s v="ORD0466"/>
    <x v="489"/>
    <x v="11"/>
    <x v="1"/>
    <x v="6"/>
    <x v="2"/>
    <x v="0"/>
    <x v="7"/>
    <x v="1"/>
    <x v="1"/>
    <n v="7"/>
    <n v="1200"/>
    <n v="8400"/>
    <n v="6972"/>
    <n v="1428"/>
    <n v="0.17"/>
  </r>
  <r>
    <s v="ORD0518"/>
    <x v="490"/>
    <x v="11"/>
    <x v="1"/>
    <x v="15"/>
    <x v="3"/>
    <x v="3"/>
    <x v="7"/>
    <x v="4"/>
    <x v="0"/>
    <n v="19"/>
    <n v="1200"/>
    <n v="22800"/>
    <n v="20520"/>
    <n v="2280"/>
    <n v="0.1"/>
  </r>
  <r>
    <s v="ORD0192"/>
    <x v="491"/>
    <x v="11"/>
    <x v="1"/>
    <x v="2"/>
    <x v="1"/>
    <x v="0"/>
    <x v="7"/>
    <x v="7"/>
    <x v="0"/>
    <n v="9"/>
    <n v="12000"/>
    <n v="108000"/>
    <n v="69120"/>
    <n v="38880"/>
    <n v="0.36"/>
  </r>
  <r>
    <s v="ORD0273"/>
    <x v="491"/>
    <x v="11"/>
    <x v="1"/>
    <x v="1"/>
    <x v="0"/>
    <x v="3"/>
    <x v="9"/>
    <x v="1"/>
    <x v="0"/>
    <n v="1"/>
    <n v="15000"/>
    <n v="15000"/>
    <n v="9000"/>
    <n v="6000"/>
    <n v="0.4"/>
  </r>
  <r>
    <s v="ORD0276"/>
    <x v="491"/>
    <x v="11"/>
    <x v="1"/>
    <x v="6"/>
    <x v="2"/>
    <x v="2"/>
    <x v="5"/>
    <x v="7"/>
    <x v="0"/>
    <n v="18"/>
    <n v="300"/>
    <n v="5400"/>
    <n v="4050"/>
    <n v="1350"/>
    <n v="0.25"/>
  </r>
  <r>
    <s v="ORD0074"/>
    <x v="492"/>
    <x v="11"/>
    <x v="1"/>
    <x v="6"/>
    <x v="2"/>
    <x v="2"/>
    <x v="6"/>
    <x v="5"/>
    <x v="1"/>
    <n v="17"/>
    <n v="20"/>
    <n v="340"/>
    <n v="244.8"/>
    <n v="95.199999999999989"/>
    <n v="0.27999999999999997"/>
  </r>
  <r>
    <s v="ORD0293"/>
    <x v="492"/>
    <x v="11"/>
    <x v="1"/>
    <x v="2"/>
    <x v="1"/>
    <x v="1"/>
    <x v="9"/>
    <x v="6"/>
    <x v="0"/>
    <n v="8"/>
    <n v="7000"/>
    <n v="56000"/>
    <n v="49280"/>
    <n v="6720"/>
    <n v="0.12"/>
  </r>
  <r>
    <s v="ORD0504"/>
    <x v="492"/>
    <x v="11"/>
    <x v="1"/>
    <x v="0"/>
    <x v="0"/>
    <x v="3"/>
    <x v="4"/>
    <x v="6"/>
    <x v="1"/>
    <n v="17"/>
    <n v="3500"/>
    <n v="59500"/>
    <n v="47600"/>
    <n v="11900"/>
    <n v="0.2"/>
  </r>
  <r>
    <s v="ORD0142"/>
    <x v="493"/>
    <x v="11"/>
    <x v="1"/>
    <x v="13"/>
    <x v="3"/>
    <x v="3"/>
    <x v="0"/>
    <x v="5"/>
    <x v="1"/>
    <n v="8"/>
    <n v="150"/>
    <n v="1200"/>
    <n v="1020"/>
    <n v="180"/>
    <n v="0.15"/>
  </r>
  <r>
    <s v="ORD0315"/>
    <x v="493"/>
    <x v="11"/>
    <x v="1"/>
    <x v="3"/>
    <x v="1"/>
    <x v="3"/>
    <x v="7"/>
    <x v="3"/>
    <x v="1"/>
    <n v="9"/>
    <n v="1200"/>
    <n v="10800"/>
    <n v="9504"/>
    <n v="1296"/>
    <n v="0.12"/>
  </r>
  <r>
    <s v="ORD0409"/>
    <x v="493"/>
    <x v="11"/>
    <x v="1"/>
    <x v="7"/>
    <x v="3"/>
    <x v="1"/>
    <x v="3"/>
    <x v="3"/>
    <x v="0"/>
    <n v="13"/>
    <n v="8000"/>
    <n v="104000"/>
    <n v="76960"/>
    <n v="27040"/>
    <n v="0.26"/>
  </r>
  <r>
    <s v="ORD0198"/>
    <x v="494"/>
    <x v="11"/>
    <x v="1"/>
    <x v="15"/>
    <x v="3"/>
    <x v="4"/>
    <x v="8"/>
    <x v="0"/>
    <x v="0"/>
    <n v="10"/>
    <n v="45000"/>
    <n v="450000"/>
    <n v="324000"/>
    <n v="126000"/>
    <n v="0.28000000000000003"/>
  </r>
  <r>
    <s v="ORD0457"/>
    <x v="494"/>
    <x v="11"/>
    <x v="1"/>
    <x v="6"/>
    <x v="2"/>
    <x v="2"/>
    <x v="9"/>
    <x v="0"/>
    <x v="1"/>
    <n v="14"/>
    <n v="4000"/>
    <n v="56000"/>
    <n v="49840"/>
    <n v="6160"/>
    <n v="0.11"/>
  </r>
  <r>
    <s v="ORD0370"/>
    <x v="495"/>
    <x v="11"/>
    <x v="1"/>
    <x v="3"/>
    <x v="1"/>
    <x v="2"/>
    <x v="0"/>
    <x v="4"/>
    <x v="1"/>
    <n v="19"/>
    <n v="300"/>
    <n v="5700"/>
    <n v="3648"/>
    <n v="2052"/>
    <n v="0.36"/>
  </r>
  <r>
    <s v="ORD0079"/>
    <x v="496"/>
    <x v="4"/>
    <x v="1"/>
    <x v="2"/>
    <x v="1"/>
    <x v="0"/>
    <x v="7"/>
    <x v="5"/>
    <x v="0"/>
    <n v="20"/>
    <n v="50"/>
    <n v="1000"/>
    <n v="670"/>
    <n v="330"/>
    <n v="0.33"/>
  </r>
  <r>
    <s v="ORD0154"/>
    <x v="496"/>
    <x v="4"/>
    <x v="1"/>
    <x v="11"/>
    <x v="1"/>
    <x v="4"/>
    <x v="5"/>
    <x v="3"/>
    <x v="1"/>
    <n v="4"/>
    <n v="12000"/>
    <n v="48000"/>
    <n v="30240"/>
    <n v="17760"/>
    <n v="0.37"/>
  </r>
  <r>
    <s v="ORD0424"/>
    <x v="496"/>
    <x v="4"/>
    <x v="1"/>
    <x v="15"/>
    <x v="3"/>
    <x v="1"/>
    <x v="5"/>
    <x v="2"/>
    <x v="1"/>
    <n v="11"/>
    <n v="700"/>
    <n v="7700"/>
    <n v="5082"/>
    <n v="2618"/>
    <n v="0.34"/>
  </r>
  <r>
    <s v="ORD0092"/>
    <x v="497"/>
    <x v="4"/>
    <x v="1"/>
    <x v="0"/>
    <x v="0"/>
    <x v="0"/>
    <x v="3"/>
    <x v="2"/>
    <x v="0"/>
    <n v="2"/>
    <n v="55000"/>
    <n v="110000"/>
    <n v="74800"/>
    <n v="35200"/>
    <n v="0.32"/>
  </r>
  <r>
    <s v="ORD0016"/>
    <x v="498"/>
    <x v="4"/>
    <x v="1"/>
    <x v="1"/>
    <x v="0"/>
    <x v="0"/>
    <x v="8"/>
    <x v="4"/>
    <x v="0"/>
    <n v="16"/>
    <n v="3500"/>
    <n v="56000"/>
    <n v="48720"/>
    <n v="7280"/>
    <n v="0.13"/>
  </r>
  <r>
    <s v="ORD0066"/>
    <x v="498"/>
    <x v="4"/>
    <x v="1"/>
    <x v="1"/>
    <x v="0"/>
    <x v="1"/>
    <x v="0"/>
    <x v="3"/>
    <x v="1"/>
    <n v="12"/>
    <n v="50"/>
    <n v="600"/>
    <n v="498"/>
    <n v="102"/>
    <n v="0.17"/>
  </r>
  <r>
    <s v="ORD0172"/>
    <x v="499"/>
    <x v="4"/>
    <x v="1"/>
    <x v="14"/>
    <x v="3"/>
    <x v="0"/>
    <x v="0"/>
    <x v="0"/>
    <x v="1"/>
    <n v="6"/>
    <n v="50"/>
    <n v="300"/>
    <n v="255"/>
    <n v="45"/>
    <n v="0.15"/>
  </r>
  <r>
    <s v="ORD0177"/>
    <x v="499"/>
    <x v="4"/>
    <x v="1"/>
    <x v="10"/>
    <x v="3"/>
    <x v="0"/>
    <x v="4"/>
    <x v="0"/>
    <x v="0"/>
    <n v="6"/>
    <n v="9000"/>
    <n v="54000"/>
    <n v="36180"/>
    <n v="17820"/>
    <n v="0.33"/>
  </r>
  <r>
    <s v="ORD0440"/>
    <x v="499"/>
    <x v="4"/>
    <x v="1"/>
    <x v="14"/>
    <x v="3"/>
    <x v="1"/>
    <x v="5"/>
    <x v="0"/>
    <x v="0"/>
    <n v="9"/>
    <n v="3500"/>
    <n v="31500"/>
    <n v="27720"/>
    <n v="3780"/>
    <n v="0.12"/>
  </r>
  <r>
    <s v="ORD0329"/>
    <x v="500"/>
    <x v="4"/>
    <x v="1"/>
    <x v="2"/>
    <x v="1"/>
    <x v="0"/>
    <x v="6"/>
    <x v="7"/>
    <x v="1"/>
    <n v="15"/>
    <n v="150"/>
    <n v="2250"/>
    <n v="1395"/>
    <n v="855"/>
    <n v="0.38"/>
  </r>
  <r>
    <s v="ORD0300"/>
    <x v="501"/>
    <x v="4"/>
    <x v="1"/>
    <x v="1"/>
    <x v="0"/>
    <x v="1"/>
    <x v="6"/>
    <x v="0"/>
    <x v="1"/>
    <n v="3"/>
    <n v="45000"/>
    <n v="135000"/>
    <n v="93150"/>
    <n v="41850"/>
    <n v="0.31"/>
  </r>
  <r>
    <s v="ORD0063"/>
    <x v="502"/>
    <x v="4"/>
    <x v="1"/>
    <x v="1"/>
    <x v="0"/>
    <x v="4"/>
    <x v="5"/>
    <x v="5"/>
    <x v="0"/>
    <n v="7"/>
    <n v="8000"/>
    <n v="56000"/>
    <n v="38640"/>
    <n v="17360"/>
    <n v="0.31"/>
  </r>
  <r>
    <s v="ORD0285"/>
    <x v="502"/>
    <x v="4"/>
    <x v="1"/>
    <x v="14"/>
    <x v="3"/>
    <x v="0"/>
    <x v="3"/>
    <x v="1"/>
    <x v="0"/>
    <n v="4"/>
    <n v="45000"/>
    <n v="180000"/>
    <n v="113400"/>
    <n v="66600"/>
    <n v="0.37"/>
  </r>
  <r>
    <s v="ORD0138"/>
    <x v="503"/>
    <x v="4"/>
    <x v="1"/>
    <x v="13"/>
    <x v="3"/>
    <x v="2"/>
    <x v="8"/>
    <x v="0"/>
    <x v="1"/>
    <n v="15"/>
    <n v="50"/>
    <n v="750"/>
    <n v="577.5"/>
    <n v="172.5"/>
    <n v="0.23"/>
  </r>
  <r>
    <s v="ORD0243"/>
    <x v="504"/>
    <x v="4"/>
    <x v="1"/>
    <x v="0"/>
    <x v="0"/>
    <x v="3"/>
    <x v="3"/>
    <x v="7"/>
    <x v="1"/>
    <n v="16"/>
    <n v="25000"/>
    <n v="400000"/>
    <n v="360000"/>
    <n v="40000"/>
    <n v="0.1"/>
  </r>
  <r>
    <s v="ORD0165"/>
    <x v="505"/>
    <x v="4"/>
    <x v="1"/>
    <x v="13"/>
    <x v="3"/>
    <x v="0"/>
    <x v="0"/>
    <x v="0"/>
    <x v="0"/>
    <n v="3"/>
    <n v="15000"/>
    <n v="45000"/>
    <n v="32850"/>
    <n v="12150"/>
    <n v="0.27"/>
  </r>
  <r>
    <s v="ORD0147"/>
    <x v="506"/>
    <x v="4"/>
    <x v="1"/>
    <x v="14"/>
    <x v="3"/>
    <x v="4"/>
    <x v="6"/>
    <x v="5"/>
    <x v="1"/>
    <n v="1"/>
    <n v="8000"/>
    <n v="8000"/>
    <n v="5200"/>
    <n v="2800"/>
    <n v="0.35"/>
  </r>
  <r>
    <s v="ORD0258"/>
    <x v="506"/>
    <x v="4"/>
    <x v="1"/>
    <x v="5"/>
    <x v="2"/>
    <x v="3"/>
    <x v="4"/>
    <x v="5"/>
    <x v="0"/>
    <n v="12"/>
    <n v="8000"/>
    <n v="96000"/>
    <n v="74880"/>
    <n v="21120"/>
    <n v="0.22"/>
  </r>
  <r>
    <s v="ORD0463"/>
    <x v="507"/>
    <x v="4"/>
    <x v="1"/>
    <x v="2"/>
    <x v="1"/>
    <x v="4"/>
    <x v="1"/>
    <x v="0"/>
    <x v="0"/>
    <n v="2"/>
    <n v="12000"/>
    <n v="24000"/>
    <n v="21120"/>
    <n v="2880"/>
    <n v="0.12"/>
  </r>
  <r>
    <s v="ORD0486"/>
    <x v="507"/>
    <x v="4"/>
    <x v="1"/>
    <x v="3"/>
    <x v="1"/>
    <x v="2"/>
    <x v="6"/>
    <x v="6"/>
    <x v="1"/>
    <n v="19"/>
    <n v="8000"/>
    <n v="152000"/>
    <n v="120080"/>
    <n v="31920"/>
    <n v="0.21"/>
  </r>
  <r>
    <s v="ORD0004"/>
    <x v="508"/>
    <x v="4"/>
    <x v="1"/>
    <x v="7"/>
    <x v="3"/>
    <x v="0"/>
    <x v="6"/>
    <x v="2"/>
    <x v="0"/>
    <n v="4"/>
    <n v="20"/>
    <n v="80"/>
    <n v="48.8"/>
    <n v="31.200000000000003"/>
    <n v="0.39"/>
  </r>
  <r>
    <s v="ORD0279"/>
    <x v="508"/>
    <x v="4"/>
    <x v="1"/>
    <x v="13"/>
    <x v="3"/>
    <x v="0"/>
    <x v="8"/>
    <x v="5"/>
    <x v="0"/>
    <n v="19"/>
    <n v="300"/>
    <n v="5700"/>
    <n v="4332"/>
    <n v="1368"/>
    <n v="0.24"/>
  </r>
  <r>
    <s v="ORD0388"/>
    <x v="508"/>
    <x v="4"/>
    <x v="1"/>
    <x v="9"/>
    <x v="2"/>
    <x v="1"/>
    <x v="4"/>
    <x v="5"/>
    <x v="1"/>
    <n v="19"/>
    <n v="8000"/>
    <n v="152000"/>
    <n v="132240"/>
    <n v="19760"/>
    <n v="0.13"/>
  </r>
  <r>
    <s v="ORD0095"/>
    <x v="509"/>
    <x v="4"/>
    <x v="1"/>
    <x v="5"/>
    <x v="2"/>
    <x v="4"/>
    <x v="4"/>
    <x v="4"/>
    <x v="0"/>
    <n v="7"/>
    <n v="3500"/>
    <n v="24500"/>
    <n v="15435"/>
    <n v="9065"/>
    <n v="0.37"/>
  </r>
  <r>
    <s v="ORD0123"/>
    <x v="510"/>
    <x v="4"/>
    <x v="1"/>
    <x v="7"/>
    <x v="3"/>
    <x v="2"/>
    <x v="7"/>
    <x v="5"/>
    <x v="1"/>
    <n v="5"/>
    <n v="150"/>
    <n v="750"/>
    <n v="622.5"/>
    <n v="127.5"/>
    <n v="0.17"/>
  </r>
  <r>
    <s v="ORD0203"/>
    <x v="511"/>
    <x v="4"/>
    <x v="1"/>
    <x v="1"/>
    <x v="0"/>
    <x v="1"/>
    <x v="4"/>
    <x v="3"/>
    <x v="0"/>
    <n v="8"/>
    <n v="50"/>
    <n v="400"/>
    <n v="248"/>
    <n v="152"/>
    <n v="0.38"/>
  </r>
  <r>
    <s v="ORD0274"/>
    <x v="511"/>
    <x v="4"/>
    <x v="1"/>
    <x v="15"/>
    <x v="3"/>
    <x v="4"/>
    <x v="5"/>
    <x v="3"/>
    <x v="1"/>
    <n v="1"/>
    <n v="1200"/>
    <n v="1200"/>
    <n v="948"/>
    <n v="252"/>
    <n v="0.21"/>
  </r>
  <r>
    <s v="ORD0175"/>
    <x v="512"/>
    <x v="4"/>
    <x v="1"/>
    <x v="3"/>
    <x v="1"/>
    <x v="4"/>
    <x v="0"/>
    <x v="3"/>
    <x v="1"/>
    <n v="11"/>
    <n v="55000"/>
    <n v="605000"/>
    <n v="544500"/>
    <n v="60500"/>
    <n v="0.1"/>
  </r>
  <r>
    <s v="ORD0058"/>
    <x v="513"/>
    <x v="4"/>
    <x v="1"/>
    <x v="0"/>
    <x v="0"/>
    <x v="1"/>
    <x v="6"/>
    <x v="4"/>
    <x v="0"/>
    <n v="3"/>
    <n v="150"/>
    <n v="450"/>
    <n v="378"/>
    <n v="72"/>
    <n v="0.16"/>
  </r>
  <r>
    <s v="ORD0064"/>
    <x v="513"/>
    <x v="4"/>
    <x v="1"/>
    <x v="8"/>
    <x v="0"/>
    <x v="3"/>
    <x v="5"/>
    <x v="4"/>
    <x v="1"/>
    <n v="14"/>
    <n v="300"/>
    <n v="4200"/>
    <n v="3234"/>
    <n v="966"/>
    <n v="0.23"/>
  </r>
  <r>
    <s v="ORD0150"/>
    <x v="513"/>
    <x v="4"/>
    <x v="1"/>
    <x v="0"/>
    <x v="0"/>
    <x v="4"/>
    <x v="5"/>
    <x v="6"/>
    <x v="0"/>
    <n v="14"/>
    <n v="12000"/>
    <n v="168000"/>
    <n v="115920"/>
    <n v="52080"/>
    <n v="0.31"/>
  </r>
  <r>
    <s v="ORD0294"/>
    <x v="513"/>
    <x v="4"/>
    <x v="1"/>
    <x v="10"/>
    <x v="3"/>
    <x v="1"/>
    <x v="8"/>
    <x v="6"/>
    <x v="0"/>
    <n v="18"/>
    <n v="300"/>
    <n v="5400"/>
    <n v="3888"/>
    <n v="1512"/>
    <n v="0.28000000000000003"/>
  </r>
  <r>
    <s v="ORD0454"/>
    <x v="513"/>
    <x v="4"/>
    <x v="1"/>
    <x v="11"/>
    <x v="1"/>
    <x v="3"/>
    <x v="1"/>
    <x v="6"/>
    <x v="1"/>
    <n v="10"/>
    <n v="3500"/>
    <n v="35000"/>
    <n v="21000"/>
    <n v="14000"/>
    <n v="0.4"/>
  </r>
  <r>
    <s v="ORD0484"/>
    <x v="513"/>
    <x v="4"/>
    <x v="1"/>
    <x v="9"/>
    <x v="2"/>
    <x v="3"/>
    <x v="2"/>
    <x v="6"/>
    <x v="1"/>
    <n v="11"/>
    <n v="1200"/>
    <n v="13200"/>
    <n v="9636"/>
    <n v="3564"/>
    <n v="0.27"/>
  </r>
  <r>
    <s v="ORD0280"/>
    <x v="514"/>
    <x v="4"/>
    <x v="1"/>
    <x v="1"/>
    <x v="0"/>
    <x v="2"/>
    <x v="7"/>
    <x v="2"/>
    <x v="0"/>
    <n v="17"/>
    <n v="12000"/>
    <n v="204000"/>
    <n v="159120"/>
    <n v="44880"/>
    <n v="0.22"/>
  </r>
  <r>
    <s v="ORD0438"/>
    <x v="514"/>
    <x v="4"/>
    <x v="1"/>
    <x v="0"/>
    <x v="0"/>
    <x v="4"/>
    <x v="4"/>
    <x v="4"/>
    <x v="1"/>
    <n v="4"/>
    <n v="45000"/>
    <n v="180000"/>
    <n v="156600"/>
    <n v="23400"/>
    <n v="0.13"/>
  </r>
  <r>
    <s v="ORD0330"/>
    <x v="515"/>
    <x v="4"/>
    <x v="1"/>
    <x v="15"/>
    <x v="3"/>
    <x v="0"/>
    <x v="0"/>
    <x v="4"/>
    <x v="0"/>
    <n v="11"/>
    <n v="1200"/>
    <n v="13200"/>
    <n v="7920"/>
    <n v="5280"/>
    <n v="0.4"/>
  </r>
  <r>
    <s v="ORD0207"/>
    <x v="516"/>
    <x v="4"/>
    <x v="1"/>
    <x v="15"/>
    <x v="3"/>
    <x v="0"/>
    <x v="1"/>
    <x v="2"/>
    <x v="0"/>
    <n v="4"/>
    <n v="25000"/>
    <n v="100000"/>
    <n v="73000"/>
    <n v="27000"/>
    <n v="0.27"/>
  </r>
  <r>
    <s v="ORD0231"/>
    <x v="516"/>
    <x v="4"/>
    <x v="1"/>
    <x v="1"/>
    <x v="0"/>
    <x v="1"/>
    <x v="4"/>
    <x v="2"/>
    <x v="0"/>
    <n v="8"/>
    <n v="25000"/>
    <n v="200000"/>
    <n v="172000"/>
    <n v="28000"/>
    <n v="0.14000000000000001"/>
  </r>
  <r>
    <s v="ORD0469"/>
    <x v="516"/>
    <x v="4"/>
    <x v="1"/>
    <x v="11"/>
    <x v="1"/>
    <x v="2"/>
    <x v="3"/>
    <x v="2"/>
    <x v="0"/>
    <n v="15"/>
    <n v="20"/>
    <n v="300"/>
    <n v="228"/>
    <n v="72"/>
    <n v="0.24"/>
  </r>
  <r>
    <s v="ORD0500"/>
    <x v="516"/>
    <x v="4"/>
    <x v="1"/>
    <x v="5"/>
    <x v="2"/>
    <x v="1"/>
    <x v="2"/>
    <x v="0"/>
    <x v="0"/>
    <n v="5"/>
    <n v="9000"/>
    <n v="45000"/>
    <n v="30150"/>
    <n v="14850"/>
    <n v="0.33"/>
  </r>
  <r>
    <s v="ORD0347"/>
    <x v="517"/>
    <x v="4"/>
    <x v="1"/>
    <x v="6"/>
    <x v="2"/>
    <x v="0"/>
    <x v="4"/>
    <x v="5"/>
    <x v="1"/>
    <n v="4"/>
    <n v="4000"/>
    <n v="16000"/>
    <n v="10240"/>
    <n v="5760"/>
    <n v="0.36"/>
  </r>
  <r>
    <s v="ORD0451"/>
    <x v="517"/>
    <x v="4"/>
    <x v="1"/>
    <x v="0"/>
    <x v="0"/>
    <x v="3"/>
    <x v="7"/>
    <x v="2"/>
    <x v="1"/>
    <n v="13"/>
    <n v="1200"/>
    <n v="15600"/>
    <n v="12324"/>
    <n v="3276"/>
    <n v="0.21"/>
  </r>
  <r>
    <s v="ORD0448"/>
    <x v="518"/>
    <x v="3"/>
    <x v="1"/>
    <x v="0"/>
    <x v="0"/>
    <x v="0"/>
    <x v="3"/>
    <x v="3"/>
    <x v="1"/>
    <n v="17"/>
    <n v="20"/>
    <n v="340"/>
    <n v="241.4"/>
    <n v="98.6"/>
    <n v="0.28999999999999998"/>
  </r>
  <r>
    <s v="ORD0099"/>
    <x v="519"/>
    <x v="3"/>
    <x v="1"/>
    <x v="10"/>
    <x v="3"/>
    <x v="4"/>
    <x v="6"/>
    <x v="7"/>
    <x v="1"/>
    <n v="16"/>
    <n v="15000"/>
    <n v="240000"/>
    <n v="192000"/>
    <n v="48000"/>
    <n v="0.2"/>
  </r>
  <r>
    <s v="ORD0234"/>
    <x v="519"/>
    <x v="3"/>
    <x v="1"/>
    <x v="4"/>
    <x v="0"/>
    <x v="0"/>
    <x v="5"/>
    <x v="6"/>
    <x v="0"/>
    <n v="15"/>
    <n v="9000"/>
    <n v="135000"/>
    <n v="106650"/>
    <n v="28350"/>
    <n v="0.21"/>
  </r>
  <r>
    <s v="ORD0342"/>
    <x v="519"/>
    <x v="3"/>
    <x v="1"/>
    <x v="12"/>
    <x v="1"/>
    <x v="4"/>
    <x v="4"/>
    <x v="2"/>
    <x v="1"/>
    <n v="17"/>
    <n v="50"/>
    <n v="850"/>
    <n v="629"/>
    <n v="221"/>
    <n v="0.26"/>
  </r>
  <r>
    <s v="ORD0169"/>
    <x v="520"/>
    <x v="3"/>
    <x v="1"/>
    <x v="0"/>
    <x v="0"/>
    <x v="0"/>
    <x v="2"/>
    <x v="5"/>
    <x v="1"/>
    <n v="3"/>
    <n v="4000"/>
    <n v="12000"/>
    <n v="8760"/>
    <n v="3240"/>
    <n v="0.27"/>
  </r>
  <r>
    <s v="ORD0185"/>
    <x v="520"/>
    <x v="3"/>
    <x v="1"/>
    <x v="14"/>
    <x v="3"/>
    <x v="1"/>
    <x v="0"/>
    <x v="1"/>
    <x v="1"/>
    <n v="9"/>
    <n v="1200"/>
    <n v="10800"/>
    <n v="8208"/>
    <n v="2592"/>
    <n v="0.24"/>
  </r>
  <r>
    <s v="ORD0201"/>
    <x v="520"/>
    <x v="3"/>
    <x v="1"/>
    <x v="9"/>
    <x v="2"/>
    <x v="3"/>
    <x v="4"/>
    <x v="7"/>
    <x v="1"/>
    <n v="2"/>
    <n v="9000"/>
    <n v="18000"/>
    <n v="10980"/>
    <n v="7020"/>
    <n v="0.39"/>
  </r>
  <r>
    <s v="ORD0239"/>
    <x v="520"/>
    <x v="3"/>
    <x v="1"/>
    <x v="7"/>
    <x v="3"/>
    <x v="2"/>
    <x v="5"/>
    <x v="2"/>
    <x v="1"/>
    <n v="11"/>
    <n v="12000"/>
    <n v="132000"/>
    <n v="110880"/>
    <n v="21120"/>
    <n v="0.16"/>
  </r>
  <r>
    <s v="ORD0402"/>
    <x v="520"/>
    <x v="3"/>
    <x v="1"/>
    <x v="3"/>
    <x v="1"/>
    <x v="2"/>
    <x v="5"/>
    <x v="3"/>
    <x v="0"/>
    <n v="5"/>
    <n v="4000"/>
    <n v="20000"/>
    <n v="13200"/>
    <n v="6800"/>
    <n v="0.34"/>
  </r>
  <r>
    <s v="ORD0487"/>
    <x v="520"/>
    <x v="3"/>
    <x v="1"/>
    <x v="5"/>
    <x v="2"/>
    <x v="3"/>
    <x v="9"/>
    <x v="7"/>
    <x v="0"/>
    <n v="13"/>
    <n v="55000"/>
    <n v="715000"/>
    <n v="457600"/>
    <n v="257400"/>
    <n v="0.36"/>
  </r>
  <r>
    <s v="ORD0132"/>
    <x v="521"/>
    <x v="3"/>
    <x v="1"/>
    <x v="1"/>
    <x v="0"/>
    <x v="2"/>
    <x v="6"/>
    <x v="1"/>
    <x v="0"/>
    <n v="5"/>
    <n v="300"/>
    <n v="1500"/>
    <n v="1065"/>
    <n v="435"/>
    <n v="0.28999999999999998"/>
  </r>
  <r>
    <s v="ORD0272"/>
    <x v="521"/>
    <x v="3"/>
    <x v="1"/>
    <x v="8"/>
    <x v="0"/>
    <x v="3"/>
    <x v="3"/>
    <x v="5"/>
    <x v="1"/>
    <n v="20"/>
    <n v="3500"/>
    <n v="70000"/>
    <n v="51100"/>
    <n v="18900"/>
    <n v="0.27"/>
  </r>
  <r>
    <s v="ORD0512"/>
    <x v="521"/>
    <x v="3"/>
    <x v="1"/>
    <x v="7"/>
    <x v="3"/>
    <x v="4"/>
    <x v="8"/>
    <x v="5"/>
    <x v="1"/>
    <n v="3"/>
    <n v="9000"/>
    <n v="27000"/>
    <n v="21870"/>
    <n v="5130"/>
    <n v="0.19"/>
  </r>
  <r>
    <s v="ORD0439"/>
    <x v="522"/>
    <x v="3"/>
    <x v="1"/>
    <x v="3"/>
    <x v="1"/>
    <x v="4"/>
    <x v="1"/>
    <x v="6"/>
    <x v="0"/>
    <n v="14"/>
    <n v="9000"/>
    <n v="126000"/>
    <n v="88200"/>
    <n v="37800"/>
    <n v="0.3"/>
  </r>
  <r>
    <s v="ORD0062"/>
    <x v="523"/>
    <x v="3"/>
    <x v="1"/>
    <x v="5"/>
    <x v="2"/>
    <x v="1"/>
    <x v="2"/>
    <x v="1"/>
    <x v="1"/>
    <n v="20"/>
    <n v="7000"/>
    <n v="140000"/>
    <n v="119000"/>
    <n v="21000"/>
    <n v="0.15"/>
  </r>
  <r>
    <s v="ORD0400"/>
    <x v="524"/>
    <x v="3"/>
    <x v="1"/>
    <x v="8"/>
    <x v="0"/>
    <x v="1"/>
    <x v="0"/>
    <x v="1"/>
    <x v="0"/>
    <n v="3"/>
    <n v="700"/>
    <n v="2100"/>
    <n v="1344"/>
    <n v="756"/>
    <n v="0.36"/>
  </r>
  <r>
    <s v="ORD0489"/>
    <x v="524"/>
    <x v="3"/>
    <x v="1"/>
    <x v="3"/>
    <x v="1"/>
    <x v="4"/>
    <x v="2"/>
    <x v="5"/>
    <x v="1"/>
    <n v="13"/>
    <n v="25000"/>
    <n v="325000"/>
    <n v="243750"/>
    <n v="81250"/>
    <n v="0.25"/>
  </r>
  <r>
    <s v="ORD0081"/>
    <x v="525"/>
    <x v="3"/>
    <x v="1"/>
    <x v="9"/>
    <x v="2"/>
    <x v="1"/>
    <x v="7"/>
    <x v="2"/>
    <x v="0"/>
    <n v="11"/>
    <n v="50"/>
    <n v="550"/>
    <n v="401.5"/>
    <n v="148.5"/>
    <n v="0.27"/>
  </r>
  <r>
    <s v="ORD0146"/>
    <x v="525"/>
    <x v="3"/>
    <x v="1"/>
    <x v="5"/>
    <x v="2"/>
    <x v="2"/>
    <x v="2"/>
    <x v="4"/>
    <x v="1"/>
    <n v="17"/>
    <n v="150"/>
    <n v="2550"/>
    <n v="2269.5"/>
    <n v="280.5"/>
    <n v="0.11"/>
  </r>
  <r>
    <s v="ORD0149"/>
    <x v="525"/>
    <x v="3"/>
    <x v="1"/>
    <x v="7"/>
    <x v="3"/>
    <x v="0"/>
    <x v="5"/>
    <x v="5"/>
    <x v="0"/>
    <n v="18"/>
    <n v="4000"/>
    <n v="72000"/>
    <n v="53280"/>
    <n v="18720"/>
    <n v="0.26"/>
  </r>
  <r>
    <s v="ORD0333"/>
    <x v="526"/>
    <x v="3"/>
    <x v="1"/>
    <x v="9"/>
    <x v="2"/>
    <x v="0"/>
    <x v="2"/>
    <x v="1"/>
    <x v="1"/>
    <n v="5"/>
    <n v="150"/>
    <n v="750"/>
    <n v="600"/>
    <n v="150"/>
    <n v="0.2"/>
  </r>
  <r>
    <s v="ORD0339"/>
    <x v="526"/>
    <x v="3"/>
    <x v="1"/>
    <x v="13"/>
    <x v="3"/>
    <x v="0"/>
    <x v="9"/>
    <x v="2"/>
    <x v="0"/>
    <n v="17"/>
    <n v="12000"/>
    <n v="204000"/>
    <n v="183600"/>
    <n v="20400"/>
    <n v="0.1"/>
  </r>
  <r>
    <s v="ORD0326"/>
    <x v="527"/>
    <x v="3"/>
    <x v="1"/>
    <x v="11"/>
    <x v="1"/>
    <x v="2"/>
    <x v="9"/>
    <x v="7"/>
    <x v="1"/>
    <n v="5"/>
    <n v="50"/>
    <n v="250"/>
    <n v="187.5"/>
    <n v="62.5"/>
    <n v="0.25"/>
  </r>
  <r>
    <s v="ORD0419"/>
    <x v="527"/>
    <x v="3"/>
    <x v="1"/>
    <x v="7"/>
    <x v="3"/>
    <x v="2"/>
    <x v="3"/>
    <x v="5"/>
    <x v="0"/>
    <n v="19"/>
    <n v="7000"/>
    <n v="133000"/>
    <n v="107730"/>
    <n v="25270"/>
    <n v="0.19"/>
  </r>
  <r>
    <s v="ORD0431"/>
    <x v="527"/>
    <x v="3"/>
    <x v="1"/>
    <x v="2"/>
    <x v="1"/>
    <x v="0"/>
    <x v="4"/>
    <x v="3"/>
    <x v="1"/>
    <n v="4"/>
    <n v="1200"/>
    <n v="4800"/>
    <n v="3168"/>
    <n v="1632"/>
    <n v="0.34"/>
  </r>
  <r>
    <s v="ORD0028"/>
    <x v="528"/>
    <x v="3"/>
    <x v="1"/>
    <x v="11"/>
    <x v="1"/>
    <x v="2"/>
    <x v="5"/>
    <x v="7"/>
    <x v="1"/>
    <n v="4"/>
    <n v="1200"/>
    <n v="4800"/>
    <n v="3264"/>
    <n v="1536"/>
    <n v="0.32"/>
  </r>
  <r>
    <s v="ORD0106"/>
    <x v="528"/>
    <x v="3"/>
    <x v="1"/>
    <x v="7"/>
    <x v="3"/>
    <x v="0"/>
    <x v="5"/>
    <x v="5"/>
    <x v="1"/>
    <n v="14"/>
    <n v="300"/>
    <n v="4200"/>
    <n v="3612"/>
    <n v="588"/>
    <n v="0.14000000000000001"/>
  </r>
  <r>
    <s v="ORD0077"/>
    <x v="529"/>
    <x v="3"/>
    <x v="1"/>
    <x v="15"/>
    <x v="3"/>
    <x v="4"/>
    <x v="5"/>
    <x v="0"/>
    <x v="1"/>
    <n v="9"/>
    <n v="7000"/>
    <n v="63000"/>
    <n v="39060"/>
    <n v="23940"/>
    <n v="0.38"/>
  </r>
  <r>
    <s v="ORD0270"/>
    <x v="529"/>
    <x v="3"/>
    <x v="1"/>
    <x v="13"/>
    <x v="3"/>
    <x v="4"/>
    <x v="0"/>
    <x v="5"/>
    <x v="0"/>
    <n v="7"/>
    <n v="15000"/>
    <n v="105000"/>
    <n v="65100"/>
    <n v="39900"/>
    <n v="0.38"/>
  </r>
  <r>
    <s v="ORD0313"/>
    <x v="529"/>
    <x v="3"/>
    <x v="1"/>
    <x v="1"/>
    <x v="0"/>
    <x v="2"/>
    <x v="4"/>
    <x v="3"/>
    <x v="0"/>
    <n v="17"/>
    <n v="20"/>
    <n v="340"/>
    <n v="272"/>
    <n v="68"/>
    <n v="0.2"/>
  </r>
  <r>
    <s v="ORD0358"/>
    <x v="529"/>
    <x v="3"/>
    <x v="1"/>
    <x v="5"/>
    <x v="2"/>
    <x v="2"/>
    <x v="0"/>
    <x v="1"/>
    <x v="0"/>
    <n v="7"/>
    <n v="150"/>
    <n v="1050"/>
    <n v="903"/>
    <n v="147"/>
    <n v="0.14000000000000001"/>
  </r>
  <r>
    <s v="ORD0145"/>
    <x v="530"/>
    <x v="3"/>
    <x v="1"/>
    <x v="12"/>
    <x v="1"/>
    <x v="1"/>
    <x v="9"/>
    <x v="6"/>
    <x v="1"/>
    <n v="4"/>
    <n v="150"/>
    <n v="600"/>
    <n v="432"/>
    <n v="168"/>
    <n v="0.28000000000000003"/>
  </r>
  <r>
    <s v="ORD0128"/>
    <x v="531"/>
    <x v="3"/>
    <x v="1"/>
    <x v="3"/>
    <x v="1"/>
    <x v="0"/>
    <x v="6"/>
    <x v="0"/>
    <x v="1"/>
    <n v="19"/>
    <n v="55000"/>
    <n v="1045000"/>
    <n v="836000"/>
    <n v="209000"/>
    <n v="0.2"/>
  </r>
  <r>
    <s v="ORD0256"/>
    <x v="531"/>
    <x v="3"/>
    <x v="1"/>
    <x v="15"/>
    <x v="3"/>
    <x v="1"/>
    <x v="2"/>
    <x v="7"/>
    <x v="1"/>
    <n v="7"/>
    <n v="25000"/>
    <n v="175000"/>
    <n v="127750"/>
    <n v="47250"/>
    <n v="0.27"/>
  </r>
  <r>
    <s v="ORD0053"/>
    <x v="532"/>
    <x v="3"/>
    <x v="1"/>
    <x v="4"/>
    <x v="0"/>
    <x v="0"/>
    <x v="1"/>
    <x v="4"/>
    <x v="1"/>
    <n v="8"/>
    <n v="9000"/>
    <n v="72000"/>
    <n v="54720"/>
    <n v="17280"/>
    <n v="0.24"/>
  </r>
  <r>
    <s v="ORD0252"/>
    <x v="533"/>
    <x v="3"/>
    <x v="1"/>
    <x v="7"/>
    <x v="3"/>
    <x v="1"/>
    <x v="2"/>
    <x v="4"/>
    <x v="0"/>
    <n v="4"/>
    <n v="7000"/>
    <n v="28000"/>
    <n v="21280"/>
    <n v="6720"/>
    <n v="0.24"/>
  </r>
  <r>
    <s v="ORD0507"/>
    <x v="533"/>
    <x v="3"/>
    <x v="1"/>
    <x v="4"/>
    <x v="0"/>
    <x v="2"/>
    <x v="4"/>
    <x v="4"/>
    <x v="0"/>
    <n v="19"/>
    <n v="3500"/>
    <n v="66500"/>
    <n v="53865"/>
    <n v="12635"/>
    <n v="0.19"/>
  </r>
  <r>
    <s v="ORD0266"/>
    <x v="534"/>
    <x v="3"/>
    <x v="1"/>
    <x v="7"/>
    <x v="3"/>
    <x v="2"/>
    <x v="5"/>
    <x v="6"/>
    <x v="0"/>
    <n v="7"/>
    <n v="55000"/>
    <n v="385000"/>
    <n v="308000"/>
    <n v="77000"/>
    <n v="0.2"/>
  </r>
  <r>
    <s v="ORD0161"/>
    <x v="535"/>
    <x v="3"/>
    <x v="1"/>
    <x v="11"/>
    <x v="1"/>
    <x v="0"/>
    <x v="7"/>
    <x v="6"/>
    <x v="1"/>
    <n v="20"/>
    <n v="15000"/>
    <n v="300000"/>
    <n v="207000"/>
    <n v="93000"/>
    <n v="0.31"/>
  </r>
  <r>
    <s v="ORD0162"/>
    <x v="536"/>
    <x v="3"/>
    <x v="1"/>
    <x v="4"/>
    <x v="0"/>
    <x v="1"/>
    <x v="4"/>
    <x v="4"/>
    <x v="0"/>
    <n v="18"/>
    <n v="12000"/>
    <n v="216000"/>
    <n v="129600"/>
    <n v="86400"/>
    <n v="0.4"/>
  </r>
  <r>
    <s v="ORD0187"/>
    <x v="536"/>
    <x v="3"/>
    <x v="1"/>
    <x v="7"/>
    <x v="3"/>
    <x v="1"/>
    <x v="2"/>
    <x v="1"/>
    <x v="1"/>
    <n v="10"/>
    <n v="8000"/>
    <n v="80000"/>
    <n v="64000"/>
    <n v="16000"/>
    <n v="0.2"/>
  </r>
  <r>
    <s v="ORD0199"/>
    <x v="536"/>
    <x v="3"/>
    <x v="1"/>
    <x v="12"/>
    <x v="1"/>
    <x v="0"/>
    <x v="7"/>
    <x v="6"/>
    <x v="0"/>
    <n v="11"/>
    <n v="55000"/>
    <n v="605000"/>
    <n v="477950"/>
    <n v="127050"/>
    <n v="0.21"/>
  </r>
  <r>
    <s v="ORD0471"/>
    <x v="537"/>
    <x v="3"/>
    <x v="1"/>
    <x v="4"/>
    <x v="0"/>
    <x v="2"/>
    <x v="0"/>
    <x v="1"/>
    <x v="0"/>
    <n v="13"/>
    <n v="12000"/>
    <n v="156000"/>
    <n v="95160"/>
    <n v="60840"/>
    <n v="0.39"/>
  </r>
  <r>
    <s v="ORD0525"/>
    <x v="537"/>
    <x v="3"/>
    <x v="1"/>
    <x v="7"/>
    <x v="3"/>
    <x v="1"/>
    <x v="9"/>
    <x v="3"/>
    <x v="0"/>
    <n v="11"/>
    <n v="15000"/>
    <n v="165000"/>
    <n v="120450"/>
    <n v="44550"/>
    <n v="0.27"/>
  </r>
  <r>
    <s v="ORD0190"/>
    <x v="538"/>
    <x v="3"/>
    <x v="1"/>
    <x v="1"/>
    <x v="0"/>
    <x v="4"/>
    <x v="2"/>
    <x v="5"/>
    <x v="1"/>
    <n v="5"/>
    <n v="8000"/>
    <n v="40000"/>
    <n v="30400"/>
    <n v="9600"/>
    <n v="0.24"/>
  </r>
  <r>
    <s v="ORD0496"/>
    <x v="539"/>
    <x v="3"/>
    <x v="1"/>
    <x v="13"/>
    <x v="3"/>
    <x v="2"/>
    <x v="2"/>
    <x v="7"/>
    <x v="0"/>
    <n v="9"/>
    <n v="7000"/>
    <n v="63000"/>
    <n v="49140"/>
    <n v="13860"/>
    <n v="0.22"/>
  </r>
  <r>
    <s v="ORD0073"/>
    <x v="540"/>
    <x v="3"/>
    <x v="1"/>
    <x v="1"/>
    <x v="0"/>
    <x v="0"/>
    <x v="2"/>
    <x v="2"/>
    <x v="0"/>
    <n v="3"/>
    <n v="300"/>
    <n v="900"/>
    <n v="693"/>
    <n v="207"/>
    <n v="0.23"/>
  </r>
  <r>
    <s v="ORD0251"/>
    <x v="540"/>
    <x v="3"/>
    <x v="1"/>
    <x v="9"/>
    <x v="2"/>
    <x v="2"/>
    <x v="4"/>
    <x v="6"/>
    <x v="1"/>
    <n v="16"/>
    <n v="150"/>
    <n v="2400"/>
    <n v="2088"/>
    <n v="312"/>
    <n v="0.13"/>
  </r>
  <r>
    <s v="ORD0373"/>
    <x v="541"/>
    <x v="3"/>
    <x v="1"/>
    <x v="14"/>
    <x v="3"/>
    <x v="4"/>
    <x v="4"/>
    <x v="1"/>
    <x v="0"/>
    <n v="14"/>
    <n v="700"/>
    <n v="9800"/>
    <n v="6860"/>
    <n v="2940"/>
    <n v="0.3"/>
  </r>
  <r>
    <s v="ORD0156"/>
    <x v="542"/>
    <x v="3"/>
    <x v="1"/>
    <x v="12"/>
    <x v="1"/>
    <x v="3"/>
    <x v="3"/>
    <x v="5"/>
    <x v="0"/>
    <n v="15"/>
    <n v="700"/>
    <n v="10500"/>
    <n v="9450"/>
    <n v="1050"/>
    <n v="0.1"/>
  </r>
  <r>
    <s v="ORD0325"/>
    <x v="542"/>
    <x v="3"/>
    <x v="1"/>
    <x v="12"/>
    <x v="1"/>
    <x v="4"/>
    <x v="4"/>
    <x v="0"/>
    <x v="0"/>
    <n v="10"/>
    <n v="50"/>
    <n v="500"/>
    <n v="360"/>
    <n v="140"/>
    <n v="0.28000000000000003"/>
  </r>
  <r>
    <m/>
    <x v="543"/>
    <x v="12"/>
    <x v="2"/>
    <x v="16"/>
    <x v="4"/>
    <x v="5"/>
    <x v="10"/>
    <x v="8"/>
    <x v="2"/>
    <m/>
    <m/>
    <m/>
    <m/>
    <m/>
    <m/>
  </r>
  <r>
    <m/>
    <x v="543"/>
    <x v="12"/>
    <x v="2"/>
    <x v="16"/>
    <x v="4"/>
    <x v="5"/>
    <x v="10"/>
    <x v="8"/>
    <x v="2"/>
    <m/>
    <m/>
    <m/>
    <m/>
    <m/>
    <m/>
  </r>
  <r>
    <m/>
    <x v="543"/>
    <x v="12"/>
    <x v="2"/>
    <x v="16"/>
    <x v="4"/>
    <x v="5"/>
    <x v="10"/>
    <x v="8"/>
    <x v="2"/>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FBC8F6-AB15-482E-ABA2-6753835DD7BB}" name="Months" cacheId="131" applyNumberFormats="0" applyBorderFormats="0" applyFontFormats="0" applyPatternFormats="0" applyAlignmentFormats="0" applyWidthHeightFormats="1" dataCaption="Values" grandTotalCaption="Total" updatedVersion="7" minRefreshableVersion="3" useAutoFormatting="1" itemPrintTitles="1" createdVersion="7" indent="0" outline="1" outlineData="1" multipleFieldFilters="0" rowHeaderCaption="Months">
  <location ref="M13:N27" firstHeaderRow="1" firstDataRow="1" firstDataCol="1"/>
  <pivotFields count="16">
    <pivotField showAll="0"/>
    <pivotField showAll="0">
      <items count="5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t="default"/>
      </items>
    </pivotField>
    <pivotField axis="axisRow" showAll="0">
      <items count="14">
        <item x="7"/>
        <item x="10"/>
        <item x="8"/>
        <item x="6"/>
        <item x="0"/>
        <item x="1"/>
        <item x="5"/>
        <item x="2"/>
        <item x="9"/>
        <item x="11"/>
        <item x="4"/>
        <item x="3"/>
        <item x="12"/>
        <item t="default"/>
      </items>
    </pivotField>
    <pivotField showAll="0">
      <items count="4">
        <item x="1"/>
        <item x="0"/>
        <item x="2"/>
        <item t="default"/>
      </items>
    </pivotField>
    <pivotField showAll="0"/>
    <pivotField showAll="0"/>
    <pivotField showAll="0"/>
    <pivotField showAll="0">
      <items count="12">
        <item x="5"/>
        <item x="1"/>
        <item x="9"/>
        <item x="2"/>
        <item x="6"/>
        <item x="4"/>
        <item x="3"/>
        <item x="0"/>
        <item x="8"/>
        <item x="7"/>
        <item x="10"/>
        <item t="default"/>
      </items>
    </pivotField>
    <pivotField showAll="0"/>
    <pivotField showAll="0"/>
    <pivotField showAll="0"/>
    <pivotField showAll="0"/>
    <pivotField dataField="1" showAll="0"/>
    <pivotField showAll="0"/>
    <pivotField showAll="0"/>
    <pivotField showAll="0"/>
  </pivotFields>
  <rowFields count="1">
    <field x="2"/>
  </rowFields>
  <rowItems count="14">
    <i>
      <x/>
    </i>
    <i>
      <x v="1"/>
    </i>
    <i>
      <x v="2"/>
    </i>
    <i>
      <x v="3"/>
    </i>
    <i>
      <x v="4"/>
    </i>
    <i>
      <x v="5"/>
    </i>
    <i>
      <x v="6"/>
    </i>
    <i>
      <x v="7"/>
    </i>
    <i>
      <x v="8"/>
    </i>
    <i>
      <x v="9"/>
    </i>
    <i>
      <x v="10"/>
    </i>
    <i>
      <x v="11"/>
    </i>
    <i>
      <x v="12"/>
    </i>
    <i t="grand">
      <x/>
    </i>
  </rowItems>
  <colItems count="1">
    <i/>
  </colItems>
  <dataFields count="1">
    <dataField name="Sum of Sales Amount" fld="12" baseField="0" baseItem="0"/>
  </dataFields>
  <formats count="11">
    <format dxfId="11">
      <pivotArea outline="0" collapsedLevelsAreSubtotals="1" fieldPosition="0"/>
    </format>
    <format dxfId="12">
      <pivotArea type="all" dataOnly="0" outline="0" fieldPosition="0"/>
    </format>
    <format dxfId="13">
      <pivotArea outline="0" collapsedLevelsAreSubtotals="1" fieldPosition="0"/>
    </format>
    <format dxfId="14">
      <pivotArea field="3" type="button" dataOnly="0" labelOnly="1" outline="0"/>
    </format>
    <format dxfId="15">
      <pivotArea dataOnly="0" labelOnly="1" grandRow="1" outline="0" fieldPosition="0"/>
    </format>
    <format dxfId="16">
      <pivotArea dataOnly="0" labelOnly="1" outline="0" axis="axisValues" fieldPosition="0"/>
    </format>
    <format dxfId="17">
      <pivotArea type="all" dataOnly="0" outline="0" fieldPosition="0"/>
    </format>
    <format dxfId="18">
      <pivotArea outline="0" collapsedLevelsAreSubtotals="1" fieldPosition="0"/>
    </format>
    <format dxfId="19">
      <pivotArea field="3" type="button" dataOnly="0" labelOnly="1" outline="0"/>
    </format>
    <format dxfId="20">
      <pivotArea dataOnly="0" labelOnly="1" grandRow="1" outline="0" fieldPosition="0"/>
    </format>
    <format dxfId="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3E1C82-8CEA-4041-9CA3-4E2C9A509EB6}" name="year" cacheId="131" applyNumberFormats="0" applyBorderFormats="0" applyFontFormats="0" applyPatternFormats="0" applyAlignmentFormats="0" applyWidthHeightFormats="1" dataCaption="Values" grandTotalCaption="Total" updatedVersion="7" minRefreshableVersion="3" useAutoFormatting="1" itemPrintTitles="1" createdVersion="7" indent="0" outline="1" outlineData="1" multipleFieldFilters="0" rowHeaderCaption="Years">
  <location ref="I3:J7" firstHeaderRow="1" firstDataRow="1" firstDataCol="1"/>
  <pivotFields count="16">
    <pivotField showAll="0"/>
    <pivotField showAll="0"/>
    <pivotField showAll="0">
      <items count="14">
        <item x="7"/>
        <item x="10"/>
        <item x="8"/>
        <item x="6"/>
        <item x="0"/>
        <item x="1"/>
        <item x="5"/>
        <item x="2"/>
        <item x="9"/>
        <item x="11"/>
        <item x="4"/>
        <item x="3"/>
        <item x="12"/>
        <item t="default"/>
      </items>
    </pivotField>
    <pivotField axis="axisRow" showAll="0">
      <items count="4">
        <item x="1"/>
        <item x="0"/>
        <item x="2"/>
        <item t="default"/>
      </items>
    </pivotField>
    <pivotField showAll="0"/>
    <pivotField showAll="0"/>
    <pivotField showAll="0"/>
    <pivotField showAll="0">
      <items count="12">
        <item x="5"/>
        <item x="1"/>
        <item x="9"/>
        <item x="2"/>
        <item x="6"/>
        <item x="4"/>
        <item x="3"/>
        <item x="0"/>
        <item x="8"/>
        <item x="7"/>
        <item x="10"/>
        <item t="default"/>
      </items>
    </pivotField>
    <pivotField showAll="0"/>
    <pivotField showAll="0"/>
    <pivotField showAll="0"/>
    <pivotField showAll="0"/>
    <pivotField dataField="1" showAll="0"/>
    <pivotField showAll="0"/>
    <pivotField showAll="0"/>
    <pivotField showAll="0"/>
  </pivotFields>
  <rowFields count="1">
    <field x="3"/>
  </rowFields>
  <rowItems count="4">
    <i>
      <x/>
    </i>
    <i>
      <x v="1"/>
    </i>
    <i>
      <x v="2"/>
    </i>
    <i t="grand">
      <x/>
    </i>
  </rowItems>
  <colItems count="1">
    <i/>
  </colItems>
  <dataFields count="1">
    <dataField name="Total Sales" fld="12" baseField="0" baseItem="0"/>
  </dataFields>
  <formats count="13">
    <format dxfId="22">
      <pivotArea outline="0" collapsedLevelsAreSubtotals="1" fieldPosition="0"/>
    </format>
    <format dxfId="23">
      <pivotArea type="all" dataOnly="0" outline="0" fieldPosition="0"/>
    </format>
    <format dxfId="24">
      <pivotArea outline="0" collapsedLevelsAreSubtotals="1" fieldPosition="0"/>
    </format>
    <format dxfId="25">
      <pivotArea field="3" type="button" dataOnly="0" labelOnly="1" outline="0" axis="axisRow" fieldPosition="0"/>
    </format>
    <format dxfId="26">
      <pivotArea dataOnly="0" labelOnly="1" fieldPosition="0">
        <references count="1">
          <reference field="3" count="0"/>
        </references>
      </pivotArea>
    </format>
    <format dxfId="27">
      <pivotArea dataOnly="0" labelOnly="1" grandRow="1" outline="0" fieldPosition="0"/>
    </format>
    <format dxfId="28">
      <pivotArea dataOnly="0" labelOnly="1" outline="0" axis="axisValues" fieldPosition="0"/>
    </format>
    <format dxfId="29">
      <pivotArea type="all" dataOnly="0" outline="0" fieldPosition="0"/>
    </format>
    <format dxfId="30">
      <pivotArea outline="0" collapsedLevelsAreSubtotals="1" fieldPosition="0"/>
    </format>
    <format dxfId="31">
      <pivotArea field="3" type="button" dataOnly="0" labelOnly="1" outline="0" axis="axisRow" fieldPosition="0"/>
    </format>
    <format dxfId="32">
      <pivotArea dataOnly="0" labelOnly="1" fieldPosition="0">
        <references count="1">
          <reference field="3" count="0"/>
        </references>
      </pivotArea>
    </format>
    <format dxfId="33">
      <pivotArea dataOnly="0" labelOnly="1" grandRow="1" outline="0" fieldPosition="0"/>
    </format>
    <format dxfId="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434B10-EAEF-4763-A910-0E9E5F44FE15}" name="PivotTable11" cacheId="131" applyNumberFormats="0" applyBorderFormats="0" applyFontFormats="0" applyPatternFormats="0" applyAlignmentFormats="0" applyWidthHeightFormats="1" dataCaption="Values" grandTotalCaption="Total" updatedVersion="7" minRefreshableVersion="3" useAutoFormatting="1" itemPrintTitles="1" createdVersion="7" indent="0" outline="1" outlineData="1" multipleFieldFilters="0" chartFormat="3" rowHeaderCaption="Category">
  <location ref="P3:Q6" firstHeaderRow="1" firstDataRow="1" firstDataCol="1"/>
  <pivotFields count="16">
    <pivotField showAll="0"/>
    <pivotField showAll="0"/>
    <pivotField showAll="0">
      <items count="14">
        <item x="7"/>
        <item x="10"/>
        <item x="8"/>
        <item x="6"/>
        <item x="0"/>
        <item x="1"/>
        <item x="5"/>
        <item x="2"/>
        <item x="9"/>
        <item x="11"/>
        <item x="4"/>
        <item x="3"/>
        <item x="12"/>
        <item t="default"/>
      </items>
    </pivotField>
    <pivotField showAll="0">
      <items count="4">
        <item x="0"/>
        <item x="1"/>
        <item x="2"/>
        <item t="default"/>
      </items>
    </pivotField>
    <pivotField showAll="0"/>
    <pivotField showAll="0">
      <items count="6">
        <item x="2"/>
        <item x="3"/>
        <item x="1"/>
        <item x="0"/>
        <item h="1" x="4"/>
        <item t="default"/>
      </items>
    </pivotField>
    <pivotField showAll="0"/>
    <pivotField showAll="0">
      <items count="12">
        <item x="5"/>
        <item x="1"/>
        <item x="9"/>
        <item x="2"/>
        <item x="6"/>
        <item x="4"/>
        <item x="3"/>
        <item x="0"/>
        <item x="8"/>
        <item x="7"/>
        <item x="10"/>
        <item t="default"/>
      </items>
    </pivotField>
    <pivotField showAll="0"/>
    <pivotField axis="axisRow" showAll="0">
      <items count="4">
        <item x="1"/>
        <item x="0"/>
        <item h="1" x="2"/>
        <item t="default"/>
      </items>
    </pivotField>
    <pivotField showAll="0"/>
    <pivotField showAll="0"/>
    <pivotField dataField="1" showAll="0"/>
    <pivotField showAll="0"/>
    <pivotField showAll="0"/>
    <pivotField showAll="0"/>
  </pivotFields>
  <rowFields count="1">
    <field x="9"/>
  </rowFields>
  <rowItems count="3">
    <i>
      <x/>
    </i>
    <i>
      <x v="1"/>
    </i>
    <i t="grand">
      <x/>
    </i>
  </rowItems>
  <colItems count="1">
    <i/>
  </colItems>
  <dataFields count="1">
    <dataField name="Total Sales" fld="12" baseField="0" baseItem="0"/>
  </dataFields>
  <formats count="11">
    <format dxfId="45">
      <pivotArea outline="0" collapsedLevelsAreSubtotals="1" fieldPosition="0"/>
    </format>
    <format dxfId="46">
      <pivotArea type="all" dataOnly="0" outline="0" fieldPosition="0"/>
    </format>
    <format dxfId="47">
      <pivotArea outline="0" collapsedLevelsAreSubtotals="1" fieldPosition="0"/>
    </format>
    <format dxfId="48">
      <pivotArea field="5" type="button" dataOnly="0" labelOnly="1" outline="0"/>
    </format>
    <format dxfId="49">
      <pivotArea dataOnly="0" labelOnly="1" grandRow="1" outline="0" fieldPosition="0"/>
    </format>
    <format dxfId="50">
      <pivotArea dataOnly="0" labelOnly="1" outline="0" axis="axisValues" fieldPosition="0"/>
    </format>
    <format dxfId="51">
      <pivotArea type="all" dataOnly="0" outline="0" fieldPosition="0"/>
    </format>
    <format dxfId="52">
      <pivotArea outline="0" collapsedLevelsAreSubtotals="1" fieldPosition="0"/>
    </format>
    <format dxfId="53">
      <pivotArea field="5" type="button" dataOnly="0" labelOnly="1" outline="0"/>
    </format>
    <format dxfId="54">
      <pivotArea dataOnly="0" labelOnly="1" grandRow="1" outline="0" fieldPosition="0"/>
    </format>
    <format dxfId="5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DC26EE-8218-4103-BA2C-CED07D1F74C7}" name="PivotTable10" cacheId="131" applyNumberFormats="0" applyBorderFormats="0" applyFontFormats="0" applyPatternFormats="0" applyAlignmentFormats="0" applyWidthHeightFormats="1" dataCaption="Values" grandTotalCaption="Total" updatedVersion="7" minRefreshableVersion="3" useAutoFormatting="1" itemPrintTitles="1" createdVersion="7" indent="0" outline="1" outlineData="1" multipleFieldFilters="0" chartFormat="7" rowHeaderCaption="Salesperson">
  <location ref="I13:K22" firstHeaderRow="0" firstDataRow="1" firstDataCol="1"/>
  <pivotFields count="16">
    <pivotField showAll="0"/>
    <pivotField showAll="0"/>
    <pivotField showAll="0">
      <items count="14">
        <item x="7"/>
        <item x="10"/>
        <item x="8"/>
        <item x="6"/>
        <item x="0"/>
        <item x="1"/>
        <item x="5"/>
        <item x="2"/>
        <item x="9"/>
        <item x="11"/>
        <item x="4"/>
        <item x="3"/>
        <item x="12"/>
        <item t="default"/>
      </items>
    </pivotField>
    <pivotField showAll="0">
      <items count="4">
        <item x="0"/>
        <item x="1"/>
        <item x="2"/>
        <item t="default"/>
      </items>
    </pivotField>
    <pivotField showAll="0"/>
    <pivotField showAll="0"/>
    <pivotField showAll="0"/>
    <pivotField showAll="0" sortType="descending">
      <items count="12">
        <item x="5"/>
        <item x="1"/>
        <item x="9"/>
        <item x="2"/>
        <item x="6"/>
        <item x="4"/>
        <item x="3"/>
        <item x="0"/>
        <item x="8"/>
        <item x="7"/>
        <item x="10"/>
        <item t="default"/>
      </items>
      <autoSortScope>
        <pivotArea dataOnly="0" outline="0" fieldPosition="0">
          <references count="1">
            <reference field="4294967294" count="1" selected="0">
              <x v="0"/>
            </reference>
          </references>
        </pivotArea>
      </autoSortScope>
    </pivotField>
    <pivotField axis="axisRow" showAll="0" sortType="descending">
      <items count="10">
        <item x="2"/>
        <item x="4"/>
        <item x="1"/>
        <item x="5"/>
        <item x="7"/>
        <item x="3"/>
        <item x="6"/>
        <item h="1" x="8"/>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dataField="1" showAll="0"/>
    <pivotField showAll="0"/>
  </pivotFields>
  <rowFields count="1">
    <field x="8"/>
  </rowFields>
  <rowItems count="9">
    <i>
      <x v="8"/>
    </i>
    <i>
      <x v="6"/>
    </i>
    <i>
      <x v="3"/>
    </i>
    <i>
      <x v="2"/>
    </i>
    <i>
      <x v="5"/>
    </i>
    <i>
      <x/>
    </i>
    <i>
      <x v="1"/>
    </i>
    <i>
      <x v="4"/>
    </i>
    <i t="grand">
      <x/>
    </i>
  </rowItems>
  <colFields count="1">
    <field x="-2"/>
  </colFields>
  <colItems count="2">
    <i>
      <x/>
    </i>
    <i i="1">
      <x v="1"/>
    </i>
  </colItems>
  <dataFields count="2">
    <dataField name="Total Sales" fld="12" baseField="0" baseItem="0"/>
    <dataField name="Total Profit" fld="14" baseField="0" baseItem="0"/>
  </dataFields>
  <formats count="11">
    <format dxfId="0">
      <pivotArea outline="0" collapsedLevelsAreSubtotals="1" fieldPosition="0"/>
    </format>
    <format dxfId="1">
      <pivotArea type="all" dataOnly="0" outline="0" fieldPosition="0"/>
    </format>
    <format dxfId="2">
      <pivotArea outline="0" collapsedLevelsAreSubtotals="1" fieldPosition="0"/>
    </format>
    <format dxfId="3">
      <pivotArea field="7" type="button" dataOnly="0" labelOnly="1" outline="0"/>
    </format>
    <format dxfId="4">
      <pivotArea dataOnly="0" labelOnly="1" grandRow="1" outline="0" fieldPosition="0"/>
    </format>
    <format dxfId="5">
      <pivotArea dataOnly="0" labelOnly="1" outline="0" axis="axisValues" fieldPosition="0"/>
    </format>
    <format dxfId="6">
      <pivotArea type="all" dataOnly="0" outline="0" fieldPosition="0"/>
    </format>
    <format dxfId="7">
      <pivotArea outline="0" collapsedLevelsAreSubtotals="1" fieldPosition="0"/>
    </format>
    <format dxfId="8">
      <pivotArea field="7" type="button" dataOnly="0" labelOnly="1" outline="0"/>
    </format>
    <format dxfId="9">
      <pivotArea dataOnly="0" labelOnly="1" grandRow="1" outline="0" fieldPosition="0"/>
    </format>
    <format dxfId="10">
      <pivotArea dataOnly="0" labelOnly="1" outline="0" axis="axisValues" fieldPosition="0"/>
    </format>
  </formats>
  <chartFormats count="9">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0"/>
          </reference>
          <reference field="8" count="1" selected="0">
            <x v="6"/>
          </reference>
        </references>
      </pivotArea>
    </chartFormat>
    <chartFormat chart="6" format="7">
      <pivotArea type="data" outline="0" fieldPosition="0">
        <references count="2">
          <reference field="4294967294" count="1" selected="0">
            <x v="0"/>
          </reference>
          <reference field="8" count="1" selected="0">
            <x v="2"/>
          </reference>
        </references>
      </pivotArea>
    </chartFormat>
    <chartFormat chart="6" format="8">
      <pivotArea type="data" outline="0" fieldPosition="0">
        <references count="2">
          <reference field="4294967294" count="1" selected="0">
            <x v="0"/>
          </reference>
          <reference field="8" count="1" selected="0">
            <x v="3"/>
          </reference>
        </references>
      </pivotArea>
    </chartFormat>
    <chartFormat chart="6" format="9">
      <pivotArea type="data" outline="0" fieldPosition="0">
        <references count="2">
          <reference field="4294967294" count="1" selected="0">
            <x v="0"/>
          </reference>
          <reference field="8" count="1" selected="0">
            <x v="5"/>
          </reference>
        </references>
      </pivotArea>
    </chartFormat>
    <chartFormat chart="6" format="10">
      <pivotArea type="data" outline="0" fieldPosition="0">
        <references count="2">
          <reference field="4294967294" count="1" selected="0">
            <x v="0"/>
          </reference>
          <reference field="8" count="1" selected="0">
            <x v="0"/>
          </reference>
        </references>
      </pivotArea>
    </chartFormat>
    <chartFormat chart="6" format="11">
      <pivotArea type="data" outline="0" fieldPosition="0">
        <references count="2">
          <reference field="4294967294" count="1" selected="0">
            <x v="0"/>
          </reference>
          <reference field="8" count="1" selected="0">
            <x v="8"/>
          </reference>
        </references>
      </pivotArea>
    </chartFormat>
    <chartFormat chart="6" format="12">
      <pivotArea type="data" outline="0" fieldPosition="0">
        <references count="2">
          <reference field="4294967294" count="1" selected="0">
            <x v="1"/>
          </reference>
          <reference field="8"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4CAE3C-8FAD-4E07-A4A4-6CC19B1BD0F0}" name="PivotTable6" cacheId="131" applyNumberFormats="0" applyBorderFormats="0" applyFontFormats="0" applyPatternFormats="0" applyAlignmentFormats="0" applyWidthHeightFormats="1" dataCaption="Values" grandTotalCaption="Total" updatedVersion="7" minRefreshableVersion="3" useAutoFormatting="1" itemPrintTitles="1" createdVersion="7" indent="0" outline="1" outlineData="1" multipleFieldFilters="0" chartFormat="3" rowHeaderCaption="State">
  <location ref="F13:G25" firstHeaderRow="1" firstDataRow="1" firstDataCol="1"/>
  <pivotFields count="16">
    <pivotField showAll="0"/>
    <pivotField showAll="0"/>
    <pivotField showAll="0">
      <items count="14">
        <item x="7"/>
        <item x="10"/>
        <item x="8"/>
        <item x="6"/>
        <item x="0"/>
        <item x="1"/>
        <item x="5"/>
        <item x="2"/>
        <item x="9"/>
        <item x="11"/>
        <item x="4"/>
        <item x="3"/>
        <item x="12"/>
        <item t="default"/>
      </items>
    </pivotField>
    <pivotField showAll="0">
      <items count="4">
        <item x="0"/>
        <item x="1"/>
        <item x="2"/>
        <item t="default"/>
      </items>
    </pivotField>
    <pivotField showAll="0"/>
    <pivotField showAll="0"/>
    <pivotField showAll="0"/>
    <pivotField axis="axisRow" showAll="0" sortType="descending">
      <items count="12">
        <item x="5"/>
        <item x="1"/>
        <item x="9"/>
        <item x="2"/>
        <item x="6"/>
        <item x="4"/>
        <item x="3"/>
        <item x="0"/>
        <item x="8"/>
        <item x="7"/>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s>
  <rowFields count="1">
    <field x="7"/>
  </rowFields>
  <rowItems count="12">
    <i>
      <x v="7"/>
    </i>
    <i>
      <x v="2"/>
    </i>
    <i>
      <x v="4"/>
    </i>
    <i>
      <x v="3"/>
    </i>
    <i>
      <x v="8"/>
    </i>
    <i>
      <x v="9"/>
    </i>
    <i>
      <x/>
    </i>
    <i>
      <x v="6"/>
    </i>
    <i>
      <x v="5"/>
    </i>
    <i>
      <x v="1"/>
    </i>
    <i>
      <x v="10"/>
    </i>
    <i t="grand">
      <x/>
    </i>
  </rowItems>
  <colItems count="1">
    <i/>
  </colItems>
  <dataFields count="1">
    <dataField name="Total Sales" fld="12" baseField="0" baseItem="0"/>
  </dataFields>
  <formats count="13">
    <format dxfId="104">
      <pivotArea outline="0" collapsedLevelsAreSubtotals="1" fieldPosition="0"/>
    </format>
    <format dxfId="79">
      <pivotArea type="all" dataOnly="0" outline="0" fieldPosition="0"/>
    </format>
    <format dxfId="78">
      <pivotArea outline="0" collapsedLevelsAreSubtotals="1" fieldPosition="0"/>
    </format>
    <format dxfId="77">
      <pivotArea field="7" type="button" dataOnly="0" labelOnly="1" outline="0" axis="axisRow" fieldPosition="0"/>
    </format>
    <format dxfId="76">
      <pivotArea dataOnly="0" labelOnly="1" fieldPosition="0">
        <references count="1">
          <reference field="7" count="0"/>
        </references>
      </pivotArea>
    </format>
    <format dxfId="75">
      <pivotArea dataOnly="0" labelOnly="1" grandRow="1" outline="0" fieldPosition="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field="7" type="button" dataOnly="0" labelOnly="1" outline="0" axis="axisRow" fieldPosition="0"/>
    </format>
    <format dxfId="70">
      <pivotArea dataOnly="0" labelOnly="1" fieldPosition="0">
        <references count="1">
          <reference field="7" count="0"/>
        </references>
      </pivotArea>
    </format>
    <format dxfId="69">
      <pivotArea dataOnly="0" labelOnly="1" grandRow="1" outline="0" fieldPosition="0"/>
    </format>
    <format dxfId="6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2CB78E-23AE-4F95-A16B-85AE59FCCFD0}" name="PivotTable2" cacheId="131" applyNumberFormats="0" applyBorderFormats="0" applyFontFormats="0" applyPatternFormats="0" applyAlignmentFormats="0" applyWidthHeightFormats="1" dataCaption="Values" grandTotalCaption="Total" updatedVersion="7" minRefreshableVersion="3" useAutoFormatting="1" itemPrintTitles="1" createdVersion="7" indent="0" outline="1" outlineData="1" multipleFieldFilters="0" chartFormat="4" rowHeaderCaption="Category">
  <location ref="M3:N8" firstHeaderRow="1" firstDataRow="1" firstDataCol="1"/>
  <pivotFields count="16">
    <pivotField showAll="0"/>
    <pivotField showAll="0"/>
    <pivotField showAll="0">
      <items count="14">
        <item x="7"/>
        <item x="10"/>
        <item x="8"/>
        <item x="6"/>
        <item x="0"/>
        <item x="1"/>
        <item x="5"/>
        <item x="2"/>
        <item x="9"/>
        <item x="11"/>
        <item x="4"/>
        <item x="3"/>
        <item x="12"/>
        <item t="default"/>
      </items>
    </pivotField>
    <pivotField showAll="0">
      <items count="4">
        <item x="0"/>
        <item x="1"/>
        <item x="2"/>
        <item t="default"/>
      </items>
    </pivotField>
    <pivotField showAll="0"/>
    <pivotField axis="axisRow" showAll="0" sortType="descending">
      <items count="6">
        <item x="2"/>
        <item x="3"/>
        <item x="1"/>
        <item x="0"/>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s>
  <rowFields count="1">
    <field x="5"/>
  </rowFields>
  <rowItems count="5">
    <i>
      <x v="1"/>
    </i>
    <i>
      <x v="2"/>
    </i>
    <i>
      <x v="3"/>
    </i>
    <i>
      <x/>
    </i>
    <i t="grand">
      <x/>
    </i>
  </rowItems>
  <colItems count="1">
    <i/>
  </colItems>
  <dataFields count="1">
    <dataField name="Total Sales" fld="12" baseField="0" baseItem="0"/>
  </dataFields>
  <formats count="13">
    <format dxfId="105">
      <pivotArea outline="0" collapsedLevelsAreSubtotals="1" fieldPosition="0"/>
    </format>
    <format dxfId="67">
      <pivotArea type="all" dataOnly="0" outline="0" fieldPosition="0"/>
    </format>
    <format dxfId="66">
      <pivotArea outline="0" collapsedLevelsAreSubtotals="1" fieldPosition="0"/>
    </format>
    <format dxfId="65">
      <pivotArea field="5" type="button" dataOnly="0" labelOnly="1" outline="0" axis="axisRow" fieldPosition="0"/>
    </format>
    <format dxfId="64">
      <pivotArea dataOnly="0" labelOnly="1" fieldPosition="0">
        <references count="1">
          <reference field="5" count="0"/>
        </references>
      </pivotArea>
    </format>
    <format dxfId="63">
      <pivotArea dataOnly="0" labelOnly="1" grandRow="1" outline="0"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5" type="button" dataOnly="0" labelOnly="1" outline="0" axis="axisRow" fieldPosition="0"/>
    </format>
    <format dxfId="58">
      <pivotArea dataOnly="0" labelOnly="1" fieldPosition="0">
        <references count="1">
          <reference field="5" count="0"/>
        </references>
      </pivotArea>
    </format>
    <format dxfId="57">
      <pivotArea dataOnly="0" labelOnly="1" grandRow="1" outline="0" fieldPosition="0"/>
    </format>
    <format dxfId="56">
      <pivotArea dataOnly="0" labelOnly="1" outline="0" axis="axisValues" fieldPosition="0"/>
    </format>
  </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0"/>
          </reference>
          <reference field="5" count="1" selected="0">
            <x v="2"/>
          </reference>
        </references>
      </pivotArea>
    </chartFormat>
    <chartFormat chart="2" format="5">
      <pivotArea type="data" outline="0" fieldPosition="0">
        <references count="2">
          <reference field="4294967294" count="1" selected="0">
            <x v="0"/>
          </reference>
          <reference field="5" count="1" selected="0">
            <x v="3"/>
          </reference>
        </references>
      </pivotArea>
    </chartFormat>
    <chartFormat chart="2" format="6">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23EC75-B443-4122-8836-6AA95314A2F6}" name="PivotTable3" cacheId="1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A8" firstHeaderRow="1" firstDataRow="1" firstDataCol="0"/>
  <pivotFields count="16">
    <pivotField showAll="0"/>
    <pivotField showAll="0"/>
    <pivotField showAll="0">
      <items count="14">
        <item x="7"/>
        <item x="10"/>
        <item x="8"/>
        <item x="6"/>
        <item x="0"/>
        <item x="1"/>
        <item x="5"/>
        <item x="2"/>
        <item x="9"/>
        <item x="11"/>
        <item x="4"/>
        <item x="3"/>
        <item x="12"/>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Total Profit" fld="14" baseField="0" baseItem="0" numFmtId="164"/>
  </dataFields>
  <formats count="1">
    <format dxfId="1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49EC76-60A7-46E9-963B-88048D8FE5D4}" name="PivotTable1" cacheId="1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6">
    <pivotField showAll="0"/>
    <pivotField showAll="0"/>
    <pivotField showAll="0">
      <items count="14">
        <item x="7"/>
        <item x="10"/>
        <item x="8"/>
        <item x="6"/>
        <item x="0"/>
        <item x="1"/>
        <item x="5"/>
        <item x="2"/>
        <item x="9"/>
        <item x="11"/>
        <item x="4"/>
        <item x="3"/>
        <item x="12"/>
        <item t="default"/>
      </items>
    </pivotField>
    <pivotField showAll="0">
      <items count="4">
        <item x="0"/>
        <item x="1"/>
        <item x="2"/>
        <item t="default"/>
      </items>
    </pivotField>
    <pivotField showAll="0"/>
    <pivotField showAll="0"/>
    <pivotField showAll="0"/>
    <pivotField showAll="0">
      <items count="12">
        <item x="5"/>
        <item x="1"/>
        <item x="9"/>
        <item x="2"/>
        <item x="6"/>
        <item x="4"/>
        <item x="3"/>
        <item x="0"/>
        <item x="8"/>
        <item x="7"/>
        <item x="10"/>
        <item t="default"/>
      </items>
    </pivotField>
    <pivotField showAll="0"/>
    <pivotField showAll="0"/>
    <pivotField showAll="0"/>
    <pivotField showAll="0"/>
    <pivotField dataField="1" showAll="0"/>
    <pivotField showAll="0"/>
    <pivotField showAll="0"/>
    <pivotField showAll="0"/>
  </pivotFields>
  <rowItems count="1">
    <i/>
  </rowItems>
  <colItems count="1">
    <i/>
  </colItems>
  <dataFields count="1">
    <dataField name="Total Sales" fld="12" baseField="0" baseItem="0" numFmtId="164"/>
  </dataFields>
  <formats count="1">
    <format dxfId="1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217BC6-904D-45A6-AEE3-F026E74D8E4D}" name="PivotTable7" cacheId="131" applyNumberFormats="0" applyBorderFormats="0" applyFontFormats="0" applyPatternFormats="0" applyAlignmentFormats="0" applyWidthHeightFormats="1" dataCaption="Values" grandTotalCaption="Total" updatedVersion="7" minRefreshableVersion="3" useAutoFormatting="1" itemPrintTitles="1" createdVersion="7" indent="0" outline="1" outlineData="1" multipleFieldFilters="0" chartFormat="3" rowHeaderCaption="Region">
  <location ref="F3:G9" firstHeaderRow="1" firstDataRow="1" firstDataCol="1"/>
  <pivotFields count="16">
    <pivotField showAll="0"/>
    <pivotField showAll="0"/>
    <pivotField showAll="0">
      <items count="14">
        <item x="7"/>
        <item x="10"/>
        <item x="8"/>
        <item x="6"/>
        <item x="0"/>
        <item x="1"/>
        <item x="5"/>
        <item x="2"/>
        <item x="9"/>
        <item x="11"/>
        <item x="4"/>
        <item x="3"/>
        <item x="12"/>
        <item t="default"/>
      </items>
    </pivotField>
    <pivotField showAll="0">
      <items count="4">
        <item x="0"/>
        <item x="1"/>
        <item x="2"/>
        <item t="default"/>
      </items>
    </pivotField>
    <pivotField showAll="0"/>
    <pivotField showAll="0"/>
    <pivotField axis="axisRow" showAll="0">
      <items count="7">
        <item x="4"/>
        <item x="1"/>
        <item x="2"/>
        <item x="3"/>
        <item x="0"/>
        <item h="1" x="5"/>
        <item t="default"/>
      </items>
    </pivotField>
    <pivotField showAll="0">
      <items count="12">
        <item x="5"/>
        <item x="1"/>
        <item x="9"/>
        <item x="2"/>
        <item x="6"/>
        <item x="4"/>
        <item x="3"/>
        <item x="0"/>
        <item x="8"/>
        <item x="7"/>
        <item x="10"/>
        <item t="default"/>
      </items>
    </pivotField>
    <pivotField showAll="0"/>
    <pivotField showAll="0"/>
    <pivotField showAll="0"/>
    <pivotField showAll="0"/>
    <pivotField dataField="1" showAll="0"/>
    <pivotField showAll="0"/>
    <pivotField showAll="0"/>
    <pivotField showAll="0"/>
  </pivotFields>
  <rowFields count="1">
    <field x="6"/>
  </rowFields>
  <rowItems count="6">
    <i>
      <x/>
    </i>
    <i>
      <x v="1"/>
    </i>
    <i>
      <x v="2"/>
    </i>
    <i>
      <x v="3"/>
    </i>
    <i>
      <x v="4"/>
    </i>
    <i t="grand">
      <x/>
    </i>
  </rowItems>
  <colItems count="1">
    <i/>
  </colItems>
  <dataFields count="1">
    <dataField name="Total Sales" fld="12" baseField="0" baseItem="0"/>
  </dataFields>
  <formats count="13">
    <format dxfId="115">
      <pivotArea outline="0" collapsedLevelsAreSubtotals="1" fieldPosition="0"/>
    </format>
    <format dxfId="91">
      <pivotArea type="all" dataOnly="0" outline="0" fieldPosition="0"/>
    </format>
    <format dxfId="90">
      <pivotArea outline="0" collapsedLevelsAreSubtotals="1" fieldPosition="0"/>
    </format>
    <format dxfId="89">
      <pivotArea field="6" type="button" dataOnly="0" labelOnly="1" outline="0" axis="axisRow" fieldPosition="0"/>
    </format>
    <format dxfId="88">
      <pivotArea dataOnly="0" labelOnly="1" fieldPosition="0">
        <references count="1">
          <reference field="6" count="0"/>
        </references>
      </pivotArea>
    </format>
    <format dxfId="87">
      <pivotArea dataOnly="0" labelOnly="1" grandRow="1" outline="0" fieldPosition="0"/>
    </format>
    <format dxfId="86">
      <pivotArea dataOnly="0" labelOnly="1" outline="0" axis="axisValues" fieldPosition="0"/>
    </format>
    <format dxfId="85">
      <pivotArea type="all" dataOnly="0" outline="0" fieldPosition="0"/>
    </format>
    <format dxfId="84">
      <pivotArea outline="0" collapsedLevelsAreSubtotals="1" fieldPosition="0"/>
    </format>
    <format dxfId="83">
      <pivotArea field="6" type="button" dataOnly="0" labelOnly="1" outline="0" axis="axisRow" fieldPosition="0"/>
    </format>
    <format dxfId="82">
      <pivotArea dataOnly="0" labelOnly="1" fieldPosition="0">
        <references count="1">
          <reference field="6" count="0"/>
        </references>
      </pivotArea>
    </format>
    <format dxfId="81">
      <pivotArea dataOnly="0" labelOnly="1" grandRow="1" outline="0" fieldPosition="0"/>
    </format>
    <format dxfId="80">
      <pivotArea dataOnly="0" labelOnly="1" outline="0" axis="axisValues"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6" count="1" selected="0">
            <x v="0"/>
          </reference>
        </references>
      </pivotArea>
    </chartFormat>
    <chartFormat chart="2" format="9">
      <pivotArea type="data" outline="0" fieldPosition="0">
        <references count="2">
          <reference field="4294967294" count="1" selected="0">
            <x v="0"/>
          </reference>
          <reference field="6" count="1" selected="0">
            <x v="1"/>
          </reference>
        </references>
      </pivotArea>
    </chartFormat>
    <chartFormat chart="2" format="10">
      <pivotArea type="data" outline="0" fieldPosition="0">
        <references count="2">
          <reference field="4294967294" count="1" selected="0">
            <x v="0"/>
          </reference>
          <reference field="6" count="1" selected="0">
            <x v="2"/>
          </reference>
        </references>
      </pivotArea>
    </chartFormat>
    <chartFormat chart="2" format="11">
      <pivotArea type="data" outline="0" fieldPosition="0">
        <references count="2">
          <reference field="4294967294" count="1" selected="0">
            <x v="0"/>
          </reference>
          <reference field="6" count="1" selected="0">
            <x v="3"/>
          </reference>
        </references>
      </pivotArea>
    </chartFormat>
    <chartFormat chart="2"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45012C-7082-40D0-8604-605D7F846AF2}" name="PivotTable5" cacheId="1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s">
  <location ref="C3:D20" firstHeaderRow="1" firstDataRow="1" firstDataCol="1"/>
  <pivotFields count="16">
    <pivotField showAll="0"/>
    <pivotField showAll="0"/>
    <pivotField showAll="0">
      <items count="14">
        <item x="7"/>
        <item x="10"/>
        <item x="8"/>
        <item x="6"/>
        <item x="0"/>
        <item x="1"/>
        <item x="5"/>
        <item x="2"/>
        <item x="9"/>
        <item x="11"/>
        <item x="4"/>
        <item x="3"/>
        <item x="12"/>
        <item t="default"/>
      </items>
    </pivotField>
    <pivotField showAll="0">
      <items count="4">
        <item x="0"/>
        <item x="1"/>
        <item x="2"/>
        <item t="default"/>
      </items>
    </pivotField>
    <pivotField axis="axisRow" showAll="0" sortType="descending">
      <items count="18">
        <item x="3"/>
        <item x="12"/>
        <item x="8"/>
        <item x="13"/>
        <item x="14"/>
        <item x="6"/>
        <item x="5"/>
        <item x="15"/>
        <item x="10"/>
        <item x="0"/>
        <item x="4"/>
        <item x="7"/>
        <item x="9"/>
        <item x="11"/>
        <item x="1"/>
        <item x="2"/>
        <item h="1"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s>
  <rowFields count="1">
    <field x="4"/>
  </rowFields>
  <rowItems count="17">
    <i>
      <x v="12"/>
    </i>
    <i>
      <x/>
    </i>
    <i>
      <x v="6"/>
    </i>
    <i>
      <x v="10"/>
    </i>
    <i>
      <x v="3"/>
    </i>
    <i>
      <x v="15"/>
    </i>
    <i>
      <x v="7"/>
    </i>
    <i>
      <x v="14"/>
    </i>
    <i>
      <x v="2"/>
    </i>
    <i>
      <x v="5"/>
    </i>
    <i>
      <x v="4"/>
    </i>
    <i>
      <x v="1"/>
    </i>
    <i>
      <x v="13"/>
    </i>
    <i>
      <x v="11"/>
    </i>
    <i>
      <x v="9"/>
    </i>
    <i>
      <x v="8"/>
    </i>
    <i t="grand">
      <x/>
    </i>
  </rowItems>
  <colItems count="1">
    <i/>
  </colItems>
  <dataFields count="1">
    <dataField name="Total Sales" fld="12" baseField="0" baseItem="0"/>
  </dataFields>
  <formats count="13">
    <format dxfId="116">
      <pivotArea outline="0" collapsedLevelsAreSubtotals="1" fieldPosition="0"/>
    </format>
    <format dxfId="103">
      <pivotArea type="all" dataOnly="0" outline="0" fieldPosition="0"/>
    </format>
    <format dxfId="102">
      <pivotArea outline="0" collapsedLevelsAreSubtotals="1" fieldPosition="0"/>
    </format>
    <format dxfId="101">
      <pivotArea field="4" type="button" dataOnly="0" labelOnly="1" outline="0" axis="axisRow" fieldPosition="0"/>
    </format>
    <format dxfId="100">
      <pivotArea dataOnly="0" labelOnly="1" fieldPosition="0">
        <references count="1">
          <reference field="4" count="0"/>
        </references>
      </pivotArea>
    </format>
    <format dxfId="99">
      <pivotArea dataOnly="0" labelOnly="1" grandRow="1" outline="0"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field="4" type="button" dataOnly="0" labelOnly="1" outline="0" axis="axisRow" fieldPosition="0"/>
    </format>
    <format dxfId="94">
      <pivotArea dataOnly="0" labelOnly="1" fieldPosition="0">
        <references count="1">
          <reference field="4" count="0"/>
        </references>
      </pivotArea>
    </format>
    <format dxfId="93">
      <pivotArea dataOnly="0" labelOnly="1" grandRow="1" outline="0" fieldPosition="0"/>
    </format>
    <format dxfId="9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6576D1E-AD3C-475F-9379-2B29F84AE9EC}" autoFormatId="16" applyNumberFormats="0" applyBorderFormats="0" applyFontFormats="0" applyPatternFormats="0" applyAlignmentFormats="0" applyWidthHeightFormats="0">
  <queryTableRefresh nextId="17">
    <queryTableFields count="16">
      <queryTableField id="1" name="Order ID" tableColumnId="1"/>
      <queryTableField id="2" name="Date" tableColumnId="2"/>
      <queryTableField id="3" name="Month" tableColumnId="3"/>
      <queryTableField id="4" name="Year" tableColumnId="4"/>
      <queryTableField id="5" name="Product Name" tableColumnId="5"/>
      <queryTableField id="6" name="Category" tableColumnId="6"/>
      <queryTableField id="7" name="Region" tableColumnId="7"/>
      <queryTableField id="8" name="State" tableColumnId="8"/>
      <queryTableField id="9" name="Salesperson" tableColumnId="9"/>
      <queryTableField id="10" name="Customer Type" tableColumnId="10"/>
      <queryTableField id="11" name="Quantity" tableColumnId="11"/>
      <queryTableField id="12" name="Unit Price" tableColumnId="12"/>
      <queryTableField id="13" name="Sales Amount" tableColumnId="13"/>
      <queryTableField id="14" name="Cost" tableColumnId="14"/>
      <queryTableField id="15" name="Profit" tableColumnId="15"/>
      <queryTableField id="16" name="Profit %"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9F3C179-A94E-4195-A8F4-6124CD1C0F6C}" sourceName="Year">
  <pivotTables>
    <pivotTable tabId="4" name="year"/>
    <pivotTable tabId="4" name="Months"/>
    <pivotTable tabId="4" name="PivotTable1"/>
    <pivotTable tabId="4" name="PivotTable10"/>
    <pivotTable tabId="4" name="PivotTable11"/>
    <pivotTable tabId="4" name="PivotTable2"/>
    <pivotTable tabId="4" name="PivotTable3"/>
    <pivotTable tabId="4" name="PivotTable5"/>
    <pivotTable tabId="4" name="PivotTable6"/>
    <pivotTable tabId="4" name="PivotTable7"/>
  </pivotTables>
  <data>
    <tabular pivotCacheId="1977228487">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FE3C531-6A4A-4AB3-B429-989FC52E3F82}" sourceName="Month">
  <pivotTables>
    <pivotTable tabId="4" name="Months"/>
    <pivotTable tabId="4" name="PivotTable1"/>
    <pivotTable tabId="4" name="PivotTable10"/>
    <pivotTable tabId="4" name="PivotTable11"/>
    <pivotTable tabId="4" name="PivotTable2"/>
    <pivotTable tabId="4" name="PivotTable3"/>
    <pivotTable tabId="4" name="PivotTable5"/>
    <pivotTable tabId="4" name="PivotTable6"/>
    <pivotTable tabId="4" name="PivotTable7"/>
    <pivotTable tabId="4" name="year"/>
  </pivotTables>
  <data>
    <tabular pivotCacheId="1977228487">
      <items count="13">
        <i x="7" s="1"/>
        <i x="10" s="1"/>
        <i x="8" s="1"/>
        <i x="6" s="1"/>
        <i x="0" s="1"/>
        <i x="1" s="1"/>
        <i x="5" s="1"/>
        <i x="2" s="1"/>
        <i x="9" s="1"/>
        <i x="11" s="1"/>
        <i x="4" s="1"/>
        <i x="3" s="1"/>
        <i x="1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AE14407-7FC6-4C78-AA25-4E5E827D43EA}" sourceName="State">
  <pivotTables>
    <pivotTable tabId="4" name="PivotTable6"/>
    <pivotTable tabId="4" name="Months"/>
    <pivotTable tabId="4" name="PivotTable1"/>
    <pivotTable tabId="4" name="PivotTable10"/>
    <pivotTable tabId="4" name="PivotTable11"/>
    <pivotTable tabId="4" name="PivotTable7"/>
    <pivotTable tabId="4" name="year"/>
  </pivotTables>
  <data>
    <tabular pivotCacheId="1977228487">
      <items count="11">
        <i x="5" s="1"/>
        <i x="1" s="1"/>
        <i x="9" s="1"/>
        <i x="2" s="1"/>
        <i x="6" s="1"/>
        <i x="4" s="1"/>
        <i x="3" s="1"/>
        <i x="0" s="1"/>
        <i x="8" s="1"/>
        <i x="7" s="1"/>
        <i x="1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0784DBC-7CA8-460D-9155-9F65BE35DCBC}" cache="Slicer_Year" caption="Year" columnCount="2" rowHeight="241300"/>
  <slicer name="Month 1" xr10:uid="{C67E57DB-303E-423D-A3FA-C504FD2A84FB}" cache="Slicer_Month" caption="Month" rowHeight="241300"/>
  <slicer name="State" xr10:uid="{910B1C60-CD53-4BBE-A7E3-EC1587EF242C}" cache="Slicer_State" caption="State"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15178F-F844-4799-B550-CC8975024C80}" name="sales2025" displayName="sales2025" ref="A1:P538" totalsRowShown="0" headerRowDxfId="106" headerRowBorderDxfId="107" tableBorderDxfId="108">
  <autoFilter ref="A1:P538" xr:uid="{AB15178F-F844-4799-B550-CC8975024C80}"/>
  <tableColumns count="16">
    <tableColumn id="1" xr3:uid="{A3DCD218-810C-4AC2-85ED-AAA89C1FCE3C}" name="Order ID"/>
    <tableColumn id="2" xr3:uid="{9E59E870-BB77-4469-A110-81C82D23B521}" name="Date"/>
    <tableColumn id="3" xr3:uid="{FCA5C969-286B-4B39-A6F0-83D5384209C9}" name="Month"/>
    <tableColumn id="4" xr3:uid="{6E381FCC-EB8F-4CC7-BFD7-3B4844CBD231}" name="Year"/>
    <tableColumn id="5" xr3:uid="{0D4661D3-B6CE-4410-BA5B-598A904B564F}" name="Product Name"/>
    <tableColumn id="6" xr3:uid="{72FA79C5-16C6-4152-8DB2-A9ADD79B8D45}" name="Category"/>
    <tableColumn id="7" xr3:uid="{53065ACF-2B79-4194-A49E-C2D34A566738}" name="Region"/>
    <tableColumn id="8" xr3:uid="{61A72FDD-1119-4E0A-98FC-0652B21253FF}" name="State"/>
    <tableColumn id="9" xr3:uid="{132E492F-ADE5-4694-B4F0-0278B7586195}" name="Salesperson"/>
    <tableColumn id="10" xr3:uid="{7488571C-51E4-4BED-9169-3D6146D54649}" name="Customer Type"/>
    <tableColumn id="11" xr3:uid="{17A7BDEA-46A8-481B-8DE0-1976FF3CD7AE}" name="Quantity"/>
    <tableColumn id="12" xr3:uid="{5BA4D8D2-E741-4557-9169-A6E2943CC273}" name="Unit Price"/>
    <tableColumn id="13" xr3:uid="{F08AEBE8-E32D-4D0B-83A3-1FD999FE1C95}" name="Sales Amount"/>
    <tableColumn id="14" xr3:uid="{10B0E133-EFC6-4EA2-9E29-74C00344D482}" name="Cost"/>
    <tableColumn id="15" xr3:uid="{04577FFB-093A-4A19-8D5F-B19C5C85A6B4}" name="Profit"/>
    <tableColumn id="16" xr3:uid="{547FDAB3-91E2-470C-9BC9-1CB74C0DC866}" name="Profit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7F438C-BD22-40A2-9B52-AC3C4F799C16}" name="sales2026" displayName="sales2026" ref="A1:P538" totalsRowShown="0" headerRowDxfId="109" tableBorderDxfId="112">
  <autoFilter ref="A1:P538" xr:uid="{CB7F438C-BD22-40A2-9B52-AC3C4F799C16}"/>
  <tableColumns count="16">
    <tableColumn id="1" xr3:uid="{B3A16B2A-CA9A-41C7-BC40-42E6FF22DF30}" name="Order ID"/>
    <tableColumn id="2" xr3:uid="{AE970D19-21E3-4DB8-93C3-B5B2A8E9E853}" name="Date" dataDxfId="111"/>
    <tableColumn id="3" xr3:uid="{393B5536-E881-40F0-A61C-821512221270}" name="Month"/>
    <tableColumn id="4" xr3:uid="{47F04E4D-782C-4281-BC9E-16AA228946E2}" name="Year"/>
    <tableColumn id="5" xr3:uid="{3AD05917-A4C9-44EA-BDD1-CB80A6CAAAC3}" name="Product Name"/>
    <tableColumn id="6" xr3:uid="{926E2B50-D8C2-4D88-97F1-BFBF2B5DABB1}" name="Category"/>
    <tableColumn id="7" xr3:uid="{6BE12FA8-400F-4402-9AEF-C4C613877C79}" name="Region"/>
    <tableColumn id="8" xr3:uid="{84F0AB0F-E3EA-46F3-951B-8A9778907966}" name="State"/>
    <tableColumn id="9" xr3:uid="{DC5BE1C9-7834-4611-944A-DF271A2B501D}" name="Salesperson"/>
    <tableColumn id="10" xr3:uid="{DD65B8A0-7E84-494B-84A0-088343617083}" name="Customer Type"/>
    <tableColumn id="11" xr3:uid="{3F2A5865-C2E7-4EFA-BB46-948D04B19F05}" name="Quantity"/>
    <tableColumn id="12" xr3:uid="{7DE59FC5-F14F-4056-97E1-A4C03F4B4738}" name="Unit Price"/>
    <tableColumn id="13" xr3:uid="{B760CCF8-30B0-4AF3-A737-9D4A5F967DA2}" name="Sales Amount" dataDxfId="110"/>
    <tableColumn id="14" xr3:uid="{B501D642-AE55-43AB-A05C-5B3815CF0728}" name="Cost"/>
    <tableColumn id="15" xr3:uid="{AA927D80-BBB2-4B1B-843E-46A77D456B6F}" name="Profit"/>
    <tableColumn id="16" xr3:uid="{7C1DA59E-4E17-43BB-B89B-4AEEFE89294D}" name="Profit %"/>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CB4E64-0650-4E52-8280-1A6585914DA0}" name="Append1" displayName="Append1" ref="A1:P1075" tableType="queryTable" totalsRowShown="0">
  <autoFilter ref="A1:P1075" xr:uid="{A8CB4E64-0650-4E52-8280-1A6585914DA0}"/>
  <sortState xmlns:xlrd2="http://schemas.microsoft.com/office/spreadsheetml/2017/richdata2" ref="A2:P1075">
    <sortCondition ref="B1:B1075"/>
  </sortState>
  <tableColumns count="16">
    <tableColumn id="1" xr3:uid="{F6429263-3705-4F5A-A7F1-BCA109CB4F7A}" uniqueName="1" name="Order ID" queryTableFieldId="1" dataDxfId="44"/>
    <tableColumn id="2" xr3:uid="{6BFB2EC2-0B50-4BAC-BA39-1E4757DE8761}" uniqueName="2" name="Date" queryTableFieldId="2" dataDxfId="43"/>
    <tableColumn id="3" xr3:uid="{EAFD6DB6-DAF7-4147-972C-1B114E72E713}" uniqueName="3" name="Month" queryTableFieldId="3" dataDxfId="42"/>
    <tableColumn id="4" xr3:uid="{FA768FD5-EF93-468C-B5E8-460DF05D950A}" uniqueName="4" name="Year" queryTableFieldId="4"/>
    <tableColumn id="5" xr3:uid="{471F05D5-10FB-46F3-938D-6699709E8F1B}" uniqueName="5" name="Product Name" queryTableFieldId="5" dataDxfId="41"/>
    <tableColumn id="6" xr3:uid="{556E703A-61B7-47B1-87AA-22AC1722E9B5}" uniqueName="6" name="Category" queryTableFieldId="6" dataDxfId="40"/>
    <tableColumn id="7" xr3:uid="{FD11298E-391D-4D26-9978-8BE987F16076}" uniqueName="7" name="Region" queryTableFieldId="7" dataDxfId="39"/>
    <tableColumn id="8" xr3:uid="{BABB4BFA-25DB-42C8-8345-619EB8A74E5D}" uniqueName="8" name="State" queryTableFieldId="8" dataDxfId="38"/>
    <tableColumn id="9" xr3:uid="{0E3C6EAA-37FD-47CC-A91D-A57E3943B079}" uniqueName="9" name="Salesperson" queryTableFieldId="9" dataDxfId="37"/>
    <tableColumn id="10" xr3:uid="{DE3AFE13-3B70-4189-A2F9-9DFD6902257A}" uniqueName="10" name="Customer Type" queryTableFieldId="10" dataDxfId="36"/>
    <tableColumn id="11" xr3:uid="{4D211C58-F229-441B-9190-A0266D72655A}" uniqueName="11" name="Quantity" queryTableFieldId="11"/>
    <tableColumn id="12" xr3:uid="{874EEE85-DADC-419C-A4AD-F788BB5950EB}" uniqueName="12" name="Unit Price" queryTableFieldId="12"/>
    <tableColumn id="13" xr3:uid="{F83878BB-DF76-4A05-984E-052BFD4A2498}" uniqueName="13" name="Sales Amount" queryTableFieldId="13"/>
    <tableColumn id="14" xr3:uid="{4809D58E-B809-43CE-AE2D-8CDB6D2F28A3}" uniqueName="14" name="Cost" queryTableFieldId="14"/>
    <tableColumn id="15" xr3:uid="{1B49255E-6E3E-44F6-AB3F-A55810196668}" uniqueName="15" name="Profit" queryTableFieldId="15"/>
    <tableColumn id="16" xr3:uid="{C05B23BD-FD84-462C-A6E8-C2C6A13E42A3}" uniqueName="16" name="Profit %" queryTableFieldId="16" dataDxfId="35" dataCellStyle="Percen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B4837-D74F-4900-B658-6F05168BC92D}">
  <dimension ref="A1:A32"/>
  <sheetViews>
    <sheetView workbookViewId="0">
      <selection activeCell="A24" sqref="A24"/>
    </sheetView>
  </sheetViews>
  <sheetFormatPr defaultRowHeight="15" x14ac:dyDescent="0.25"/>
  <cols>
    <col min="1" max="1" width="60.28515625" bestFit="1" customWidth="1"/>
  </cols>
  <sheetData>
    <row r="1" spans="1:1" s="1" customFormat="1" x14ac:dyDescent="0.25">
      <c r="A1" s="1" t="s">
        <v>0</v>
      </c>
    </row>
    <row r="2" spans="1:1" x14ac:dyDescent="0.25">
      <c r="A2" t="s">
        <v>1</v>
      </c>
    </row>
    <row r="4" spans="1:1" x14ac:dyDescent="0.25">
      <c r="A4" s="1" t="s">
        <v>2</v>
      </c>
    </row>
    <row r="5" spans="1:1" x14ac:dyDescent="0.25">
      <c r="A5" t="s">
        <v>3</v>
      </c>
    </row>
    <row r="6" spans="1:1" x14ac:dyDescent="0.25">
      <c r="A6" t="s">
        <v>4</v>
      </c>
    </row>
    <row r="7" spans="1:1" x14ac:dyDescent="0.25">
      <c r="A7" t="s">
        <v>5</v>
      </c>
    </row>
    <row r="8" spans="1:1" x14ac:dyDescent="0.25">
      <c r="A8" t="s">
        <v>6</v>
      </c>
    </row>
    <row r="9" spans="1:1" x14ac:dyDescent="0.25">
      <c r="A9" t="s">
        <v>7</v>
      </c>
    </row>
    <row r="11" spans="1:1" s="1" customFormat="1" x14ac:dyDescent="0.25">
      <c r="A11" s="1" t="s">
        <v>8</v>
      </c>
    </row>
    <row r="12" spans="1:1" x14ac:dyDescent="0.25">
      <c r="A12" t="s">
        <v>9</v>
      </c>
    </row>
    <row r="13" spans="1:1" x14ac:dyDescent="0.25">
      <c r="A13" t="s">
        <v>10</v>
      </c>
    </row>
    <row r="14" spans="1:1" x14ac:dyDescent="0.25">
      <c r="A14" t="s">
        <v>11</v>
      </c>
    </row>
    <row r="15" spans="1:1" x14ac:dyDescent="0.25">
      <c r="A15" t="s">
        <v>12</v>
      </c>
    </row>
    <row r="16" spans="1:1" x14ac:dyDescent="0.25">
      <c r="A16" t="s">
        <v>13</v>
      </c>
    </row>
    <row r="17" spans="1:1" x14ac:dyDescent="0.25">
      <c r="A17" t="s">
        <v>14</v>
      </c>
    </row>
    <row r="19" spans="1:1" s="1" customFormat="1" x14ac:dyDescent="0.25">
      <c r="A19" s="1" t="s">
        <v>15</v>
      </c>
    </row>
    <row r="20" spans="1:1" x14ac:dyDescent="0.25">
      <c r="A20" t="s">
        <v>16</v>
      </c>
    </row>
    <row r="21" spans="1:1" x14ac:dyDescent="0.25">
      <c r="A21" t="s">
        <v>17</v>
      </c>
    </row>
    <row r="22" spans="1:1" x14ac:dyDescent="0.25">
      <c r="A22" t="s">
        <v>18</v>
      </c>
    </row>
    <row r="23" spans="1:1" x14ac:dyDescent="0.25">
      <c r="A23" t="s">
        <v>19</v>
      </c>
    </row>
    <row r="24" spans="1:1" x14ac:dyDescent="0.25">
      <c r="A24" t="s">
        <v>20</v>
      </c>
    </row>
    <row r="25" spans="1:1" x14ac:dyDescent="0.25">
      <c r="A25" t="s">
        <v>21</v>
      </c>
    </row>
    <row r="27" spans="1:1" x14ac:dyDescent="0.25">
      <c r="A27" s="1" t="s">
        <v>22</v>
      </c>
    </row>
    <row r="28" spans="1:1" x14ac:dyDescent="0.25">
      <c r="A28" t="s">
        <v>23</v>
      </c>
    </row>
    <row r="29" spans="1:1" x14ac:dyDescent="0.25">
      <c r="A29" t="s">
        <v>24</v>
      </c>
    </row>
    <row r="30" spans="1:1" x14ac:dyDescent="0.25">
      <c r="A30" t="s">
        <v>25</v>
      </c>
    </row>
    <row r="31" spans="1:1" x14ac:dyDescent="0.25">
      <c r="A31" t="s">
        <v>26</v>
      </c>
    </row>
    <row r="32" spans="1:1" x14ac:dyDescent="0.25">
      <c r="A32" t="s">
        <v>27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B07CF-1D78-424F-A3CD-73DD7E6E8E2B}">
  <dimension ref="A1:P538"/>
  <sheetViews>
    <sheetView workbookViewId="0">
      <selection activeCell="D540" sqref="D540"/>
    </sheetView>
  </sheetViews>
  <sheetFormatPr defaultRowHeight="15" x14ac:dyDescent="0.25"/>
  <cols>
    <col min="1" max="1" width="10.5703125" customWidth="1"/>
    <col min="2" max="2" width="10.42578125" bestFit="1" customWidth="1"/>
    <col min="3" max="3" width="9.140625" customWidth="1"/>
    <col min="4" max="4" width="7.140625" customWidth="1"/>
    <col min="5" max="5" width="15.7109375" customWidth="1"/>
    <col min="6" max="6" width="14.5703125" bestFit="1" customWidth="1"/>
    <col min="7" max="7" width="9.28515625" customWidth="1"/>
    <col min="8" max="8" width="12" bestFit="1" customWidth="1"/>
    <col min="9" max="9" width="13.85546875" customWidth="1"/>
    <col min="10" max="10" width="16.42578125" customWidth="1"/>
    <col min="11" max="11" width="10.85546875" customWidth="1"/>
    <col min="12" max="12" width="11.85546875" customWidth="1"/>
    <col min="13" max="13" width="15.28515625" customWidth="1"/>
    <col min="14" max="15" width="9" bestFit="1" customWidth="1"/>
    <col min="16" max="16" width="10.140625" customWidth="1"/>
  </cols>
  <sheetData>
    <row r="1" spans="1:16" ht="15.75" thickBot="1" x14ac:dyDescent="0.3">
      <c r="A1" s="33" t="s">
        <v>28</v>
      </c>
      <c r="B1" s="34" t="s">
        <v>16</v>
      </c>
      <c r="C1" s="34" t="s">
        <v>29</v>
      </c>
      <c r="D1" s="34" t="s">
        <v>30</v>
      </c>
      <c r="E1" s="34" t="s">
        <v>17</v>
      </c>
      <c r="F1" s="34" t="s">
        <v>31</v>
      </c>
      <c r="G1" s="34" t="s">
        <v>18</v>
      </c>
      <c r="H1" s="34" t="s">
        <v>32</v>
      </c>
      <c r="I1" s="34" t="s">
        <v>33</v>
      </c>
      <c r="J1" s="34" t="s">
        <v>34</v>
      </c>
      <c r="K1" s="34" t="s">
        <v>20</v>
      </c>
      <c r="L1" s="34" t="s">
        <v>35</v>
      </c>
      <c r="M1" s="34" t="s">
        <v>19</v>
      </c>
      <c r="N1" s="34" t="s">
        <v>36</v>
      </c>
      <c r="O1" s="34" t="s">
        <v>21</v>
      </c>
      <c r="P1" s="35" t="s">
        <v>37</v>
      </c>
    </row>
    <row r="2" spans="1:16" x14ac:dyDescent="0.25">
      <c r="A2" s="27" t="s">
        <v>43</v>
      </c>
      <c r="B2" s="22">
        <v>45823</v>
      </c>
      <c r="C2" s="22" t="s">
        <v>44</v>
      </c>
      <c r="D2" s="21">
        <v>2025</v>
      </c>
      <c r="E2" s="21" t="s">
        <v>592</v>
      </c>
      <c r="F2" s="21" t="s">
        <v>40</v>
      </c>
      <c r="G2" s="21" t="s">
        <v>608</v>
      </c>
      <c r="H2" s="21" t="s">
        <v>613</v>
      </c>
      <c r="I2" s="21" t="s">
        <v>614</v>
      </c>
      <c r="J2" s="21" t="s">
        <v>615</v>
      </c>
      <c r="K2" s="21">
        <v>10</v>
      </c>
      <c r="L2" s="21">
        <v>3500</v>
      </c>
      <c r="M2" s="21">
        <v>35000</v>
      </c>
      <c r="N2" s="21">
        <v>28700</v>
      </c>
      <c r="O2" s="21">
        <v>6300</v>
      </c>
      <c r="P2" s="30">
        <v>0.18</v>
      </c>
    </row>
    <row r="3" spans="1:16" x14ac:dyDescent="0.25">
      <c r="A3" s="28" t="s">
        <v>45</v>
      </c>
      <c r="B3" s="24">
        <v>45731</v>
      </c>
      <c r="C3" s="24" t="s">
        <v>46</v>
      </c>
      <c r="D3" s="23">
        <v>2025</v>
      </c>
      <c r="E3" s="23" t="s">
        <v>593</v>
      </c>
      <c r="F3" s="23" t="s">
        <v>41</v>
      </c>
      <c r="G3" s="23" t="s">
        <v>608</v>
      </c>
      <c r="H3" s="23" t="s">
        <v>616</v>
      </c>
      <c r="I3" s="23" t="s">
        <v>617</v>
      </c>
      <c r="J3" s="23" t="s">
        <v>618</v>
      </c>
      <c r="K3" s="23">
        <v>7</v>
      </c>
      <c r="L3" s="23">
        <v>15000</v>
      </c>
      <c r="M3" s="23">
        <v>105000</v>
      </c>
      <c r="N3" s="23">
        <v>88200</v>
      </c>
      <c r="O3" s="23">
        <v>16800</v>
      </c>
      <c r="P3" s="31">
        <v>0.16</v>
      </c>
    </row>
    <row r="4" spans="1:16" x14ac:dyDescent="0.25">
      <c r="A4" s="29" t="s">
        <v>47</v>
      </c>
      <c r="B4" s="26">
        <v>45977</v>
      </c>
      <c r="C4" s="26" t="s">
        <v>48</v>
      </c>
      <c r="D4" s="25">
        <v>2025</v>
      </c>
      <c r="E4" s="25" t="s">
        <v>594</v>
      </c>
      <c r="F4" s="25" t="s">
        <v>39</v>
      </c>
      <c r="G4" s="25" t="s">
        <v>609</v>
      </c>
      <c r="H4" s="25" t="s">
        <v>616</v>
      </c>
      <c r="I4" s="25" t="s">
        <v>619</v>
      </c>
      <c r="J4" s="25" t="s">
        <v>618</v>
      </c>
      <c r="K4" s="25">
        <v>4</v>
      </c>
      <c r="L4" s="25">
        <v>20</v>
      </c>
      <c r="M4" s="25">
        <v>80</v>
      </c>
      <c r="N4" s="25">
        <v>48.8</v>
      </c>
      <c r="O4" s="25">
        <v>31.200000000000003</v>
      </c>
      <c r="P4" s="32">
        <v>0.39</v>
      </c>
    </row>
    <row r="5" spans="1:16" x14ac:dyDescent="0.25">
      <c r="A5" s="28" t="s">
        <v>49</v>
      </c>
      <c r="B5" s="24">
        <v>45880</v>
      </c>
      <c r="C5" s="24" t="s">
        <v>50</v>
      </c>
      <c r="D5" s="23">
        <v>2025</v>
      </c>
      <c r="E5" s="23" t="s">
        <v>595</v>
      </c>
      <c r="F5" s="23" t="s">
        <v>39</v>
      </c>
      <c r="G5" s="23" t="s">
        <v>610</v>
      </c>
      <c r="H5" s="23" t="s">
        <v>620</v>
      </c>
      <c r="I5" s="23" t="s">
        <v>619</v>
      </c>
      <c r="J5" s="23" t="s">
        <v>615</v>
      </c>
      <c r="K5" s="23">
        <v>9</v>
      </c>
      <c r="L5" s="23">
        <v>700</v>
      </c>
      <c r="M5" s="23">
        <v>6300</v>
      </c>
      <c r="N5" s="23">
        <v>4347</v>
      </c>
      <c r="O5" s="23">
        <v>1953</v>
      </c>
      <c r="P5" s="31">
        <v>0.31</v>
      </c>
    </row>
    <row r="6" spans="1:16" x14ac:dyDescent="0.25">
      <c r="A6" s="29" t="s">
        <v>51</v>
      </c>
      <c r="B6" s="26">
        <v>45725</v>
      </c>
      <c r="C6" s="26" t="s">
        <v>46</v>
      </c>
      <c r="D6" s="25">
        <v>2025</v>
      </c>
      <c r="E6" s="25" t="s">
        <v>596</v>
      </c>
      <c r="F6" s="25" t="s">
        <v>39</v>
      </c>
      <c r="G6" s="25" t="s">
        <v>608</v>
      </c>
      <c r="H6" s="25" t="s">
        <v>613</v>
      </c>
      <c r="I6" s="25" t="s">
        <v>645</v>
      </c>
      <c r="J6" s="25" t="s">
        <v>615</v>
      </c>
      <c r="K6" s="25">
        <v>9</v>
      </c>
      <c r="L6" s="25">
        <v>1200</v>
      </c>
      <c r="M6" s="25">
        <v>10800</v>
      </c>
      <c r="N6" s="25">
        <v>6480</v>
      </c>
      <c r="O6" s="25">
        <v>4320</v>
      </c>
      <c r="P6" s="32">
        <v>0.4</v>
      </c>
    </row>
    <row r="7" spans="1:16" x14ac:dyDescent="0.25">
      <c r="A7" s="28" t="s">
        <v>52</v>
      </c>
      <c r="B7" s="24">
        <v>45926</v>
      </c>
      <c r="C7" s="24" t="s">
        <v>53</v>
      </c>
      <c r="D7" s="23">
        <v>2025</v>
      </c>
      <c r="E7" s="23" t="s">
        <v>592</v>
      </c>
      <c r="F7" s="23" t="s">
        <v>40</v>
      </c>
      <c r="G7" s="23" t="s">
        <v>608</v>
      </c>
      <c r="H7" s="23" t="s">
        <v>621</v>
      </c>
      <c r="I7" s="23" t="s">
        <v>619</v>
      </c>
      <c r="J7" s="23" t="s">
        <v>615</v>
      </c>
      <c r="K7" s="23">
        <v>11</v>
      </c>
      <c r="L7" s="23">
        <v>300</v>
      </c>
      <c r="M7" s="23">
        <v>3300</v>
      </c>
      <c r="N7" s="23">
        <v>2442</v>
      </c>
      <c r="O7" s="23">
        <v>858</v>
      </c>
      <c r="P7" s="31">
        <v>0.26</v>
      </c>
    </row>
    <row r="8" spans="1:16" x14ac:dyDescent="0.25">
      <c r="A8" s="29" t="s">
        <v>54</v>
      </c>
      <c r="B8" s="26">
        <v>45694</v>
      </c>
      <c r="C8" s="26" t="s">
        <v>55</v>
      </c>
      <c r="D8" s="25">
        <v>2025</v>
      </c>
      <c r="E8" s="25" t="s">
        <v>597</v>
      </c>
      <c r="F8" s="25" t="s">
        <v>41</v>
      </c>
      <c r="G8" s="25" t="s">
        <v>608</v>
      </c>
      <c r="H8" s="25" t="s">
        <v>622</v>
      </c>
      <c r="I8" s="25" t="s">
        <v>623</v>
      </c>
      <c r="J8" s="25" t="s">
        <v>618</v>
      </c>
      <c r="K8" s="25">
        <v>20</v>
      </c>
      <c r="L8" s="25">
        <v>20</v>
      </c>
      <c r="M8" s="25">
        <v>400</v>
      </c>
      <c r="N8" s="25">
        <v>328</v>
      </c>
      <c r="O8" s="25">
        <v>72</v>
      </c>
      <c r="P8" s="32">
        <v>0.18</v>
      </c>
    </row>
    <row r="9" spans="1:16" x14ac:dyDescent="0.25">
      <c r="A9" s="28" t="s">
        <v>56</v>
      </c>
      <c r="B9" s="24">
        <v>45778</v>
      </c>
      <c r="C9" s="24" t="s">
        <v>57</v>
      </c>
      <c r="D9" s="23">
        <v>2025</v>
      </c>
      <c r="E9" s="23" t="s">
        <v>598</v>
      </c>
      <c r="F9" s="23" t="s">
        <v>40</v>
      </c>
      <c r="G9" s="23" t="s">
        <v>608</v>
      </c>
      <c r="H9" s="23" t="s">
        <v>622</v>
      </c>
      <c r="I9" s="23" t="s">
        <v>614</v>
      </c>
      <c r="J9" s="23" t="s">
        <v>618</v>
      </c>
      <c r="K9" s="23">
        <v>12</v>
      </c>
      <c r="L9" s="23">
        <v>8000</v>
      </c>
      <c r="M9" s="23">
        <v>96000</v>
      </c>
      <c r="N9" s="23">
        <v>62400</v>
      </c>
      <c r="O9" s="23">
        <v>33600</v>
      </c>
      <c r="P9" s="31">
        <v>0.35</v>
      </c>
    </row>
    <row r="10" spans="1:16" x14ac:dyDescent="0.25">
      <c r="A10" s="29" t="s">
        <v>58</v>
      </c>
      <c r="B10" s="26">
        <v>45675</v>
      </c>
      <c r="C10" s="26" t="s">
        <v>59</v>
      </c>
      <c r="D10" s="25">
        <v>2025</v>
      </c>
      <c r="E10" s="25" t="s">
        <v>597</v>
      </c>
      <c r="F10" s="25" t="s">
        <v>41</v>
      </c>
      <c r="G10" s="25" t="s">
        <v>611</v>
      </c>
      <c r="H10" s="25" t="s">
        <v>624</v>
      </c>
      <c r="I10" s="25" t="s">
        <v>623</v>
      </c>
      <c r="J10" s="25" t="s">
        <v>615</v>
      </c>
      <c r="K10" s="25">
        <v>3</v>
      </c>
      <c r="L10" s="25">
        <v>25000</v>
      </c>
      <c r="M10" s="25">
        <v>75000</v>
      </c>
      <c r="N10" s="25">
        <v>56250</v>
      </c>
      <c r="O10" s="25">
        <v>18750</v>
      </c>
      <c r="P10" s="32">
        <v>0.25</v>
      </c>
    </row>
    <row r="11" spans="1:16" x14ac:dyDescent="0.25">
      <c r="A11" s="28" t="s">
        <v>60</v>
      </c>
      <c r="B11" s="24">
        <v>45707</v>
      </c>
      <c r="C11" s="24" t="s">
        <v>55</v>
      </c>
      <c r="D11" s="23">
        <v>2025</v>
      </c>
      <c r="E11" s="23" t="s">
        <v>597</v>
      </c>
      <c r="F11" s="23" t="s">
        <v>41</v>
      </c>
      <c r="G11" s="23" t="s">
        <v>611</v>
      </c>
      <c r="H11" s="23" t="s">
        <v>616</v>
      </c>
      <c r="I11" s="23" t="s">
        <v>617</v>
      </c>
      <c r="J11" s="23" t="s">
        <v>618</v>
      </c>
      <c r="K11" s="23">
        <v>13</v>
      </c>
      <c r="L11" s="23">
        <v>55000</v>
      </c>
      <c r="M11" s="23">
        <v>715000</v>
      </c>
      <c r="N11" s="23">
        <v>429000</v>
      </c>
      <c r="O11" s="23">
        <v>286000</v>
      </c>
      <c r="P11" s="31">
        <v>0.4</v>
      </c>
    </row>
    <row r="12" spans="1:16" x14ac:dyDescent="0.25">
      <c r="A12" s="29" t="s">
        <v>61</v>
      </c>
      <c r="B12" s="26">
        <v>45757</v>
      </c>
      <c r="C12" s="26" t="s">
        <v>62</v>
      </c>
      <c r="D12" s="25">
        <v>2025</v>
      </c>
      <c r="E12" s="25" t="s">
        <v>599</v>
      </c>
      <c r="F12" s="25" t="s">
        <v>39</v>
      </c>
      <c r="G12" s="25" t="s">
        <v>609</v>
      </c>
      <c r="H12" s="25" t="s">
        <v>622</v>
      </c>
      <c r="I12" s="25" t="s">
        <v>619</v>
      </c>
      <c r="J12" s="25" t="s">
        <v>615</v>
      </c>
      <c r="K12" s="25">
        <v>6</v>
      </c>
      <c r="L12" s="25">
        <v>8000</v>
      </c>
      <c r="M12" s="25">
        <v>48000</v>
      </c>
      <c r="N12" s="25">
        <v>39360</v>
      </c>
      <c r="O12" s="25">
        <v>8640</v>
      </c>
      <c r="P12" s="32">
        <v>0.18</v>
      </c>
    </row>
    <row r="13" spans="1:16" x14ac:dyDescent="0.25">
      <c r="A13" s="28" t="s">
        <v>63</v>
      </c>
      <c r="B13" s="24">
        <v>45723</v>
      </c>
      <c r="C13" s="24" t="s">
        <v>46</v>
      </c>
      <c r="D13" s="23">
        <v>2025</v>
      </c>
      <c r="E13" s="23" t="s">
        <v>592</v>
      </c>
      <c r="F13" s="23" t="s">
        <v>40</v>
      </c>
      <c r="G13" s="23" t="s">
        <v>610</v>
      </c>
      <c r="H13" s="23" t="s">
        <v>625</v>
      </c>
      <c r="I13" s="23" t="s">
        <v>619</v>
      </c>
      <c r="J13" s="23" t="s">
        <v>615</v>
      </c>
      <c r="K13" s="23">
        <v>9</v>
      </c>
      <c r="L13" s="23">
        <v>8000</v>
      </c>
      <c r="M13" s="23">
        <v>72000</v>
      </c>
      <c r="N13" s="23">
        <v>62640</v>
      </c>
      <c r="O13" s="23">
        <v>9360</v>
      </c>
      <c r="P13" s="31">
        <v>0.13</v>
      </c>
    </row>
    <row r="14" spans="1:16" x14ac:dyDescent="0.25">
      <c r="A14" s="29" t="s">
        <v>64</v>
      </c>
      <c r="B14" s="26">
        <v>45933</v>
      </c>
      <c r="C14" s="26" t="s">
        <v>65</v>
      </c>
      <c r="D14" s="25">
        <v>2025</v>
      </c>
      <c r="E14" s="25" t="s">
        <v>600</v>
      </c>
      <c r="F14" s="25" t="s">
        <v>39</v>
      </c>
      <c r="G14" s="25" t="s">
        <v>610</v>
      </c>
      <c r="H14" s="25" t="s">
        <v>624</v>
      </c>
      <c r="I14" s="25" t="s">
        <v>619</v>
      </c>
      <c r="J14" s="25" t="s">
        <v>618</v>
      </c>
      <c r="K14" s="25">
        <v>12</v>
      </c>
      <c r="L14" s="25">
        <v>45000</v>
      </c>
      <c r="M14" s="25">
        <v>540000</v>
      </c>
      <c r="N14" s="25">
        <v>480600</v>
      </c>
      <c r="O14" s="25">
        <v>59400</v>
      </c>
      <c r="P14" s="32">
        <v>0.11</v>
      </c>
    </row>
    <row r="15" spans="1:16" x14ac:dyDescent="0.25">
      <c r="A15" s="28" t="s">
        <v>66</v>
      </c>
      <c r="B15" s="24">
        <v>45894</v>
      </c>
      <c r="C15" s="24" t="s">
        <v>50</v>
      </c>
      <c r="D15" s="23">
        <v>2025</v>
      </c>
      <c r="E15" s="23" t="s">
        <v>597</v>
      </c>
      <c r="F15" s="23" t="s">
        <v>41</v>
      </c>
      <c r="G15" s="23" t="s">
        <v>611</v>
      </c>
      <c r="H15" s="23" t="s">
        <v>626</v>
      </c>
      <c r="I15" s="23" t="s">
        <v>614</v>
      </c>
      <c r="J15" s="23" t="s">
        <v>618</v>
      </c>
      <c r="K15" s="23">
        <v>4</v>
      </c>
      <c r="L15" s="23">
        <v>700</v>
      </c>
      <c r="M15" s="23">
        <v>2800</v>
      </c>
      <c r="N15" s="23">
        <v>2296</v>
      </c>
      <c r="O15" s="23">
        <v>504</v>
      </c>
      <c r="P15" s="31">
        <v>0.18</v>
      </c>
    </row>
    <row r="16" spans="1:16" x14ac:dyDescent="0.25">
      <c r="A16" s="29" t="s">
        <v>67</v>
      </c>
      <c r="B16" s="26">
        <v>45966</v>
      </c>
      <c r="C16" s="26" t="s">
        <v>48</v>
      </c>
      <c r="D16" s="25">
        <v>2025</v>
      </c>
      <c r="E16" s="25" t="s">
        <v>601</v>
      </c>
      <c r="F16" s="25" t="s">
        <v>41</v>
      </c>
      <c r="G16" s="25" t="s">
        <v>609</v>
      </c>
      <c r="H16" s="25" t="s">
        <v>622</v>
      </c>
      <c r="I16" s="25" t="s">
        <v>627</v>
      </c>
      <c r="J16" s="25" t="s">
        <v>618</v>
      </c>
      <c r="K16" s="25">
        <v>16</v>
      </c>
      <c r="L16" s="25">
        <v>3500</v>
      </c>
      <c r="M16" s="25">
        <v>56000</v>
      </c>
      <c r="N16" s="25">
        <v>48720</v>
      </c>
      <c r="O16" s="25">
        <v>7280</v>
      </c>
      <c r="P16" s="32">
        <v>0.13</v>
      </c>
    </row>
    <row r="17" spans="1:16" x14ac:dyDescent="0.25">
      <c r="A17" s="28" t="s">
        <v>68</v>
      </c>
      <c r="B17" s="24">
        <v>45821</v>
      </c>
      <c r="C17" s="24" t="s">
        <v>44</v>
      </c>
      <c r="D17" s="23">
        <v>2025</v>
      </c>
      <c r="E17" s="23" t="s">
        <v>597</v>
      </c>
      <c r="F17" s="23" t="s">
        <v>41</v>
      </c>
      <c r="G17" s="23" t="s">
        <v>609</v>
      </c>
      <c r="H17" s="23" t="s">
        <v>621</v>
      </c>
      <c r="I17" s="23" t="s">
        <v>627</v>
      </c>
      <c r="J17" s="23" t="s">
        <v>618</v>
      </c>
      <c r="K17" s="23">
        <v>3</v>
      </c>
      <c r="L17" s="23">
        <v>15000</v>
      </c>
      <c r="M17" s="23">
        <v>45000</v>
      </c>
      <c r="N17" s="23">
        <v>40050</v>
      </c>
      <c r="O17" s="23">
        <v>4950</v>
      </c>
      <c r="P17" s="31">
        <v>0.11</v>
      </c>
    </row>
    <row r="18" spans="1:16" x14ac:dyDescent="0.25">
      <c r="A18" s="29" t="s">
        <v>69</v>
      </c>
      <c r="B18" s="26">
        <v>45885</v>
      </c>
      <c r="C18" s="26" t="s">
        <v>50</v>
      </c>
      <c r="D18" s="25">
        <v>2025</v>
      </c>
      <c r="E18" s="25" t="s">
        <v>602</v>
      </c>
      <c r="F18" s="25" t="s">
        <v>42</v>
      </c>
      <c r="G18" s="25" t="s">
        <v>612</v>
      </c>
      <c r="H18" s="25" t="s">
        <v>628</v>
      </c>
      <c r="I18" s="25" t="s">
        <v>627</v>
      </c>
      <c r="J18" s="25" t="s">
        <v>615</v>
      </c>
      <c r="K18" s="25">
        <v>10</v>
      </c>
      <c r="L18" s="25">
        <v>1200</v>
      </c>
      <c r="M18" s="25">
        <v>12000</v>
      </c>
      <c r="N18" s="25">
        <v>7680</v>
      </c>
      <c r="O18" s="25">
        <v>4320</v>
      </c>
      <c r="P18" s="32">
        <v>0.36</v>
      </c>
    </row>
    <row r="19" spans="1:16" x14ac:dyDescent="0.25">
      <c r="A19" s="28" t="s">
        <v>70</v>
      </c>
      <c r="B19" s="24">
        <v>45677</v>
      </c>
      <c r="C19" s="24" t="s">
        <v>59</v>
      </c>
      <c r="D19" s="23">
        <v>2025</v>
      </c>
      <c r="E19" s="23" t="s">
        <v>600</v>
      </c>
      <c r="F19" s="23" t="s">
        <v>39</v>
      </c>
      <c r="G19" s="23" t="s">
        <v>611</v>
      </c>
      <c r="H19" s="23" t="s">
        <v>621</v>
      </c>
      <c r="I19" s="23" t="s">
        <v>614</v>
      </c>
      <c r="J19" s="23" t="s">
        <v>615</v>
      </c>
      <c r="K19" s="23">
        <v>6</v>
      </c>
      <c r="L19" s="23">
        <v>9000</v>
      </c>
      <c r="M19" s="23">
        <v>54000</v>
      </c>
      <c r="N19" s="23">
        <v>33480</v>
      </c>
      <c r="O19" s="23">
        <v>20520</v>
      </c>
      <c r="P19" s="31">
        <v>0.38</v>
      </c>
    </row>
    <row r="20" spans="1:16" x14ac:dyDescent="0.25">
      <c r="A20" s="29" t="s">
        <v>71</v>
      </c>
      <c r="B20" s="26">
        <v>45706</v>
      </c>
      <c r="C20" s="26" t="s">
        <v>55</v>
      </c>
      <c r="D20" s="25">
        <v>2025</v>
      </c>
      <c r="E20" s="25" t="s">
        <v>603</v>
      </c>
      <c r="F20" s="25" t="s">
        <v>42</v>
      </c>
      <c r="G20" s="25" t="s">
        <v>609</v>
      </c>
      <c r="H20" s="25" t="s">
        <v>620</v>
      </c>
      <c r="I20" s="25" t="s">
        <v>617</v>
      </c>
      <c r="J20" s="25" t="s">
        <v>615</v>
      </c>
      <c r="K20" s="25">
        <v>8</v>
      </c>
      <c r="L20" s="25">
        <v>1200</v>
      </c>
      <c r="M20" s="25">
        <v>9600</v>
      </c>
      <c r="N20" s="25">
        <v>7488</v>
      </c>
      <c r="O20" s="25">
        <v>2112</v>
      </c>
      <c r="P20" s="32">
        <v>0.22</v>
      </c>
    </row>
    <row r="21" spans="1:16" x14ac:dyDescent="0.25">
      <c r="A21" s="28" t="s">
        <v>72</v>
      </c>
      <c r="B21" s="24">
        <v>45906</v>
      </c>
      <c r="C21" s="24" t="s">
        <v>53</v>
      </c>
      <c r="D21" s="23">
        <v>2025</v>
      </c>
      <c r="E21" s="23" t="s">
        <v>602</v>
      </c>
      <c r="F21" s="23" t="s">
        <v>42</v>
      </c>
      <c r="G21" s="23" t="s">
        <v>611</v>
      </c>
      <c r="H21" s="23" t="s">
        <v>626</v>
      </c>
      <c r="I21" s="23" t="s">
        <v>619</v>
      </c>
      <c r="J21" s="23" t="s">
        <v>618</v>
      </c>
      <c r="K21" s="23">
        <v>15</v>
      </c>
      <c r="L21" s="23">
        <v>15000</v>
      </c>
      <c r="M21" s="23">
        <v>225000</v>
      </c>
      <c r="N21" s="23">
        <v>189000</v>
      </c>
      <c r="O21" s="23">
        <v>36000</v>
      </c>
      <c r="P21" s="31">
        <v>0.16</v>
      </c>
    </row>
    <row r="22" spans="1:16" x14ac:dyDescent="0.25">
      <c r="A22" s="29" t="s">
        <v>73</v>
      </c>
      <c r="B22" s="26">
        <v>45889</v>
      </c>
      <c r="C22" s="26" t="s">
        <v>50</v>
      </c>
      <c r="D22" s="25">
        <v>2025</v>
      </c>
      <c r="E22" s="25" t="s">
        <v>601</v>
      </c>
      <c r="F22" s="25" t="s">
        <v>41</v>
      </c>
      <c r="G22" s="25" t="s">
        <v>608</v>
      </c>
      <c r="H22" s="25" t="s">
        <v>629</v>
      </c>
      <c r="I22" s="25" t="s">
        <v>630</v>
      </c>
      <c r="J22" s="25" t="s">
        <v>615</v>
      </c>
      <c r="K22" s="25">
        <v>11</v>
      </c>
      <c r="L22" s="25">
        <v>4000</v>
      </c>
      <c r="M22" s="25">
        <v>44000</v>
      </c>
      <c r="N22" s="25">
        <v>32560</v>
      </c>
      <c r="O22" s="25">
        <v>11440</v>
      </c>
      <c r="P22" s="32">
        <v>0.26</v>
      </c>
    </row>
    <row r="23" spans="1:16" x14ac:dyDescent="0.25">
      <c r="A23" s="28" t="s">
        <v>74</v>
      </c>
      <c r="B23" s="24">
        <v>45780</v>
      </c>
      <c r="C23" s="24" t="s">
        <v>57</v>
      </c>
      <c r="D23" s="23">
        <v>2025</v>
      </c>
      <c r="E23" s="23" t="s">
        <v>604</v>
      </c>
      <c r="F23" s="23" t="s">
        <v>41</v>
      </c>
      <c r="G23" s="23" t="s">
        <v>610</v>
      </c>
      <c r="H23" s="23" t="s">
        <v>622</v>
      </c>
      <c r="I23" s="23" t="s">
        <v>619</v>
      </c>
      <c r="J23" s="23" t="s">
        <v>618</v>
      </c>
      <c r="K23" s="23">
        <v>9</v>
      </c>
      <c r="L23" s="23">
        <v>1200</v>
      </c>
      <c r="M23" s="23">
        <v>10800</v>
      </c>
      <c r="N23" s="23">
        <v>9612</v>
      </c>
      <c r="O23" s="23">
        <v>1188</v>
      </c>
      <c r="P23" s="31">
        <v>0.11</v>
      </c>
    </row>
    <row r="24" spans="1:16" x14ac:dyDescent="0.25">
      <c r="A24" s="29" t="s">
        <v>75</v>
      </c>
      <c r="B24" s="26">
        <v>45664</v>
      </c>
      <c r="C24" s="26" t="s">
        <v>59</v>
      </c>
      <c r="D24" s="25">
        <v>2025</v>
      </c>
      <c r="E24" s="25" t="s">
        <v>603</v>
      </c>
      <c r="F24" s="25" t="s">
        <v>42</v>
      </c>
      <c r="G24" s="25" t="s">
        <v>609</v>
      </c>
      <c r="H24" s="25" t="s">
        <v>628</v>
      </c>
      <c r="I24" s="25" t="s">
        <v>623</v>
      </c>
      <c r="J24" s="25" t="s">
        <v>615</v>
      </c>
      <c r="K24" s="25">
        <v>9</v>
      </c>
      <c r="L24" s="25">
        <v>12000</v>
      </c>
      <c r="M24" s="25">
        <v>108000</v>
      </c>
      <c r="N24" s="25">
        <v>64800</v>
      </c>
      <c r="O24" s="25">
        <v>43200</v>
      </c>
      <c r="P24" s="32">
        <v>0.4</v>
      </c>
    </row>
    <row r="25" spans="1:16" x14ac:dyDescent="0.25">
      <c r="A25" s="28" t="s">
        <v>76</v>
      </c>
      <c r="B25" s="24">
        <v>45877</v>
      </c>
      <c r="C25" s="24" t="s">
        <v>50</v>
      </c>
      <c r="D25" s="23">
        <v>2025</v>
      </c>
      <c r="E25" s="23" t="s">
        <v>592</v>
      </c>
      <c r="F25" s="23" t="s">
        <v>40</v>
      </c>
      <c r="G25" s="23" t="s">
        <v>610</v>
      </c>
      <c r="H25" s="23" t="s">
        <v>629</v>
      </c>
      <c r="I25" s="23" t="s">
        <v>623</v>
      </c>
      <c r="J25" s="23" t="s">
        <v>615</v>
      </c>
      <c r="K25" s="23">
        <v>18</v>
      </c>
      <c r="L25" s="23">
        <v>3500</v>
      </c>
      <c r="M25" s="23">
        <v>63000</v>
      </c>
      <c r="N25" s="23">
        <v>51030</v>
      </c>
      <c r="O25" s="23">
        <v>11970</v>
      </c>
      <c r="P25" s="31">
        <v>0.19</v>
      </c>
    </row>
    <row r="26" spans="1:16" x14ac:dyDescent="0.25">
      <c r="A26" s="29" t="s">
        <v>77</v>
      </c>
      <c r="B26" s="26">
        <v>45749</v>
      </c>
      <c r="C26" s="26" t="s">
        <v>62</v>
      </c>
      <c r="D26" s="25">
        <v>2025</v>
      </c>
      <c r="E26" s="25" t="s">
        <v>594</v>
      </c>
      <c r="F26" s="25" t="s">
        <v>39</v>
      </c>
      <c r="G26" s="25" t="s">
        <v>612</v>
      </c>
      <c r="H26" s="25" t="s">
        <v>626</v>
      </c>
      <c r="I26" s="25" t="s">
        <v>645</v>
      </c>
      <c r="J26" s="25" t="s">
        <v>615</v>
      </c>
      <c r="K26" s="25">
        <v>16</v>
      </c>
      <c r="L26" s="25">
        <v>12000</v>
      </c>
      <c r="M26" s="25">
        <v>192000</v>
      </c>
      <c r="N26" s="25">
        <v>147840</v>
      </c>
      <c r="O26" s="25">
        <v>44160</v>
      </c>
      <c r="P26" s="32">
        <v>0.23</v>
      </c>
    </row>
    <row r="27" spans="1:16" x14ac:dyDescent="0.25">
      <c r="A27" s="28" t="s">
        <v>78</v>
      </c>
      <c r="B27" s="24">
        <v>45885</v>
      </c>
      <c r="C27" s="24" t="s">
        <v>50</v>
      </c>
      <c r="D27" s="23">
        <v>2025</v>
      </c>
      <c r="E27" s="23" t="s">
        <v>605</v>
      </c>
      <c r="F27" s="23" t="s">
        <v>40</v>
      </c>
      <c r="G27" s="23" t="s">
        <v>609</v>
      </c>
      <c r="H27" s="23" t="s">
        <v>626</v>
      </c>
      <c r="I27" s="23" t="s">
        <v>617</v>
      </c>
      <c r="J27" s="23" t="s">
        <v>615</v>
      </c>
      <c r="K27" s="23">
        <v>17</v>
      </c>
      <c r="L27" s="23">
        <v>3500</v>
      </c>
      <c r="M27" s="23">
        <v>59500</v>
      </c>
      <c r="N27" s="23">
        <v>49980</v>
      </c>
      <c r="O27" s="23">
        <v>9520</v>
      </c>
      <c r="P27" s="31">
        <v>0.16</v>
      </c>
    </row>
    <row r="28" spans="1:16" x14ac:dyDescent="0.25">
      <c r="A28" s="29" t="s">
        <v>79</v>
      </c>
      <c r="B28" s="26">
        <v>46003</v>
      </c>
      <c r="C28" s="26" t="s">
        <v>80</v>
      </c>
      <c r="D28" s="25">
        <v>2025</v>
      </c>
      <c r="E28" s="25" t="s">
        <v>606</v>
      </c>
      <c r="F28" s="25" t="s">
        <v>40</v>
      </c>
      <c r="G28" s="25" t="s">
        <v>612</v>
      </c>
      <c r="H28" s="25" t="s">
        <v>613</v>
      </c>
      <c r="I28" s="25" t="s">
        <v>631</v>
      </c>
      <c r="J28" s="25" t="s">
        <v>615</v>
      </c>
      <c r="K28" s="25">
        <v>4</v>
      </c>
      <c r="L28" s="25">
        <v>1200</v>
      </c>
      <c r="M28" s="25">
        <v>4800</v>
      </c>
      <c r="N28" s="25">
        <v>3264</v>
      </c>
      <c r="O28" s="25">
        <v>1536</v>
      </c>
      <c r="P28" s="32">
        <v>0.32</v>
      </c>
    </row>
    <row r="29" spans="1:16" x14ac:dyDescent="0.25">
      <c r="A29" s="28" t="s">
        <v>81</v>
      </c>
      <c r="B29" s="24">
        <v>45743</v>
      </c>
      <c r="C29" s="24" t="s">
        <v>46</v>
      </c>
      <c r="D29" s="23">
        <v>2025</v>
      </c>
      <c r="E29" s="23" t="s">
        <v>603</v>
      </c>
      <c r="F29" s="23" t="s">
        <v>42</v>
      </c>
      <c r="G29" s="23" t="s">
        <v>609</v>
      </c>
      <c r="H29" s="23" t="s">
        <v>625</v>
      </c>
      <c r="I29" s="23" t="s">
        <v>614</v>
      </c>
      <c r="J29" s="23" t="s">
        <v>615</v>
      </c>
      <c r="K29" s="23">
        <v>10</v>
      </c>
      <c r="L29" s="23">
        <v>7000</v>
      </c>
      <c r="M29" s="23">
        <v>70000</v>
      </c>
      <c r="N29" s="23">
        <v>58800</v>
      </c>
      <c r="O29" s="23">
        <v>11200</v>
      </c>
      <c r="P29" s="31">
        <v>0.16</v>
      </c>
    </row>
    <row r="30" spans="1:16" x14ac:dyDescent="0.25">
      <c r="A30" s="29" t="s">
        <v>82</v>
      </c>
      <c r="B30" s="26">
        <v>45839</v>
      </c>
      <c r="C30" s="26" t="s">
        <v>83</v>
      </c>
      <c r="D30" s="25">
        <v>2025</v>
      </c>
      <c r="E30" s="25" t="s">
        <v>600</v>
      </c>
      <c r="F30" s="25" t="s">
        <v>39</v>
      </c>
      <c r="G30" s="25" t="s">
        <v>608</v>
      </c>
      <c r="H30" s="25" t="s">
        <v>613</v>
      </c>
      <c r="I30" s="25" t="s">
        <v>623</v>
      </c>
      <c r="J30" s="25" t="s">
        <v>618</v>
      </c>
      <c r="K30" s="25">
        <v>6</v>
      </c>
      <c r="L30" s="25">
        <v>1200</v>
      </c>
      <c r="M30" s="25">
        <v>7200</v>
      </c>
      <c r="N30" s="25">
        <v>5688</v>
      </c>
      <c r="O30" s="25">
        <v>1512</v>
      </c>
      <c r="P30" s="32">
        <v>0.21</v>
      </c>
    </row>
    <row r="31" spans="1:16" x14ac:dyDescent="0.25">
      <c r="A31" s="28" t="s">
        <v>84</v>
      </c>
      <c r="B31" s="24">
        <v>45909</v>
      </c>
      <c r="C31" s="24" t="s">
        <v>53</v>
      </c>
      <c r="D31" s="23">
        <v>2025</v>
      </c>
      <c r="E31" s="23" t="s">
        <v>598</v>
      </c>
      <c r="F31" s="23" t="s">
        <v>40</v>
      </c>
      <c r="G31" s="23" t="s">
        <v>610</v>
      </c>
      <c r="H31" s="23" t="s">
        <v>625</v>
      </c>
      <c r="I31" s="25" t="s">
        <v>645</v>
      </c>
      <c r="J31" s="23" t="s">
        <v>618</v>
      </c>
      <c r="K31" s="23">
        <v>8</v>
      </c>
      <c r="L31" s="23">
        <v>55000</v>
      </c>
      <c r="M31" s="23">
        <v>440000</v>
      </c>
      <c r="N31" s="23">
        <v>347600</v>
      </c>
      <c r="O31" s="23">
        <v>92400</v>
      </c>
      <c r="P31" s="31">
        <v>0.21</v>
      </c>
    </row>
    <row r="32" spans="1:16" x14ac:dyDescent="0.25">
      <c r="A32" s="29" t="s">
        <v>85</v>
      </c>
      <c r="B32" s="26">
        <v>45790</v>
      </c>
      <c r="C32" s="26" t="s">
        <v>57</v>
      </c>
      <c r="D32" s="25">
        <v>2025</v>
      </c>
      <c r="E32" s="25" t="s">
        <v>595</v>
      </c>
      <c r="F32" s="25" t="s">
        <v>39</v>
      </c>
      <c r="G32" s="25" t="s">
        <v>609</v>
      </c>
      <c r="H32" s="25" t="s">
        <v>621</v>
      </c>
      <c r="I32" s="25" t="s">
        <v>617</v>
      </c>
      <c r="J32" s="25" t="s">
        <v>615</v>
      </c>
      <c r="K32" s="25">
        <v>17</v>
      </c>
      <c r="L32" s="25">
        <v>20</v>
      </c>
      <c r="M32" s="25">
        <v>340</v>
      </c>
      <c r="N32" s="25">
        <v>207.4</v>
      </c>
      <c r="O32" s="25">
        <v>132.6</v>
      </c>
      <c r="P32" s="32">
        <v>0.38999999999999996</v>
      </c>
    </row>
    <row r="33" spans="1:16" x14ac:dyDescent="0.25">
      <c r="A33" s="28" t="s">
        <v>86</v>
      </c>
      <c r="B33" s="24">
        <v>45889</v>
      </c>
      <c r="C33" s="24" t="s">
        <v>50</v>
      </c>
      <c r="D33" s="23">
        <v>2025</v>
      </c>
      <c r="E33" s="23" t="s">
        <v>595</v>
      </c>
      <c r="F33" s="23" t="s">
        <v>39</v>
      </c>
      <c r="G33" s="23" t="s">
        <v>609</v>
      </c>
      <c r="H33" s="23" t="s">
        <v>625</v>
      </c>
      <c r="I33" s="23" t="s">
        <v>630</v>
      </c>
      <c r="J33" s="23" t="s">
        <v>618</v>
      </c>
      <c r="K33" s="23">
        <v>19</v>
      </c>
      <c r="L33" s="23">
        <v>9000</v>
      </c>
      <c r="M33" s="23">
        <v>171000</v>
      </c>
      <c r="N33" s="23">
        <v>136800</v>
      </c>
      <c r="O33" s="23">
        <v>34200</v>
      </c>
      <c r="P33" s="31">
        <v>0.2</v>
      </c>
    </row>
    <row r="34" spans="1:16" x14ac:dyDescent="0.25">
      <c r="A34" s="29" t="s">
        <v>87</v>
      </c>
      <c r="B34" s="26">
        <v>45675</v>
      </c>
      <c r="C34" s="26" t="s">
        <v>59</v>
      </c>
      <c r="D34" s="25">
        <v>2025</v>
      </c>
      <c r="E34" s="25" t="s">
        <v>605</v>
      </c>
      <c r="F34" s="25" t="s">
        <v>40</v>
      </c>
      <c r="G34" s="25" t="s">
        <v>610</v>
      </c>
      <c r="H34" s="25" t="s">
        <v>613</v>
      </c>
      <c r="I34" s="25" t="s">
        <v>645</v>
      </c>
      <c r="J34" s="25" t="s">
        <v>618</v>
      </c>
      <c r="K34" s="25">
        <v>6</v>
      </c>
      <c r="L34" s="25">
        <v>20</v>
      </c>
      <c r="M34" s="25">
        <v>120</v>
      </c>
      <c r="N34" s="25">
        <v>87.6</v>
      </c>
      <c r="O34" s="25">
        <v>32.400000000000006</v>
      </c>
      <c r="P34" s="32">
        <v>0.27000000000000007</v>
      </c>
    </row>
    <row r="35" spans="1:16" x14ac:dyDescent="0.25">
      <c r="A35" s="28" t="s">
        <v>88</v>
      </c>
      <c r="B35" s="24">
        <v>45943</v>
      </c>
      <c r="C35" s="24" t="s">
        <v>65</v>
      </c>
      <c r="D35" s="23">
        <v>2025</v>
      </c>
      <c r="E35" s="23" t="s">
        <v>597</v>
      </c>
      <c r="F35" s="23" t="s">
        <v>41</v>
      </c>
      <c r="G35" s="23" t="s">
        <v>612</v>
      </c>
      <c r="H35" s="23" t="s">
        <v>621</v>
      </c>
      <c r="I35" s="23" t="s">
        <v>614</v>
      </c>
      <c r="J35" s="23" t="s">
        <v>615</v>
      </c>
      <c r="K35" s="23">
        <v>11</v>
      </c>
      <c r="L35" s="23">
        <v>20</v>
      </c>
      <c r="M35" s="23">
        <v>220</v>
      </c>
      <c r="N35" s="23">
        <v>140.80000000000001</v>
      </c>
      <c r="O35" s="23">
        <v>79.199999999999989</v>
      </c>
      <c r="P35" s="31">
        <v>0.35999999999999993</v>
      </c>
    </row>
    <row r="36" spans="1:16" x14ac:dyDescent="0.25">
      <c r="A36" s="29" t="s">
        <v>89</v>
      </c>
      <c r="B36" s="26">
        <v>45713</v>
      </c>
      <c r="C36" s="26" t="s">
        <v>55</v>
      </c>
      <c r="D36" s="25">
        <v>2025</v>
      </c>
      <c r="E36" s="25" t="s">
        <v>599</v>
      </c>
      <c r="F36" s="25" t="s">
        <v>39</v>
      </c>
      <c r="G36" s="25" t="s">
        <v>610</v>
      </c>
      <c r="H36" s="25" t="s">
        <v>624</v>
      </c>
      <c r="I36" s="25" t="s">
        <v>614</v>
      </c>
      <c r="J36" s="25" t="s">
        <v>618</v>
      </c>
      <c r="K36" s="25">
        <v>10</v>
      </c>
      <c r="L36" s="25">
        <v>9000</v>
      </c>
      <c r="M36" s="25">
        <v>90000</v>
      </c>
      <c r="N36" s="25">
        <v>57600</v>
      </c>
      <c r="O36" s="25">
        <v>32400</v>
      </c>
      <c r="P36" s="32">
        <v>0.36</v>
      </c>
    </row>
    <row r="37" spans="1:16" x14ac:dyDescent="0.25">
      <c r="A37" s="28" t="s">
        <v>90</v>
      </c>
      <c r="B37" s="24">
        <v>45902</v>
      </c>
      <c r="C37" s="24" t="s">
        <v>53</v>
      </c>
      <c r="D37" s="23">
        <v>2025</v>
      </c>
      <c r="E37" s="23" t="s">
        <v>598</v>
      </c>
      <c r="F37" s="23" t="s">
        <v>40</v>
      </c>
      <c r="G37" s="23" t="s">
        <v>608</v>
      </c>
      <c r="H37" s="23" t="s">
        <v>613</v>
      </c>
      <c r="I37" s="23" t="s">
        <v>631</v>
      </c>
      <c r="J37" s="23" t="s">
        <v>618</v>
      </c>
      <c r="K37" s="23">
        <v>5</v>
      </c>
      <c r="L37" s="23">
        <v>300</v>
      </c>
      <c r="M37" s="23">
        <v>1500</v>
      </c>
      <c r="N37" s="23">
        <v>975</v>
      </c>
      <c r="O37" s="23">
        <v>525</v>
      </c>
      <c r="P37" s="31">
        <v>0.35</v>
      </c>
    </row>
    <row r="38" spans="1:16" x14ac:dyDescent="0.25">
      <c r="A38" s="29" t="s">
        <v>91</v>
      </c>
      <c r="B38" s="26">
        <v>45947</v>
      </c>
      <c r="C38" s="26" t="s">
        <v>65</v>
      </c>
      <c r="D38" s="25">
        <v>2025</v>
      </c>
      <c r="E38" s="25" t="s">
        <v>596</v>
      </c>
      <c r="F38" s="25" t="s">
        <v>39</v>
      </c>
      <c r="G38" s="25" t="s">
        <v>608</v>
      </c>
      <c r="H38" s="25" t="s">
        <v>626</v>
      </c>
      <c r="I38" s="25" t="s">
        <v>645</v>
      </c>
      <c r="J38" s="25" t="s">
        <v>615</v>
      </c>
      <c r="K38" s="25">
        <v>6</v>
      </c>
      <c r="L38" s="25">
        <v>7000</v>
      </c>
      <c r="M38" s="25">
        <v>42000</v>
      </c>
      <c r="N38" s="25">
        <v>33600</v>
      </c>
      <c r="O38" s="25">
        <v>8400</v>
      </c>
      <c r="P38" s="32">
        <v>0.2</v>
      </c>
    </row>
    <row r="39" spans="1:16" x14ac:dyDescent="0.25">
      <c r="A39" s="28" t="s">
        <v>92</v>
      </c>
      <c r="B39" s="24">
        <v>45875</v>
      </c>
      <c r="C39" s="24" t="s">
        <v>50</v>
      </c>
      <c r="D39" s="23">
        <v>2025</v>
      </c>
      <c r="E39" s="23" t="s">
        <v>595</v>
      </c>
      <c r="F39" s="23" t="s">
        <v>39</v>
      </c>
      <c r="G39" s="23" t="s">
        <v>611</v>
      </c>
      <c r="H39" s="23" t="s">
        <v>622</v>
      </c>
      <c r="I39" s="25" t="s">
        <v>645</v>
      </c>
      <c r="J39" s="23" t="s">
        <v>615</v>
      </c>
      <c r="K39" s="23">
        <v>7</v>
      </c>
      <c r="L39" s="23">
        <v>20</v>
      </c>
      <c r="M39" s="23">
        <v>140</v>
      </c>
      <c r="N39" s="23">
        <v>96.6</v>
      </c>
      <c r="O39" s="23">
        <v>43.400000000000006</v>
      </c>
      <c r="P39" s="31">
        <v>0.31000000000000005</v>
      </c>
    </row>
    <row r="40" spans="1:16" x14ac:dyDescent="0.25">
      <c r="A40" s="29" t="s">
        <v>93</v>
      </c>
      <c r="B40" s="26">
        <v>45831</v>
      </c>
      <c r="C40" s="26" t="s">
        <v>44</v>
      </c>
      <c r="D40" s="25">
        <v>2025</v>
      </c>
      <c r="E40" s="25" t="s">
        <v>604</v>
      </c>
      <c r="F40" s="25" t="s">
        <v>41</v>
      </c>
      <c r="G40" s="25" t="s">
        <v>608</v>
      </c>
      <c r="H40" s="25" t="s">
        <v>620</v>
      </c>
      <c r="I40" s="25" t="s">
        <v>614</v>
      </c>
      <c r="J40" s="25" t="s">
        <v>618</v>
      </c>
      <c r="K40" s="25">
        <v>12</v>
      </c>
      <c r="L40" s="25">
        <v>25000</v>
      </c>
      <c r="M40" s="25">
        <v>300000</v>
      </c>
      <c r="N40" s="25">
        <v>186000</v>
      </c>
      <c r="O40" s="25">
        <v>114000</v>
      </c>
      <c r="P40" s="32">
        <v>0.38</v>
      </c>
    </row>
    <row r="41" spans="1:16" x14ac:dyDescent="0.25">
      <c r="A41" s="28" t="s">
        <v>94</v>
      </c>
      <c r="B41" s="24">
        <v>45708</v>
      </c>
      <c r="C41" s="24" t="s">
        <v>55</v>
      </c>
      <c r="D41" s="23">
        <v>2025</v>
      </c>
      <c r="E41" s="23" t="s">
        <v>594</v>
      </c>
      <c r="F41" s="23" t="s">
        <v>39</v>
      </c>
      <c r="G41" s="23" t="s">
        <v>611</v>
      </c>
      <c r="H41" s="23" t="s">
        <v>622</v>
      </c>
      <c r="I41" s="23" t="s">
        <v>617</v>
      </c>
      <c r="J41" s="23" t="s">
        <v>615</v>
      </c>
      <c r="K41" s="23">
        <v>11</v>
      </c>
      <c r="L41" s="23">
        <v>3500</v>
      </c>
      <c r="M41" s="23">
        <v>38500</v>
      </c>
      <c r="N41" s="23">
        <v>24255</v>
      </c>
      <c r="O41" s="23">
        <v>14245</v>
      </c>
      <c r="P41" s="31">
        <v>0.37</v>
      </c>
    </row>
    <row r="42" spans="1:16" x14ac:dyDescent="0.25">
      <c r="A42" s="29" t="s">
        <v>95</v>
      </c>
      <c r="B42" s="26">
        <v>45778</v>
      </c>
      <c r="C42" s="26" t="s">
        <v>57</v>
      </c>
      <c r="D42" s="25">
        <v>2025</v>
      </c>
      <c r="E42" s="25" t="s">
        <v>602</v>
      </c>
      <c r="F42" s="25" t="s">
        <v>42</v>
      </c>
      <c r="G42" s="25" t="s">
        <v>610</v>
      </c>
      <c r="H42" s="25" t="s">
        <v>622</v>
      </c>
      <c r="I42" s="25" t="s">
        <v>619</v>
      </c>
      <c r="J42" s="25" t="s">
        <v>615</v>
      </c>
      <c r="K42" s="25">
        <v>18</v>
      </c>
      <c r="L42" s="25">
        <v>25000</v>
      </c>
      <c r="M42" s="25">
        <v>450000</v>
      </c>
      <c r="N42" s="25">
        <v>369000</v>
      </c>
      <c r="O42" s="25">
        <v>81000</v>
      </c>
      <c r="P42" s="32">
        <v>0.18</v>
      </c>
    </row>
    <row r="43" spans="1:16" x14ac:dyDescent="0.25">
      <c r="A43" s="28" t="s">
        <v>96</v>
      </c>
      <c r="B43" s="24">
        <v>45904</v>
      </c>
      <c r="C43" s="24" t="s">
        <v>53</v>
      </c>
      <c r="D43" s="23">
        <v>2025</v>
      </c>
      <c r="E43" s="23" t="s">
        <v>606</v>
      </c>
      <c r="F43" s="23" t="s">
        <v>40</v>
      </c>
      <c r="G43" s="23" t="s">
        <v>609</v>
      </c>
      <c r="H43" s="23" t="s">
        <v>625</v>
      </c>
      <c r="I43" s="23" t="s">
        <v>619</v>
      </c>
      <c r="J43" s="23" t="s">
        <v>618</v>
      </c>
      <c r="K43" s="23">
        <v>10</v>
      </c>
      <c r="L43" s="23">
        <v>55000</v>
      </c>
      <c r="M43" s="23">
        <v>550000</v>
      </c>
      <c r="N43" s="23">
        <v>462000</v>
      </c>
      <c r="O43" s="23">
        <v>88000</v>
      </c>
      <c r="P43" s="31">
        <v>0.16</v>
      </c>
    </row>
    <row r="44" spans="1:16" x14ac:dyDescent="0.25">
      <c r="A44" s="29" t="s">
        <v>97</v>
      </c>
      <c r="B44" s="26">
        <v>45891</v>
      </c>
      <c r="C44" s="26" t="s">
        <v>50</v>
      </c>
      <c r="D44" s="25">
        <v>2025</v>
      </c>
      <c r="E44" s="25" t="s">
        <v>601</v>
      </c>
      <c r="F44" s="25" t="s">
        <v>41</v>
      </c>
      <c r="G44" s="25" t="s">
        <v>608</v>
      </c>
      <c r="H44" s="25" t="s">
        <v>628</v>
      </c>
      <c r="I44" s="25" t="s">
        <v>645</v>
      </c>
      <c r="J44" s="25" t="s">
        <v>615</v>
      </c>
      <c r="K44" s="25">
        <v>17</v>
      </c>
      <c r="L44" s="25">
        <v>45000</v>
      </c>
      <c r="M44" s="25">
        <v>765000</v>
      </c>
      <c r="N44" s="25">
        <v>466650</v>
      </c>
      <c r="O44" s="25">
        <v>298350</v>
      </c>
      <c r="P44" s="32">
        <v>0.39</v>
      </c>
    </row>
    <row r="45" spans="1:16" x14ac:dyDescent="0.25">
      <c r="A45" s="28" t="s">
        <v>98</v>
      </c>
      <c r="B45" s="24">
        <v>45786</v>
      </c>
      <c r="C45" s="24" t="s">
        <v>57</v>
      </c>
      <c r="D45" s="23">
        <v>2025</v>
      </c>
      <c r="E45" s="23" t="s">
        <v>595</v>
      </c>
      <c r="F45" s="23" t="s">
        <v>39</v>
      </c>
      <c r="G45" s="23" t="s">
        <v>611</v>
      </c>
      <c r="H45" s="23" t="s">
        <v>613</v>
      </c>
      <c r="I45" s="23" t="s">
        <v>627</v>
      </c>
      <c r="J45" s="23" t="s">
        <v>618</v>
      </c>
      <c r="K45" s="23">
        <v>9</v>
      </c>
      <c r="L45" s="23">
        <v>8000</v>
      </c>
      <c r="M45" s="23">
        <v>72000</v>
      </c>
      <c r="N45" s="23">
        <v>58320</v>
      </c>
      <c r="O45" s="23">
        <v>13680</v>
      </c>
      <c r="P45" s="31">
        <v>0.19</v>
      </c>
    </row>
    <row r="46" spans="1:16" x14ac:dyDescent="0.25">
      <c r="A46" s="29" t="s">
        <v>99</v>
      </c>
      <c r="B46" s="26">
        <v>45814</v>
      </c>
      <c r="C46" s="26" t="s">
        <v>44</v>
      </c>
      <c r="D46" s="25">
        <v>2025</v>
      </c>
      <c r="E46" s="25" t="s">
        <v>593</v>
      </c>
      <c r="F46" s="25" t="s">
        <v>41</v>
      </c>
      <c r="G46" s="25" t="s">
        <v>611</v>
      </c>
      <c r="H46" s="25" t="s">
        <v>622</v>
      </c>
      <c r="I46" s="25" t="s">
        <v>630</v>
      </c>
      <c r="J46" s="25" t="s">
        <v>615</v>
      </c>
      <c r="K46" s="25">
        <v>12</v>
      </c>
      <c r="L46" s="25">
        <v>1200</v>
      </c>
      <c r="M46" s="25">
        <v>14400</v>
      </c>
      <c r="N46" s="25">
        <v>11232</v>
      </c>
      <c r="O46" s="25">
        <v>3168</v>
      </c>
      <c r="P46" s="32">
        <v>0.22</v>
      </c>
    </row>
    <row r="47" spans="1:16" x14ac:dyDescent="0.25">
      <c r="A47" s="28" t="s">
        <v>100</v>
      </c>
      <c r="B47" s="24">
        <v>45910</v>
      </c>
      <c r="C47" s="24" t="s">
        <v>53</v>
      </c>
      <c r="D47" s="23">
        <v>2025</v>
      </c>
      <c r="E47" s="23" t="s">
        <v>606</v>
      </c>
      <c r="F47" s="23" t="s">
        <v>40</v>
      </c>
      <c r="G47" s="23" t="s">
        <v>611</v>
      </c>
      <c r="H47" s="23" t="s">
        <v>620</v>
      </c>
      <c r="I47" s="23" t="s">
        <v>614</v>
      </c>
      <c r="J47" s="23" t="s">
        <v>615</v>
      </c>
      <c r="K47" s="23">
        <v>13</v>
      </c>
      <c r="L47" s="23">
        <v>300</v>
      </c>
      <c r="M47" s="23">
        <v>3900</v>
      </c>
      <c r="N47" s="23">
        <v>3237</v>
      </c>
      <c r="O47" s="23">
        <v>663</v>
      </c>
      <c r="P47" s="31">
        <v>0.17</v>
      </c>
    </row>
    <row r="48" spans="1:16" x14ac:dyDescent="0.25">
      <c r="A48" s="29" t="s">
        <v>101</v>
      </c>
      <c r="B48" s="26">
        <v>45709</v>
      </c>
      <c r="C48" s="26" t="s">
        <v>55</v>
      </c>
      <c r="D48" s="25">
        <v>2025</v>
      </c>
      <c r="E48" s="25" t="s">
        <v>593</v>
      </c>
      <c r="F48" s="25" t="s">
        <v>41</v>
      </c>
      <c r="G48" s="25" t="s">
        <v>610</v>
      </c>
      <c r="H48" s="25" t="s">
        <v>613</v>
      </c>
      <c r="I48" s="25" t="s">
        <v>623</v>
      </c>
      <c r="J48" s="25" t="s">
        <v>615</v>
      </c>
      <c r="K48" s="25">
        <v>10</v>
      </c>
      <c r="L48" s="25">
        <v>15000</v>
      </c>
      <c r="M48" s="25">
        <v>150000</v>
      </c>
      <c r="N48" s="25">
        <v>108000</v>
      </c>
      <c r="O48" s="25">
        <v>42000</v>
      </c>
      <c r="P48" s="32">
        <v>0.28000000000000003</v>
      </c>
    </row>
    <row r="49" spans="1:16" x14ac:dyDescent="0.25">
      <c r="A49" s="28" t="s">
        <v>102</v>
      </c>
      <c r="B49" s="24">
        <v>45888</v>
      </c>
      <c r="C49" s="24" t="s">
        <v>50</v>
      </c>
      <c r="D49" s="23">
        <v>2025</v>
      </c>
      <c r="E49" s="23" t="s">
        <v>592</v>
      </c>
      <c r="F49" s="23" t="s">
        <v>40</v>
      </c>
      <c r="G49" s="23" t="s">
        <v>610</v>
      </c>
      <c r="H49" s="23" t="s">
        <v>625</v>
      </c>
      <c r="I49" s="23" t="s">
        <v>617</v>
      </c>
      <c r="J49" s="23" t="s">
        <v>618</v>
      </c>
      <c r="K49" s="23">
        <v>20</v>
      </c>
      <c r="L49" s="23">
        <v>3500</v>
      </c>
      <c r="M49" s="23">
        <v>70000</v>
      </c>
      <c r="N49" s="23">
        <v>42000</v>
      </c>
      <c r="O49" s="23">
        <v>28000</v>
      </c>
      <c r="P49" s="31">
        <v>0.4</v>
      </c>
    </row>
    <row r="50" spans="1:16" x14ac:dyDescent="0.25">
      <c r="A50" s="29" t="s">
        <v>103</v>
      </c>
      <c r="B50" s="26">
        <v>45716</v>
      </c>
      <c r="C50" s="26" t="s">
        <v>55</v>
      </c>
      <c r="D50" s="25">
        <v>2025</v>
      </c>
      <c r="E50" s="25" t="s">
        <v>603</v>
      </c>
      <c r="F50" s="25" t="s">
        <v>42</v>
      </c>
      <c r="G50" s="25" t="s">
        <v>610</v>
      </c>
      <c r="H50" s="25" t="s">
        <v>626</v>
      </c>
      <c r="I50" s="25" t="s">
        <v>631</v>
      </c>
      <c r="J50" s="25" t="s">
        <v>615</v>
      </c>
      <c r="K50" s="25">
        <v>10</v>
      </c>
      <c r="L50" s="25">
        <v>7000</v>
      </c>
      <c r="M50" s="25">
        <v>70000</v>
      </c>
      <c r="N50" s="25">
        <v>54600</v>
      </c>
      <c r="O50" s="25">
        <v>15400</v>
      </c>
      <c r="P50" s="32">
        <v>0.22</v>
      </c>
    </row>
    <row r="51" spans="1:16" x14ac:dyDescent="0.25">
      <c r="A51" s="28" t="s">
        <v>104</v>
      </c>
      <c r="B51" s="24">
        <v>45942</v>
      </c>
      <c r="C51" s="24" t="s">
        <v>65</v>
      </c>
      <c r="D51" s="23">
        <v>2025</v>
      </c>
      <c r="E51" s="23" t="s">
        <v>600</v>
      </c>
      <c r="F51" s="23" t="s">
        <v>39</v>
      </c>
      <c r="G51" s="23" t="s">
        <v>612</v>
      </c>
      <c r="H51" s="23" t="s">
        <v>628</v>
      </c>
      <c r="I51" s="23" t="s">
        <v>614</v>
      </c>
      <c r="J51" s="23" t="s">
        <v>615</v>
      </c>
      <c r="K51" s="23">
        <v>14</v>
      </c>
      <c r="L51" s="23">
        <v>150</v>
      </c>
      <c r="M51" s="23">
        <v>2100</v>
      </c>
      <c r="N51" s="23">
        <v>1596</v>
      </c>
      <c r="O51" s="23">
        <v>504</v>
      </c>
      <c r="P51" s="31">
        <v>0.24</v>
      </c>
    </row>
    <row r="52" spans="1:16" x14ac:dyDescent="0.25">
      <c r="A52" s="29" t="s">
        <v>105</v>
      </c>
      <c r="B52" s="26">
        <v>45913</v>
      </c>
      <c r="C52" s="26" t="s">
        <v>53</v>
      </c>
      <c r="D52" s="25">
        <v>2025</v>
      </c>
      <c r="E52" s="25" t="s">
        <v>607</v>
      </c>
      <c r="F52" s="25" t="s">
        <v>42</v>
      </c>
      <c r="G52" s="25" t="s">
        <v>611</v>
      </c>
      <c r="H52" s="25" t="s">
        <v>620</v>
      </c>
      <c r="I52" s="25" t="s">
        <v>627</v>
      </c>
      <c r="J52" s="25" t="s">
        <v>618</v>
      </c>
      <c r="K52" s="25">
        <v>12</v>
      </c>
      <c r="L52" s="25">
        <v>8000</v>
      </c>
      <c r="M52" s="25">
        <v>96000</v>
      </c>
      <c r="N52" s="25">
        <v>63360</v>
      </c>
      <c r="O52" s="25">
        <v>32640</v>
      </c>
      <c r="P52" s="32">
        <v>0.34</v>
      </c>
    </row>
    <row r="53" spans="1:16" x14ac:dyDescent="0.25">
      <c r="A53" s="28" t="s">
        <v>106</v>
      </c>
      <c r="B53" s="24">
        <v>46008</v>
      </c>
      <c r="C53" s="24" t="s">
        <v>80</v>
      </c>
      <c r="D53" s="23">
        <v>2025</v>
      </c>
      <c r="E53" s="23" t="s">
        <v>604</v>
      </c>
      <c r="F53" s="23" t="s">
        <v>41</v>
      </c>
      <c r="G53" s="23" t="s">
        <v>609</v>
      </c>
      <c r="H53" s="23" t="s">
        <v>628</v>
      </c>
      <c r="I53" s="23" t="s">
        <v>627</v>
      </c>
      <c r="J53" s="23" t="s">
        <v>615</v>
      </c>
      <c r="K53" s="23">
        <v>8</v>
      </c>
      <c r="L53" s="23">
        <v>9000</v>
      </c>
      <c r="M53" s="23">
        <v>72000</v>
      </c>
      <c r="N53" s="23">
        <v>54720</v>
      </c>
      <c r="O53" s="23">
        <v>17280</v>
      </c>
      <c r="P53" s="31">
        <v>0.24</v>
      </c>
    </row>
    <row r="54" spans="1:16" x14ac:dyDescent="0.25">
      <c r="A54" s="29" t="s">
        <v>107</v>
      </c>
      <c r="B54" s="26">
        <v>45681</v>
      </c>
      <c r="C54" s="26" t="s">
        <v>59</v>
      </c>
      <c r="D54" s="25">
        <v>2025</v>
      </c>
      <c r="E54" s="25" t="s">
        <v>603</v>
      </c>
      <c r="F54" s="25" t="s">
        <v>42</v>
      </c>
      <c r="G54" s="25" t="s">
        <v>611</v>
      </c>
      <c r="H54" s="25" t="s">
        <v>629</v>
      </c>
      <c r="I54" s="25" t="s">
        <v>619</v>
      </c>
      <c r="J54" s="25" t="s">
        <v>615</v>
      </c>
      <c r="K54" s="25">
        <v>16</v>
      </c>
      <c r="L54" s="25">
        <v>20</v>
      </c>
      <c r="M54" s="25">
        <v>320</v>
      </c>
      <c r="N54" s="25">
        <v>224</v>
      </c>
      <c r="O54" s="25">
        <v>96</v>
      </c>
      <c r="P54" s="32">
        <v>0.3</v>
      </c>
    </row>
    <row r="55" spans="1:16" x14ac:dyDescent="0.25">
      <c r="A55" s="28" t="s">
        <v>108</v>
      </c>
      <c r="B55" s="24">
        <v>45727</v>
      </c>
      <c r="C55" s="24" t="s">
        <v>46</v>
      </c>
      <c r="D55" s="23">
        <v>2025</v>
      </c>
      <c r="E55" s="23" t="s">
        <v>598</v>
      </c>
      <c r="F55" s="23" t="s">
        <v>40</v>
      </c>
      <c r="G55" s="23" t="s">
        <v>611</v>
      </c>
      <c r="H55" s="23" t="s">
        <v>621</v>
      </c>
      <c r="I55" s="25" t="s">
        <v>645</v>
      </c>
      <c r="J55" s="23" t="s">
        <v>618</v>
      </c>
      <c r="K55" s="23">
        <v>18</v>
      </c>
      <c r="L55" s="23">
        <v>1200</v>
      </c>
      <c r="M55" s="23">
        <v>21600</v>
      </c>
      <c r="N55" s="23">
        <v>16632</v>
      </c>
      <c r="O55" s="23">
        <v>4968</v>
      </c>
      <c r="P55" s="31">
        <v>0.23</v>
      </c>
    </row>
    <row r="56" spans="1:16" x14ac:dyDescent="0.25">
      <c r="A56" s="29" t="s">
        <v>109</v>
      </c>
      <c r="B56" s="26">
        <v>45833</v>
      </c>
      <c r="C56" s="26" t="s">
        <v>44</v>
      </c>
      <c r="D56" s="25">
        <v>2025</v>
      </c>
      <c r="E56" s="25" t="s">
        <v>600</v>
      </c>
      <c r="F56" s="25" t="s">
        <v>39</v>
      </c>
      <c r="G56" s="25" t="s">
        <v>608</v>
      </c>
      <c r="H56" s="25" t="s">
        <v>620</v>
      </c>
      <c r="I56" s="25" t="s">
        <v>617</v>
      </c>
      <c r="J56" s="25" t="s">
        <v>615</v>
      </c>
      <c r="K56" s="25">
        <v>13</v>
      </c>
      <c r="L56" s="25">
        <v>4000</v>
      </c>
      <c r="M56" s="25">
        <v>52000</v>
      </c>
      <c r="N56" s="25">
        <v>37960</v>
      </c>
      <c r="O56" s="25">
        <v>14040</v>
      </c>
      <c r="P56" s="32">
        <v>0.27</v>
      </c>
    </row>
    <row r="57" spans="1:16" x14ac:dyDescent="0.25">
      <c r="A57" s="28" t="s">
        <v>110</v>
      </c>
      <c r="B57" s="24">
        <v>45729</v>
      </c>
      <c r="C57" s="24" t="s">
        <v>46</v>
      </c>
      <c r="D57" s="23">
        <v>2025</v>
      </c>
      <c r="E57" s="23" t="s">
        <v>596</v>
      </c>
      <c r="F57" s="23" t="s">
        <v>39</v>
      </c>
      <c r="G57" s="23" t="s">
        <v>612</v>
      </c>
      <c r="H57" s="23" t="s">
        <v>624</v>
      </c>
      <c r="I57" s="25" t="s">
        <v>645</v>
      </c>
      <c r="J57" s="23" t="s">
        <v>618</v>
      </c>
      <c r="K57" s="23">
        <v>2</v>
      </c>
      <c r="L57" s="23">
        <v>9000</v>
      </c>
      <c r="M57" s="23">
        <v>18000</v>
      </c>
      <c r="N57" s="23">
        <v>13680</v>
      </c>
      <c r="O57" s="23">
        <v>4320</v>
      </c>
      <c r="P57" s="31">
        <v>0.24</v>
      </c>
    </row>
    <row r="58" spans="1:16" x14ac:dyDescent="0.25">
      <c r="A58" s="29" t="s">
        <v>111</v>
      </c>
      <c r="B58" s="26">
        <v>45982</v>
      </c>
      <c r="C58" s="26" t="s">
        <v>48</v>
      </c>
      <c r="D58" s="25">
        <v>2025</v>
      </c>
      <c r="E58" s="25" t="s">
        <v>593</v>
      </c>
      <c r="F58" s="25" t="s">
        <v>41</v>
      </c>
      <c r="G58" s="25" t="s">
        <v>608</v>
      </c>
      <c r="H58" s="25" t="s">
        <v>616</v>
      </c>
      <c r="I58" s="25" t="s">
        <v>627</v>
      </c>
      <c r="J58" s="25" t="s">
        <v>618</v>
      </c>
      <c r="K58" s="25">
        <v>3</v>
      </c>
      <c r="L58" s="25">
        <v>150</v>
      </c>
      <c r="M58" s="25">
        <v>450</v>
      </c>
      <c r="N58" s="25">
        <v>378</v>
      </c>
      <c r="O58" s="25">
        <v>72</v>
      </c>
      <c r="P58" s="32">
        <v>0.16</v>
      </c>
    </row>
    <row r="59" spans="1:16" x14ac:dyDescent="0.25">
      <c r="A59" s="28" t="s">
        <v>112</v>
      </c>
      <c r="B59" s="24">
        <v>45753</v>
      </c>
      <c r="C59" s="24" t="s">
        <v>62</v>
      </c>
      <c r="D59" s="23">
        <v>2025</v>
      </c>
      <c r="E59" s="23" t="s">
        <v>598</v>
      </c>
      <c r="F59" s="23" t="s">
        <v>40</v>
      </c>
      <c r="G59" s="23" t="s">
        <v>611</v>
      </c>
      <c r="H59" s="23" t="s">
        <v>625</v>
      </c>
      <c r="I59" s="23" t="s">
        <v>631</v>
      </c>
      <c r="J59" s="23" t="s">
        <v>618</v>
      </c>
      <c r="K59" s="23">
        <v>15</v>
      </c>
      <c r="L59" s="23">
        <v>25000</v>
      </c>
      <c r="M59" s="23">
        <v>375000</v>
      </c>
      <c r="N59" s="23">
        <v>270000</v>
      </c>
      <c r="O59" s="23">
        <v>105000</v>
      </c>
      <c r="P59" s="31">
        <v>0.28000000000000003</v>
      </c>
    </row>
    <row r="60" spans="1:16" x14ac:dyDescent="0.25">
      <c r="A60" s="29" t="s">
        <v>113</v>
      </c>
      <c r="B60" s="26">
        <v>45851</v>
      </c>
      <c r="C60" s="26" t="s">
        <v>83</v>
      </c>
      <c r="D60" s="25">
        <v>2025</v>
      </c>
      <c r="E60" s="25" t="s">
        <v>602</v>
      </c>
      <c r="F60" s="25" t="s">
        <v>42</v>
      </c>
      <c r="G60" s="25" t="s">
        <v>609</v>
      </c>
      <c r="H60" s="25" t="s">
        <v>621</v>
      </c>
      <c r="I60" s="25" t="s">
        <v>645</v>
      </c>
      <c r="J60" s="25" t="s">
        <v>618</v>
      </c>
      <c r="K60" s="25">
        <v>1</v>
      </c>
      <c r="L60" s="25">
        <v>1200</v>
      </c>
      <c r="M60" s="25">
        <v>1200</v>
      </c>
      <c r="N60" s="25">
        <v>924</v>
      </c>
      <c r="O60" s="25">
        <v>276</v>
      </c>
      <c r="P60" s="32">
        <v>0.23</v>
      </c>
    </row>
    <row r="61" spans="1:16" x14ac:dyDescent="0.25">
      <c r="A61" s="28" t="s">
        <v>114</v>
      </c>
      <c r="B61" s="24">
        <v>45744</v>
      </c>
      <c r="C61" s="24" t="s">
        <v>46</v>
      </c>
      <c r="D61" s="23">
        <v>2025</v>
      </c>
      <c r="E61" s="23" t="s">
        <v>594</v>
      </c>
      <c r="F61" s="23" t="s">
        <v>39</v>
      </c>
      <c r="G61" s="23" t="s">
        <v>609</v>
      </c>
      <c r="H61" s="23" t="s">
        <v>620</v>
      </c>
      <c r="I61" s="23" t="s">
        <v>627</v>
      </c>
      <c r="J61" s="23" t="s">
        <v>615</v>
      </c>
      <c r="K61" s="23">
        <v>2</v>
      </c>
      <c r="L61" s="23">
        <v>45000</v>
      </c>
      <c r="M61" s="23">
        <v>90000</v>
      </c>
      <c r="N61" s="23">
        <v>71100</v>
      </c>
      <c r="O61" s="23">
        <v>18900</v>
      </c>
      <c r="P61" s="31">
        <v>0.21</v>
      </c>
    </row>
    <row r="62" spans="1:16" x14ac:dyDescent="0.25">
      <c r="A62" s="29" t="s">
        <v>115</v>
      </c>
      <c r="B62" s="26">
        <v>45998</v>
      </c>
      <c r="C62" s="26" t="s">
        <v>80</v>
      </c>
      <c r="D62" s="25">
        <v>2025</v>
      </c>
      <c r="E62" s="25" t="s">
        <v>602</v>
      </c>
      <c r="F62" s="25" t="s">
        <v>42</v>
      </c>
      <c r="G62" s="25" t="s">
        <v>608</v>
      </c>
      <c r="H62" s="25" t="s">
        <v>625</v>
      </c>
      <c r="I62" s="25" t="s">
        <v>623</v>
      </c>
      <c r="J62" s="25" t="s">
        <v>615</v>
      </c>
      <c r="K62" s="25">
        <v>20</v>
      </c>
      <c r="L62" s="25">
        <v>7000</v>
      </c>
      <c r="M62" s="25">
        <v>140000</v>
      </c>
      <c r="N62" s="25">
        <v>119000</v>
      </c>
      <c r="O62" s="25">
        <v>21000</v>
      </c>
      <c r="P62" s="32">
        <v>0.15</v>
      </c>
    </row>
    <row r="63" spans="1:16" x14ac:dyDescent="0.25">
      <c r="A63" s="28" t="s">
        <v>116</v>
      </c>
      <c r="B63" s="24">
        <v>45971</v>
      </c>
      <c r="C63" s="24" t="s">
        <v>48</v>
      </c>
      <c r="D63" s="23">
        <v>2025</v>
      </c>
      <c r="E63" s="23" t="s">
        <v>601</v>
      </c>
      <c r="F63" s="23" t="s">
        <v>41</v>
      </c>
      <c r="G63" s="23" t="s">
        <v>610</v>
      </c>
      <c r="H63" s="23" t="s">
        <v>613</v>
      </c>
      <c r="I63" s="23" t="s">
        <v>630</v>
      </c>
      <c r="J63" s="23" t="s">
        <v>618</v>
      </c>
      <c r="K63" s="23">
        <v>7</v>
      </c>
      <c r="L63" s="23">
        <v>8000</v>
      </c>
      <c r="M63" s="23">
        <v>56000</v>
      </c>
      <c r="N63" s="23">
        <v>38640</v>
      </c>
      <c r="O63" s="23">
        <v>17360</v>
      </c>
      <c r="P63" s="31">
        <v>0.31</v>
      </c>
    </row>
    <row r="64" spans="1:16" x14ac:dyDescent="0.25">
      <c r="A64" s="29" t="s">
        <v>117</v>
      </c>
      <c r="B64" s="26">
        <v>45982</v>
      </c>
      <c r="C64" s="26" t="s">
        <v>48</v>
      </c>
      <c r="D64" s="25">
        <v>2025</v>
      </c>
      <c r="E64" s="25" t="s">
        <v>597</v>
      </c>
      <c r="F64" s="25" t="s">
        <v>41</v>
      </c>
      <c r="G64" s="25" t="s">
        <v>611</v>
      </c>
      <c r="H64" s="25" t="s">
        <v>613</v>
      </c>
      <c r="I64" s="25" t="s">
        <v>627</v>
      </c>
      <c r="J64" s="25" t="s">
        <v>615</v>
      </c>
      <c r="K64" s="25">
        <v>14</v>
      </c>
      <c r="L64" s="25">
        <v>300</v>
      </c>
      <c r="M64" s="25">
        <v>4200</v>
      </c>
      <c r="N64" s="25">
        <v>3234</v>
      </c>
      <c r="O64" s="25">
        <v>966</v>
      </c>
      <c r="P64" s="32">
        <v>0.23</v>
      </c>
    </row>
    <row r="65" spans="1:16" x14ac:dyDescent="0.25">
      <c r="A65" s="28" t="s">
        <v>118</v>
      </c>
      <c r="B65" s="24">
        <v>45886</v>
      </c>
      <c r="C65" s="24" t="s">
        <v>50</v>
      </c>
      <c r="D65" s="23">
        <v>2025</v>
      </c>
      <c r="E65" s="23" t="s">
        <v>601</v>
      </c>
      <c r="F65" s="23" t="s">
        <v>41</v>
      </c>
      <c r="G65" s="23" t="s">
        <v>610</v>
      </c>
      <c r="H65" s="23" t="s">
        <v>625</v>
      </c>
      <c r="I65" s="23" t="s">
        <v>631</v>
      </c>
      <c r="J65" s="23" t="s">
        <v>618</v>
      </c>
      <c r="K65" s="23">
        <v>12</v>
      </c>
      <c r="L65" s="23">
        <v>300</v>
      </c>
      <c r="M65" s="23">
        <v>3600</v>
      </c>
      <c r="N65" s="23">
        <v>2160</v>
      </c>
      <c r="O65" s="23">
        <v>1440</v>
      </c>
      <c r="P65" s="31">
        <v>0.4</v>
      </c>
    </row>
    <row r="66" spans="1:16" x14ac:dyDescent="0.25">
      <c r="A66" s="29" t="s">
        <v>119</v>
      </c>
      <c r="B66" s="26">
        <v>45966</v>
      </c>
      <c r="C66" s="26" t="s">
        <v>48</v>
      </c>
      <c r="D66" s="25">
        <v>2025</v>
      </c>
      <c r="E66" s="25" t="s">
        <v>601</v>
      </c>
      <c r="F66" s="25" t="s">
        <v>41</v>
      </c>
      <c r="G66" s="25" t="s">
        <v>608</v>
      </c>
      <c r="H66" s="25" t="s">
        <v>620</v>
      </c>
      <c r="I66" s="25" t="s">
        <v>614</v>
      </c>
      <c r="J66" s="25" t="s">
        <v>615</v>
      </c>
      <c r="K66" s="25">
        <v>12</v>
      </c>
      <c r="L66" s="25">
        <v>50</v>
      </c>
      <c r="M66" s="25">
        <v>600</v>
      </c>
      <c r="N66" s="25">
        <v>498</v>
      </c>
      <c r="O66" s="25">
        <v>102</v>
      </c>
      <c r="P66" s="32">
        <v>0.17</v>
      </c>
    </row>
    <row r="67" spans="1:16" x14ac:dyDescent="0.25">
      <c r="A67" s="28" t="s">
        <v>120</v>
      </c>
      <c r="B67" s="24">
        <v>45860</v>
      </c>
      <c r="C67" s="24" t="s">
        <v>83</v>
      </c>
      <c r="D67" s="23">
        <v>2025</v>
      </c>
      <c r="E67" s="23" t="s">
        <v>599</v>
      </c>
      <c r="F67" s="23" t="s">
        <v>39</v>
      </c>
      <c r="G67" s="23" t="s">
        <v>611</v>
      </c>
      <c r="H67" s="23" t="s">
        <v>625</v>
      </c>
      <c r="I67" s="25" t="s">
        <v>645</v>
      </c>
      <c r="J67" s="23" t="s">
        <v>618</v>
      </c>
      <c r="K67" s="23">
        <v>1</v>
      </c>
      <c r="L67" s="23">
        <v>9000</v>
      </c>
      <c r="M67" s="23">
        <v>9000</v>
      </c>
      <c r="N67" s="23">
        <v>6300</v>
      </c>
      <c r="O67" s="23">
        <v>2700</v>
      </c>
      <c r="P67" s="31">
        <v>0.3</v>
      </c>
    </row>
    <row r="68" spans="1:16" x14ac:dyDescent="0.25">
      <c r="A68" s="29" t="s">
        <v>121</v>
      </c>
      <c r="B68" s="26">
        <v>45819</v>
      </c>
      <c r="C68" s="26" t="s">
        <v>44</v>
      </c>
      <c r="D68" s="25">
        <v>2025</v>
      </c>
      <c r="E68" s="25" t="s">
        <v>607</v>
      </c>
      <c r="F68" s="25" t="s">
        <v>42</v>
      </c>
      <c r="G68" s="25" t="s">
        <v>610</v>
      </c>
      <c r="H68" s="25" t="s">
        <v>620</v>
      </c>
      <c r="I68" s="25" t="s">
        <v>614</v>
      </c>
      <c r="J68" s="25" t="s">
        <v>615</v>
      </c>
      <c r="K68" s="25">
        <v>12</v>
      </c>
      <c r="L68" s="25">
        <v>150</v>
      </c>
      <c r="M68" s="25">
        <v>1800</v>
      </c>
      <c r="N68" s="25">
        <v>1350</v>
      </c>
      <c r="O68" s="25">
        <v>450</v>
      </c>
      <c r="P68" s="32">
        <v>0.25</v>
      </c>
    </row>
    <row r="69" spans="1:16" x14ac:dyDescent="0.25">
      <c r="A69" s="28" t="s">
        <v>122</v>
      </c>
      <c r="B69" s="24">
        <v>45853</v>
      </c>
      <c r="C69" s="24" t="s">
        <v>83</v>
      </c>
      <c r="D69" s="23">
        <v>2025</v>
      </c>
      <c r="E69" s="23" t="s">
        <v>595</v>
      </c>
      <c r="F69" s="23" t="s">
        <v>39</v>
      </c>
      <c r="G69" s="23" t="s">
        <v>609</v>
      </c>
      <c r="H69" s="23" t="s">
        <v>613</v>
      </c>
      <c r="I69" s="23" t="s">
        <v>617</v>
      </c>
      <c r="J69" s="23" t="s">
        <v>615</v>
      </c>
      <c r="K69" s="23">
        <v>17</v>
      </c>
      <c r="L69" s="23">
        <v>300</v>
      </c>
      <c r="M69" s="23">
        <v>5100</v>
      </c>
      <c r="N69" s="23">
        <v>4284</v>
      </c>
      <c r="O69" s="23">
        <v>816</v>
      </c>
      <c r="P69" s="31">
        <v>0.16</v>
      </c>
    </row>
    <row r="70" spans="1:16" x14ac:dyDescent="0.25">
      <c r="A70" s="29" t="s">
        <v>123</v>
      </c>
      <c r="B70" s="26">
        <v>45786</v>
      </c>
      <c r="C70" s="26" t="s">
        <v>57</v>
      </c>
      <c r="D70" s="25">
        <v>2025</v>
      </c>
      <c r="E70" s="25" t="s">
        <v>593</v>
      </c>
      <c r="F70" s="25" t="s">
        <v>41</v>
      </c>
      <c r="G70" s="25" t="s">
        <v>609</v>
      </c>
      <c r="H70" s="25" t="s">
        <v>620</v>
      </c>
      <c r="I70" s="25" t="s">
        <v>631</v>
      </c>
      <c r="J70" s="25" t="s">
        <v>618</v>
      </c>
      <c r="K70" s="25">
        <v>3</v>
      </c>
      <c r="L70" s="25">
        <v>1200</v>
      </c>
      <c r="M70" s="25">
        <v>3600</v>
      </c>
      <c r="N70" s="25">
        <v>3204</v>
      </c>
      <c r="O70" s="25">
        <v>396</v>
      </c>
      <c r="P70" s="32">
        <v>0.11</v>
      </c>
    </row>
    <row r="71" spans="1:16" x14ac:dyDescent="0.25">
      <c r="A71" s="28" t="s">
        <v>124</v>
      </c>
      <c r="B71" s="24">
        <v>45758</v>
      </c>
      <c r="C71" s="24" t="s">
        <v>62</v>
      </c>
      <c r="D71" s="23">
        <v>2025</v>
      </c>
      <c r="E71" s="23" t="s">
        <v>596</v>
      </c>
      <c r="F71" s="23" t="s">
        <v>39</v>
      </c>
      <c r="G71" s="23" t="s">
        <v>612</v>
      </c>
      <c r="H71" s="23" t="s">
        <v>625</v>
      </c>
      <c r="I71" s="23" t="s">
        <v>614</v>
      </c>
      <c r="J71" s="23" t="s">
        <v>618</v>
      </c>
      <c r="K71" s="23">
        <v>2</v>
      </c>
      <c r="L71" s="23">
        <v>20</v>
      </c>
      <c r="M71" s="23">
        <v>40</v>
      </c>
      <c r="N71" s="23">
        <v>29.2</v>
      </c>
      <c r="O71" s="23">
        <v>10.8</v>
      </c>
      <c r="P71" s="31">
        <v>0.27</v>
      </c>
    </row>
    <row r="72" spans="1:16" x14ac:dyDescent="0.25">
      <c r="A72" s="29" t="s">
        <v>125</v>
      </c>
      <c r="B72" s="26">
        <v>45757</v>
      </c>
      <c r="C72" s="26" t="s">
        <v>62</v>
      </c>
      <c r="D72" s="25">
        <v>2025</v>
      </c>
      <c r="E72" s="25" t="s">
        <v>592</v>
      </c>
      <c r="F72" s="25" t="s">
        <v>40</v>
      </c>
      <c r="G72" s="25" t="s">
        <v>609</v>
      </c>
      <c r="H72" s="25" t="s">
        <v>613</v>
      </c>
      <c r="I72" s="25" t="s">
        <v>614</v>
      </c>
      <c r="J72" s="25" t="s">
        <v>618</v>
      </c>
      <c r="K72" s="25">
        <v>4</v>
      </c>
      <c r="L72" s="25">
        <v>25000</v>
      </c>
      <c r="M72" s="25">
        <v>100000</v>
      </c>
      <c r="N72" s="25">
        <v>64000</v>
      </c>
      <c r="O72" s="25">
        <v>36000</v>
      </c>
      <c r="P72" s="32">
        <v>0.36</v>
      </c>
    </row>
    <row r="73" spans="1:16" x14ac:dyDescent="0.25">
      <c r="A73" s="28" t="s">
        <v>126</v>
      </c>
      <c r="B73" s="24">
        <v>46017</v>
      </c>
      <c r="C73" s="24" t="s">
        <v>80</v>
      </c>
      <c r="D73" s="23">
        <v>2025</v>
      </c>
      <c r="E73" s="23" t="s">
        <v>601</v>
      </c>
      <c r="F73" s="23" t="s">
        <v>41</v>
      </c>
      <c r="G73" s="23" t="s">
        <v>609</v>
      </c>
      <c r="H73" s="23" t="s">
        <v>625</v>
      </c>
      <c r="I73" s="23" t="s">
        <v>619</v>
      </c>
      <c r="J73" s="23" t="s">
        <v>618</v>
      </c>
      <c r="K73" s="23">
        <v>3</v>
      </c>
      <c r="L73" s="23">
        <v>300</v>
      </c>
      <c r="M73" s="23">
        <v>900</v>
      </c>
      <c r="N73" s="23">
        <v>693</v>
      </c>
      <c r="O73" s="23">
        <v>207</v>
      </c>
      <c r="P73" s="31">
        <v>0.23</v>
      </c>
    </row>
    <row r="74" spans="1:16" x14ac:dyDescent="0.25">
      <c r="A74" s="29" t="s">
        <v>127</v>
      </c>
      <c r="B74" s="26">
        <v>45954</v>
      </c>
      <c r="C74" s="26" t="s">
        <v>65</v>
      </c>
      <c r="D74" s="25">
        <v>2025</v>
      </c>
      <c r="E74" s="25" t="s">
        <v>607</v>
      </c>
      <c r="F74" s="25" t="s">
        <v>42</v>
      </c>
      <c r="G74" s="25" t="s">
        <v>612</v>
      </c>
      <c r="H74" s="25" t="s">
        <v>616</v>
      </c>
      <c r="I74" s="25" t="s">
        <v>630</v>
      </c>
      <c r="J74" s="25" t="s">
        <v>615</v>
      </c>
      <c r="K74" s="25">
        <v>17</v>
      </c>
      <c r="L74" s="25">
        <v>20</v>
      </c>
      <c r="M74" s="25">
        <v>340</v>
      </c>
      <c r="N74" s="25">
        <v>244.8</v>
      </c>
      <c r="O74" s="25">
        <v>95.199999999999989</v>
      </c>
      <c r="P74" s="32">
        <v>0.27999999999999997</v>
      </c>
    </row>
    <row r="75" spans="1:16" x14ac:dyDescent="0.25">
      <c r="A75" s="28" t="s">
        <v>128</v>
      </c>
      <c r="B75" s="24">
        <v>45739</v>
      </c>
      <c r="C75" s="24" t="s">
        <v>46</v>
      </c>
      <c r="D75" s="23">
        <v>2025</v>
      </c>
      <c r="E75" s="23" t="s">
        <v>595</v>
      </c>
      <c r="F75" s="23" t="s">
        <v>39</v>
      </c>
      <c r="G75" s="23" t="s">
        <v>608</v>
      </c>
      <c r="H75" s="23" t="s">
        <v>622</v>
      </c>
      <c r="I75" s="23" t="s">
        <v>619</v>
      </c>
      <c r="J75" s="23" t="s">
        <v>615</v>
      </c>
      <c r="K75" s="23">
        <v>8</v>
      </c>
      <c r="L75" s="23">
        <v>8000</v>
      </c>
      <c r="M75" s="23">
        <v>64000</v>
      </c>
      <c r="N75" s="23">
        <v>51200</v>
      </c>
      <c r="O75" s="23">
        <v>12800</v>
      </c>
      <c r="P75" s="31">
        <v>0.2</v>
      </c>
    </row>
    <row r="76" spans="1:16" x14ac:dyDescent="0.25">
      <c r="A76" s="29" t="s">
        <v>129</v>
      </c>
      <c r="B76" s="26">
        <v>45742</v>
      </c>
      <c r="C76" s="26" t="s">
        <v>46</v>
      </c>
      <c r="D76" s="25">
        <v>2025</v>
      </c>
      <c r="E76" s="25" t="s">
        <v>601</v>
      </c>
      <c r="F76" s="25" t="s">
        <v>41</v>
      </c>
      <c r="G76" s="25" t="s">
        <v>609</v>
      </c>
      <c r="H76" s="25" t="s">
        <v>626</v>
      </c>
      <c r="I76" s="25" t="s">
        <v>619</v>
      </c>
      <c r="J76" s="25" t="s">
        <v>618</v>
      </c>
      <c r="K76" s="25">
        <v>10</v>
      </c>
      <c r="L76" s="25">
        <v>300</v>
      </c>
      <c r="M76" s="25">
        <v>3000</v>
      </c>
      <c r="N76" s="25">
        <v>2190</v>
      </c>
      <c r="O76" s="25">
        <v>810</v>
      </c>
      <c r="P76" s="32">
        <v>0.27</v>
      </c>
    </row>
    <row r="77" spans="1:16" x14ac:dyDescent="0.25">
      <c r="A77" s="28" t="s">
        <v>130</v>
      </c>
      <c r="B77" s="24">
        <v>46004</v>
      </c>
      <c r="C77" s="24" t="s">
        <v>80</v>
      </c>
      <c r="D77" s="23">
        <v>2025</v>
      </c>
      <c r="E77" s="23" t="s">
        <v>596</v>
      </c>
      <c r="F77" s="23" t="s">
        <v>39</v>
      </c>
      <c r="G77" s="23" t="s">
        <v>610</v>
      </c>
      <c r="H77" s="23" t="s">
        <v>613</v>
      </c>
      <c r="I77" s="25" t="s">
        <v>645</v>
      </c>
      <c r="J77" s="23" t="s">
        <v>615</v>
      </c>
      <c r="K77" s="23">
        <v>9</v>
      </c>
      <c r="L77" s="23">
        <v>7000</v>
      </c>
      <c r="M77" s="23">
        <v>63000</v>
      </c>
      <c r="N77" s="23">
        <v>39060</v>
      </c>
      <c r="O77" s="23">
        <v>23940</v>
      </c>
      <c r="P77" s="31">
        <v>0.38</v>
      </c>
    </row>
    <row r="78" spans="1:16" x14ac:dyDescent="0.25">
      <c r="A78" s="29" t="s">
        <v>131</v>
      </c>
      <c r="B78" s="26">
        <v>45774</v>
      </c>
      <c r="C78" s="26" t="s">
        <v>62</v>
      </c>
      <c r="D78" s="25">
        <v>2025</v>
      </c>
      <c r="E78" s="25" t="s">
        <v>603</v>
      </c>
      <c r="F78" s="25" t="s">
        <v>42</v>
      </c>
      <c r="G78" s="25" t="s">
        <v>610</v>
      </c>
      <c r="H78" s="25" t="s">
        <v>616</v>
      </c>
      <c r="I78" s="25" t="s">
        <v>619</v>
      </c>
      <c r="J78" s="25" t="s">
        <v>615</v>
      </c>
      <c r="K78" s="25">
        <v>10</v>
      </c>
      <c r="L78" s="25">
        <v>55000</v>
      </c>
      <c r="M78" s="25">
        <v>550000</v>
      </c>
      <c r="N78" s="25">
        <v>434500</v>
      </c>
      <c r="O78" s="25">
        <v>115500</v>
      </c>
      <c r="P78" s="32">
        <v>0.21</v>
      </c>
    </row>
    <row r="79" spans="1:16" x14ac:dyDescent="0.25">
      <c r="A79" s="28" t="s">
        <v>132</v>
      </c>
      <c r="B79" s="24">
        <v>45964</v>
      </c>
      <c r="C79" s="24" t="s">
        <v>48</v>
      </c>
      <c r="D79" s="23">
        <v>2025</v>
      </c>
      <c r="E79" s="23" t="s">
        <v>605</v>
      </c>
      <c r="F79" s="23" t="s">
        <v>40</v>
      </c>
      <c r="G79" s="23" t="s">
        <v>609</v>
      </c>
      <c r="H79" s="23" t="s">
        <v>629</v>
      </c>
      <c r="I79" s="23" t="s">
        <v>630</v>
      </c>
      <c r="J79" s="23" t="s">
        <v>618</v>
      </c>
      <c r="K79" s="23">
        <v>20</v>
      </c>
      <c r="L79" s="23">
        <v>50</v>
      </c>
      <c r="M79" s="23">
        <v>1000</v>
      </c>
      <c r="N79" s="23">
        <v>670</v>
      </c>
      <c r="O79" s="23">
        <v>330</v>
      </c>
      <c r="P79" s="31">
        <v>0.33</v>
      </c>
    </row>
    <row r="80" spans="1:16" x14ac:dyDescent="0.25">
      <c r="A80" s="29" t="s">
        <v>133</v>
      </c>
      <c r="B80" s="26">
        <v>45831</v>
      </c>
      <c r="C80" s="26" t="s">
        <v>44</v>
      </c>
      <c r="D80" s="25">
        <v>2025</v>
      </c>
      <c r="E80" s="25" t="s">
        <v>592</v>
      </c>
      <c r="F80" s="25" t="s">
        <v>40</v>
      </c>
      <c r="G80" s="25" t="s">
        <v>608</v>
      </c>
      <c r="H80" s="25" t="s">
        <v>620</v>
      </c>
      <c r="I80" s="25" t="s">
        <v>614</v>
      </c>
      <c r="J80" s="25" t="s">
        <v>615</v>
      </c>
      <c r="K80" s="25">
        <v>18</v>
      </c>
      <c r="L80" s="25">
        <v>150</v>
      </c>
      <c r="M80" s="25">
        <v>2700</v>
      </c>
      <c r="N80" s="25">
        <v>1971</v>
      </c>
      <c r="O80" s="25">
        <v>729</v>
      </c>
      <c r="P80" s="32">
        <v>0.27</v>
      </c>
    </row>
    <row r="81" spans="1:16" x14ac:dyDescent="0.25">
      <c r="A81" s="28" t="s">
        <v>134</v>
      </c>
      <c r="B81" s="24">
        <v>46000</v>
      </c>
      <c r="C81" s="24" t="s">
        <v>80</v>
      </c>
      <c r="D81" s="23">
        <v>2025</v>
      </c>
      <c r="E81" s="23" t="s">
        <v>603</v>
      </c>
      <c r="F81" s="23" t="s">
        <v>42</v>
      </c>
      <c r="G81" s="23" t="s">
        <v>608</v>
      </c>
      <c r="H81" s="23" t="s">
        <v>629</v>
      </c>
      <c r="I81" s="23" t="s">
        <v>619</v>
      </c>
      <c r="J81" s="23" t="s">
        <v>618</v>
      </c>
      <c r="K81" s="23">
        <v>11</v>
      </c>
      <c r="L81" s="23">
        <v>50</v>
      </c>
      <c r="M81" s="23">
        <v>550</v>
      </c>
      <c r="N81" s="23">
        <v>401.5</v>
      </c>
      <c r="O81" s="23">
        <v>148.5</v>
      </c>
      <c r="P81" s="31">
        <v>0.27</v>
      </c>
    </row>
    <row r="82" spans="1:16" x14ac:dyDescent="0.25">
      <c r="A82" s="29" t="s">
        <v>135</v>
      </c>
      <c r="B82" s="26">
        <v>45723</v>
      </c>
      <c r="C82" s="26" t="s">
        <v>46</v>
      </c>
      <c r="D82" s="25">
        <v>2025</v>
      </c>
      <c r="E82" s="25" t="s">
        <v>597</v>
      </c>
      <c r="F82" s="25" t="s">
        <v>41</v>
      </c>
      <c r="G82" s="25" t="s">
        <v>612</v>
      </c>
      <c r="H82" s="25" t="s">
        <v>626</v>
      </c>
      <c r="I82" s="25" t="s">
        <v>631</v>
      </c>
      <c r="J82" s="25" t="s">
        <v>618</v>
      </c>
      <c r="K82" s="25">
        <v>10</v>
      </c>
      <c r="L82" s="25">
        <v>4000</v>
      </c>
      <c r="M82" s="25">
        <v>40000</v>
      </c>
      <c r="N82" s="25">
        <v>33200</v>
      </c>
      <c r="O82" s="25">
        <v>6800</v>
      </c>
      <c r="P82" s="32">
        <v>0.17</v>
      </c>
    </row>
    <row r="83" spans="1:16" x14ac:dyDescent="0.25">
      <c r="A83" s="28" t="s">
        <v>136</v>
      </c>
      <c r="B83" s="24">
        <v>45949</v>
      </c>
      <c r="C83" s="24" t="s">
        <v>65</v>
      </c>
      <c r="D83" s="23">
        <v>2025</v>
      </c>
      <c r="E83" s="23" t="s">
        <v>605</v>
      </c>
      <c r="F83" s="23" t="s">
        <v>40</v>
      </c>
      <c r="G83" s="23" t="s">
        <v>608</v>
      </c>
      <c r="H83" s="23" t="s">
        <v>629</v>
      </c>
      <c r="I83" s="23" t="s">
        <v>623</v>
      </c>
      <c r="J83" s="23" t="s">
        <v>615</v>
      </c>
      <c r="K83" s="23">
        <v>16</v>
      </c>
      <c r="L83" s="23">
        <v>8000</v>
      </c>
      <c r="M83" s="23">
        <v>128000</v>
      </c>
      <c r="N83" s="23">
        <v>104960</v>
      </c>
      <c r="O83" s="23">
        <v>23040</v>
      </c>
      <c r="P83" s="31">
        <v>0.18</v>
      </c>
    </row>
    <row r="84" spans="1:16" x14ac:dyDescent="0.25">
      <c r="A84" s="29" t="s">
        <v>137</v>
      </c>
      <c r="B84" s="26">
        <v>45670</v>
      </c>
      <c r="C84" s="26" t="s">
        <v>59</v>
      </c>
      <c r="D84" s="25">
        <v>2025</v>
      </c>
      <c r="E84" s="25" t="s">
        <v>606</v>
      </c>
      <c r="F84" s="25" t="s">
        <v>40</v>
      </c>
      <c r="G84" s="25" t="s">
        <v>612</v>
      </c>
      <c r="H84" s="25" t="s">
        <v>622</v>
      </c>
      <c r="I84" s="25" t="s">
        <v>617</v>
      </c>
      <c r="J84" s="25" t="s">
        <v>615</v>
      </c>
      <c r="K84" s="25">
        <v>18</v>
      </c>
      <c r="L84" s="25">
        <v>4000</v>
      </c>
      <c r="M84" s="25">
        <v>72000</v>
      </c>
      <c r="N84" s="25">
        <v>59040</v>
      </c>
      <c r="O84" s="25">
        <v>12960</v>
      </c>
      <c r="P84" s="32">
        <v>0.18</v>
      </c>
    </row>
    <row r="85" spans="1:16" x14ac:dyDescent="0.25">
      <c r="A85" s="28" t="s">
        <v>138</v>
      </c>
      <c r="B85" s="24">
        <v>45786</v>
      </c>
      <c r="C85" s="24" t="s">
        <v>57</v>
      </c>
      <c r="D85" s="23">
        <v>2025</v>
      </c>
      <c r="E85" s="23" t="s">
        <v>603</v>
      </c>
      <c r="F85" s="23" t="s">
        <v>42</v>
      </c>
      <c r="G85" s="23" t="s">
        <v>608</v>
      </c>
      <c r="H85" s="23" t="s">
        <v>629</v>
      </c>
      <c r="I85" s="23" t="s">
        <v>631</v>
      </c>
      <c r="J85" s="23" t="s">
        <v>615</v>
      </c>
      <c r="K85" s="23">
        <v>4</v>
      </c>
      <c r="L85" s="23">
        <v>12000</v>
      </c>
      <c r="M85" s="23">
        <v>48000</v>
      </c>
      <c r="N85" s="23">
        <v>34560</v>
      </c>
      <c r="O85" s="23">
        <v>13440</v>
      </c>
      <c r="P85" s="31">
        <v>0.28000000000000003</v>
      </c>
    </row>
    <row r="86" spans="1:16" x14ac:dyDescent="0.25">
      <c r="A86" s="29" t="s">
        <v>139</v>
      </c>
      <c r="B86" s="26">
        <v>45940</v>
      </c>
      <c r="C86" s="26" t="s">
        <v>65</v>
      </c>
      <c r="D86" s="25">
        <v>2025</v>
      </c>
      <c r="E86" s="25" t="s">
        <v>598</v>
      </c>
      <c r="F86" s="25" t="s">
        <v>40</v>
      </c>
      <c r="G86" s="25" t="s">
        <v>609</v>
      </c>
      <c r="H86" s="25" t="s">
        <v>621</v>
      </c>
      <c r="I86" s="25" t="s">
        <v>617</v>
      </c>
      <c r="J86" s="25" t="s">
        <v>618</v>
      </c>
      <c r="K86" s="25">
        <v>1</v>
      </c>
      <c r="L86" s="25">
        <v>150</v>
      </c>
      <c r="M86" s="25">
        <v>150</v>
      </c>
      <c r="N86" s="25">
        <v>132</v>
      </c>
      <c r="O86" s="25">
        <v>18</v>
      </c>
      <c r="P86" s="32">
        <v>0.12</v>
      </c>
    </row>
    <row r="87" spans="1:16" x14ac:dyDescent="0.25">
      <c r="A87" s="28" t="s">
        <v>140</v>
      </c>
      <c r="B87" s="24">
        <v>45944</v>
      </c>
      <c r="C87" s="24" t="s">
        <v>65</v>
      </c>
      <c r="D87" s="23">
        <v>2025</v>
      </c>
      <c r="E87" s="23" t="s">
        <v>603</v>
      </c>
      <c r="F87" s="23" t="s">
        <v>42</v>
      </c>
      <c r="G87" s="23" t="s">
        <v>611</v>
      </c>
      <c r="H87" s="23" t="s">
        <v>629</v>
      </c>
      <c r="I87" s="23" t="s">
        <v>619</v>
      </c>
      <c r="J87" s="23" t="s">
        <v>618</v>
      </c>
      <c r="K87" s="23">
        <v>17</v>
      </c>
      <c r="L87" s="23">
        <v>150</v>
      </c>
      <c r="M87" s="23">
        <v>2550</v>
      </c>
      <c r="N87" s="23">
        <v>1606.5</v>
      </c>
      <c r="O87" s="23">
        <v>943.5</v>
      </c>
      <c r="P87" s="31">
        <v>0.37</v>
      </c>
    </row>
    <row r="88" spans="1:16" x14ac:dyDescent="0.25">
      <c r="A88" s="29" t="s">
        <v>141</v>
      </c>
      <c r="B88" s="26">
        <v>45712</v>
      </c>
      <c r="C88" s="26" t="s">
        <v>55</v>
      </c>
      <c r="D88" s="25">
        <v>2025</v>
      </c>
      <c r="E88" s="25" t="s">
        <v>602</v>
      </c>
      <c r="F88" s="25" t="s">
        <v>42</v>
      </c>
      <c r="G88" s="25" t="s">
        <v>612</v>
      </c>
      <c r="H88" s="25" t="s">
        <v>613</v>
      </c>
      <c r="I88" s="25" t="s">
        <v>623</v>
      </c>
      <c r="J88" s="25" t="s">
        <v>615</v>
      </c>
      <c r="K88" s="25">
        <v>4</v>
      </c>
      <c r="L88" s="25">
        <v>20</v>
      </c>
      <c r="M88" s="25">
        <v>80</v>
      </c>
      <c r="N88" s="25">
        <v>58.4</v>
      </c>
      <c r="O88" s="25">
        <v>21.6</v>
      </c>
      <c r="P88" s="32">
        <v>0.27</v>
      </c>
    </row>
    <row r="89" spans="1:16" x14ac:dyDescent="0.25">
      <c r="A89" s="28" t="s">
        <v>142</v>
      </c>
      <c r="B89" s="24">
        <v>45824</v>
      </c>
      <c r="C89" s="24" t="s">
        <v>44</v>
      </c>
      <c r="D89" s="23">
        <v>2025</v>
      </c>
      <c r="E89" s="23" t="s">
        <v>599</v>
      </c>
      <c r="F89" s="23" t="s">
        <v>39</v>
      </c>
      <c r="G89" s="23" t="s">
        <v>612</v>
      </c>
      <c r="H89" s="23" t="s">
        <v>629</v>
      </c>
      <c r="I89" s="23" t="s">
        <v>614</v>
      </c>
      <c r="J89" s="23" t="s">
        <v>618</v>
      </c>
      <c r="K89" s="23">
        <v>1</v>
      </c>
      <c r="L89" s="23">
        <v>4000</v>
      </c>
      <c r="M89" s="23">
        <v>4000</v>
      </c>
      <c r="N89" s="23">
        <v>3120</v>
      </c>
      <c r="O89" s="23">
        <v>880</v>
      </c>
      <c r="P89" s="31">
        <v>0.22</v>
      </c>
    </row>
    <row r="90" spans="1:16" x14ac:dyDescent="0.25">
      <c r="A90" s="29" t="s">
        <v>143</v>
      </c>
      <c r="B90" s="26">
        <v>45920</v>
      </c>
      <c r="C90" s="26" t="s">
        <v>53</v>
      </c>
      <c r="D90" s="25">
        <v>2025</v>
      </c>
      <c r="E90" s="25" t="s">
        <v>593</v>
      </c>
      <c r="F90" s="25" t="s">
        <v>41</v>
      </c>
      <c r="G90" s="25" t="s">
        <v>609</v>
      </c>
      <c r="H90" s="25" t="s">
        <v>625</v>
      </c>
      <c r="I90" s="25" t="s">
        <v>645</v>
      </c>
      <c r="J90" s="25" t="s">
        <v>615</v>
      </c>
      <c r="K90" s="25">
        <v>1</v>
      </c>
      <c r="L90" s="25">
        <v>4000</v>
      </c>
      <c r="M90" s="25">
        <v>4000</v>
      </c>
      <c r="N90" s="25">
        <v>2600</v>
      </c>
      <c r="O90" s="25">
        <v>1400</v>
      </c>
      <c r="P90" s="32">
        <v>0.35</v>
      </c>
    </row>
    <row r="91" spans="1:16" x14ac:dyDescent="0.25">
      <c r="A91" s="28" t="s">
        <v>144</v>
      </c>
      <c r="B91" s="24">
        <v>45786</v>
      </c>
      <c r="C91" s="24" t="s">
        <v>57</v>
      </c>
      <c r="D91" s="23">
        <v>2025</v>
      </c>
      <c r="E91" s="23" t="s">
        <v>604</v>
      </c>
      <c r="F91" s="23" t="s">
        <v>41</v>
      </c>
      <c r="G91" s="23" t="s">
        <v>612</v>
      </c>
      <c r="H91" s="23" t="s">
        <v>622</v>
      </c>
      <c r="I91" s="23" t="s">
        <v>631</v>
      </c>
      <c r="J91" s="23" t="s">
        <v>618</v>
      </c>
      <c r="K91" s="23">
        <v>6</v>
      </c>
      <c r="L91" s="23">
        <v>300</v>
      </c>
      <c r="M91" s="23">
        <v>1800</v>
      </c>
      <c r="N91" s="23">
        <v>1152</v>
      </c>
      <c r="O91" s="23">
        <v>648</v>
      </c>
      <c r="P91" s="31">
        <v>0.36</v>
      </c>
    </row>
    <row r="92" spans="1:16" x14ac:dyDescent="0.25">
      <c r="A92" s="29" t="s">
        <v>145</v>
      </c>
      <c r="B92" s="26">
        <v>45965</v>
      </c>
      <c r="C92" s="26" t="s">
        <v>48</v>
      </c>
      <c r="D92" s="25">
        <v>2025</v>
      </c>
      <c r="E92" s="25" t="s">
        <v>593</v>
      </c>
      <c r="F92" s="25" t="s">
        <v>41</v>
      </c>
      <c r="G92" s="25" t="s">
        <v>609</v>
      </c>
      <c r="H92" s="25" t="s">
        <v>621</v>
      </c>
      <c r="I92" s="25" t="s">
        <v>619</v>
      </c>
      <c r="J92" s="25" t="s">
        <v>618</v>
      </c>
      <c r="K92" s="25">
        <v>2</v>
      </c>
      <c r="L92" s="25">
        <v>55000</v>
      </c>
      <c r="M92" s="25">
        <v>110000</v>
      </c>
      <c r="N92" s="25">
        <v>74800</v>
      </c>
      <c r="O92" s="25">
        <v>35200</v>
      </c>
      <c r="P92" s="32">
        <v>0.32</v>
      </c>
    </row>
    <row r="93" spans="1:16" x14ac:dyDescent="0.25">
      <c r="A93" s="28" t="s">
        <v>146</v>
      </c>
      <c r="B93" s="24">
        <v>45715</v>
      </c>
      <c r="C93" s="24" t="s">
        <v>55</v>
      </c>
      <c r="D93" s="23">
        <v>2025</v>
      </c>
      <c r="E93" s="23" t="s">
        <v>607</v>
      </c>
      <c r="F93" s="23" t="s">
        <v>42</v>
      </c>
      <c r="G93" s="23" t="s">
        <v>609</v>
      </c>
      <c r="H93" s="23" t="s">
        <v>625</v>
      </c>
      <c r="I93" s="23" t="s">
        <v>631</v>
      </c>
      <c r="J93" s="23" t="s">
        <v>618</v>
      </c>
      <c r="K93" s="23">
        <v>20</v>
      </c>
      <c r="L93" s="23">
        <v>50</v>
      </c>
      <c r="M93" s="23">
        <v>1000</v>
      </c>
      <c r="N93" s="23">
        <v>710</v>
      </c>
      <c r="O93" s="23">
        <v>290</v>
      </c>
      <c r="P93" s="31">
        <v>0.28999999999999998</v>
      </c>
    </row>
    <row r="94" spans="1:16" x14ac:dyDescent="0.25">
      <c r="A94" s="29" t="s">
        <v>147</v>
      </c>
      <c r="B94" s="26">
        <v>45865</v>
      </c>
      <c r="C94" s="26" t="s">
        <v>83</v>
      </c>
      <c r="D94" s="25">
        <v>2025</v>
      </c>
      <c r="E94" s="25" t="s">
        <v>596</v>
      </c>
      <c r="F94" s="25" t="s">
        <v>39</v>
      </c>
      <c r="G94" s="25" t="s">
        <v>610</v>
      </c>
      <c r="H94" s="25" t="s">
        <v>613</v>
      </c>
      <c r="I94" s="25" t="s">
        <v>617</v>
      </c>
      <c r="J94" s="25" t="s">
        <v>615</v>
      </c>
      <c r="K94" s="25">
        <v>5</v>
      </c>
      <c r="L94" s="25">
        <v>7000</v>
      </c>
      <c r="M94" s="25">
        <v>35000</v>
      </c>
      <c r="N94" s="25">
        <v>24500</v>
      </c>
      <c r="O94" s="25">
        <v>10500</v>
      </c>
      <c r="P94" s="32">
        <v>0.3</v>
      </c>
    </row>
    <row r="95" spans="1:16" x14ac:dyDescent="0.25">
      <c r="A95" s="28" t="s">
        <v>148</v>
      </c>
      <c r="B95" s="24">
        <v>45978</v>
      </c>
      <c r="C95" s="24" t="s">
        <v>48</v>
      </c>
      <c r="D95" s="23">
        <v>2025</v>
      </c>
      <c r="E95" s="23" t="s">
        <v>602</v>
      </c>
      <c r="F95" s="23" t="s">
        <v>42</v>
      </c>
      <c r="G95" s="23" t="s">
        <v>610</v>
      </c>
      <c r="H95" s="23" t="s">
        <v>626</v>
      </c>
      <c r="I95" s="23" t="s">
        <v>627</v>
      </c>
      <c r="J95" s="23" t="s">
        <v>618</v>
      </c>
      <c r="K95" s="23">
        <v>7</v>
      </c>
      <c r="L95" s="23">
        <v>3500</v>
      </c>
      <c r="M95" s="23">
        <v>24500</v>
      </c>
      <c r="N95" s="23">
        <v>15435</v>
      </c>
      <c r="O95" s="23">
        <v>9065</v>
      </c>
      <c r="P95" s="31">
        <v>0.37</v>
      </c>
    </row>
    <row r="96" spans="1:16" x14ac:dyDescent="0.25">
      <c r="A96" s="29" t="s">
        <v>149</v>
      </c>
      <c r="B96" s="26">
        <v>45860</v>
      </c>
      <c r="C96" s="26" t="s">
        <v>83</v>
      </c>
      <c r="D96" s="25">
        <v>2025</v>
      </c>
      <c r="E96" s="25" t="s">
        <v>601</v>
      </c>
      <c r="F96" s="25" t="s">
        <v>41</v>
      </c>
      <c r="G96" s="25" t="s">
        <v>611</v>
      </c>
      <c r="H96" s="25" t="s">
        <v>629</v>
      </c>
      <c r="I96" s="25" t="s">
        <v>630</v>
      </c>
      <c r="J96" s="25" t="s">
        <v>615</v>
      </c>
      <c r="K96" s="25">
        <v>9</v>
      </c>
      <c r="L96" s="25">
        <v>8000</v>
      </c>
      <c r="M96" s="25">
        <v>72000</v>
      </c>
      <c r="N96" s="25">
        <v>49680</v>
      </c>
      <c r="O96" s="25">
        <v>22320</v>
      </c>
      <c r="P96" s="32">
        <v>0.31</v>
      </c>
    </row>
    <row r="97" spans="1:16" x14ac:dyDescent="0.25">
      <c r="A97" s="28" t="s">
        <v>150</v>
      </c>
      <c r="B97" s="24">
        <v>45742</v>
      </c>
      <c r="C97" s="24" t="s">
        <v>46</v>
      </c>
      <c r="D97" s="23">
        <v>2025</v>
      </c>
      <c r="E97" s="23" t="s">
        <v>602</v>
      </c>
      <c r="F97" s="23" t="s">
        <v>42</v>
      </c>
      <c r="G97" s="23" t="s">
        <v>611</v>
      </c>
      <c r="H97" s="23" t="s">
        <v>616</v>
      </c>
      <c r="I97" s="23" t="s">
        <v>623</v>
      </c>
      <c r="J97" s="23" t="s">
        <v>618</v>
      </c>
      <c r="K97" s="23">
        <v>4</v>
      </c>
      <c r="L97" s="23">
        <v>150</v>
      </c>
      <c r="M97" s="23">
        <v>600</v>
      </c>
      <c r="N97" s="23">
        <v>390</v>
      </c>
      <c r="O97" s="23">
        <v>210</v>
      </c>
      <c r="P97" s="31">
        <v>0.35</v>
      </c>
    </row>
    <row r="98" spans="1:16" x14ac:dyDescent="0.25">
      <c r="A98" s="29" t="s">
        <v>151</v>
      </c>
      <c r="B98" s="26">
        <v>45879</v>
      </c>
      <c r="C98" s="26" t="s">
        <v>50</v>
      </c>
      <c r="D98" s="25">
        <v>2025</v>
      </c>
      <c r="E98" s="25" t="s">
        <v>599</v>
      </c>
      <c r="F98" s="25" t="s">
        <v>39</v>
      </c>
      <c r="G98" s="25" t="s">
        <v>612</v>
      </c>
      <c r="H98" s="25" t="s">
        <v>625</v>
      </c>
      <c r="I98" s="25" t="s">
        <v>645</v>
      </c>
      <c r="J98" s="25" t="s">
        <v>615</v>
      </c>
      <c r="K98" s="25">
        <v>8</v>
      </c>
      <c r="L98" s="25">
        <v>1200</v>
      </c>
      <c r="M98" s="25">
        <v>9600</v>
      </c>
      <c r="N98" s="25">
        <v>8352</v>
      </c>
      <c r="O98" s="25">
        <v>1248</v>
      </c>
      <c r="P98" s="32">
        <v>0.13</v>
      </c>
    </row>
    <row r="99" spans="1:16" x14ac:dyDescent="0.25">
      <c r="A99" s="28" t="s">
        <v>152</v>
      </c>
      <c r="B99" s="24">
        <v>45994</v>
      </c>
      <c r="C99" s="24" t="s">
        <v>80</v>
      </c>
      <c r="D99" s="23">
        <v>2025</v>
      </c>
      <c r="E99" s="23" t="s">
        <v>595</v>
      </c>
      <c r="F99" s="23" t="s">
        <v>39</v>
      </c>
      <c r="G99" s="23" t="s">
        <v>610</v>
      </c>
      <c r="H99" s="23" t="s">
        <v>616</v>
      </c>
      <c r="I99" s="23" t="s">
        <v>631</v>
      </c>
      <c r="J99" s="23" t="s">
        <v>615</v>
      </c>
      <c r="K99" s="23">
        <v>16</v>
      </c>
      <c r="L99" s="23">
        <v>15000</v>
      </c>
      <c r="M99" s="23">
        <v>240000</v>
      </c>
      <c r="N99" s="23">
        <v>192000</v>
      </c>
      <c r="O99" s="23">
        <v>48000</v>
      </c>
      <c r="P99" s="31">
        <v>0.2</v>
      </c>
    </row>
    <row r="100" spans="1:16" x14ac:dyDescent="0.25">
      <c r="A100" s="29" t="s">
        <v>153</v>
      </c>
      <c r="B100" s="26">
        <v>45904</v>
      </c>
      <c r="C100" s="26" t="s">
        <v>53</v>
      </c>
      <c r="D100" s="25">
        <v>2025</v>
      </c>
      <c r="E100" s="25" t="s">
        <v>607</v>
      </c>
      <c r="F100" s="25" t="s">
        <v>42</v>
      </c>
      <c r="G100" s="25" t="s">
        <v>608</v>
      </c>
      <c r="H100" s="25" t="s">
        <v>626</v>
      </c>
      <c r="I100" s="25" t="s">
        <v>631</v>
      </c>
      <c r="J100" s="25" t="s">
        <v>618</v>
      </c>
      <c r="K100" s="25">
        <v>16</v>
      </c>
      <c r="L100" s="25">
        <v>25000</v>
      </c>
      <c r="M100" s="25">
        <v>400000</v>
      </c>
      <c r="N100" s="25">
        <v>320000</v>
      </c>
      <c r="O100" s="25">
        <v>80000</v>
      </c>
      <c r="P100" s="32">
        <v>0.2</v>
      </c>
    </row>
    <row r="101" spans="1:16" x14ac:dyDescent="0.25">
      <c r="A101" s="28" t="s">
        <v>154</v>
      </c>
      <c r="B101" s="24">
        <v>45683</v>
      </c>
      <c r="C101" s="24" t="s">
        <v>59</v>
      </c>
      <c r="D101" s="23">
        <v>2025</v>
      </c>
      <c r="E101" s="23" t="s">
        <v>603</v>
      </c>
      <c r="F101" s="23" t="s">
        <v>42</v>
      </c>
      <c r="G101" s="23" t="s">
        <v>612</v>
      </c>
      <c r="H101" s="23" t="s">
        <v>620</v>
      </c>
      <c r="I101" s="23" t="s">
        <v>623</v>
      </c>
      <c r="J101" s="23" t="s">
        <v>618</v>
      </c>
      <c r="K101" s="23">
        <v>15</v>
      </c>
      <c r="L101" s="23">
        <v>55000</v>
      </c>
      <c r="M101" s="23">
        <v>825000</v>
      </c>
      <c r="N101" s="23">
        <v>701250</v>
      </c>
      <c r="O101" s="23">
        <v>123750</v>
      </c>
      <c r="P101" s="31">
        <v>0.15</v>
      </c>
    </row>
    <row r="102" spans="1:16" x14ac:dyDescent="0.25">
      <c r="A102" s="29" t="s">
        <v>155</v>
      </c>
      <c r="B102" s="26">
        <v>45873</v>
      </c>
      <c r="C102" s="26" t="s">
        <v>50</v>
      </c>
      <c r="D102" s="25">
        <v>2025</v>
      </c>
      <c r="E102" s="25" t="s">
        <v>592</v>
      </c>
      <c r="F102" s="25" t="s">
        <v>40</v>
      </c>
      <c r="G102" s="25" t="s">
        <v>610</v>
      </c>
      <c r="H102" s="25" t="s">
        <v>616</v>
      </c>
      <c r="I102" s="25" t="s">
        <v>617</v>
      </c>
      <c r="J102" s="25" t="s">
        <v>615</v>
      </c>
      <c r="K102" s="25">
        <v>19</v>
      </c>
      <c r="L102" s="25">
        <v>12000</v>
      </c>
      <c r="M102" s="25">
        <v>228000</v>
      </c>
      <c r="N102" s="25">
        <v>148200</v>
      </c>
      <c r="O102" s="25">
        <v>79800</v>
      </c>
      <c r="P102" s="32">
        <v>0.35</v>
      </c>
    </row>
    <row r="103" spans="1:16" x14ac:dyDescent="0.25">
      <c r="A103" s="28" t="s">
        <v>156</v>
      </c>
      <c r="B103" s="24">
        <v>45667</v>
      </c>
      <c r="C103" s="24" t="s">
        <v>59</v>
      </c>
      <c r="D103" s="23">
        <v>2025</v>
      </c>
      <c r="E103" s="23" t="s">
        <v>597</v>
      </c>
      <c r="F103" s="23" t="s">
        <v>41</v>
      </c>
      <c r="G103" s="23" t="s">
        <v>609</v>
      </c>
      <c r="H103" s="23" t="s">
        <v>629</v>
      </c>
      <c r="I103" s="23" t="s">
        <v>630</v>
      </c>
      <c r="J103" s="23" t="s">
        <v>618</v>
      </c>
      <c r="K103" s="23">
        <v>11</v>
      </c>
      <c r="L103" s="23">
        <v>50</v>
      </c>
      <c r="M103" s="23">
        <v>550</v>
      </c>
      <c r="N103" s="23">
        <v>478.5</v>
      </c>
      <c r="O103" s="23">
        <v>71.5</v>
      </c>
      <c r="P103" s="31">
        <v>0.13</v>
      </c>
    </row>
    <row r="104" spans="1:16" x14ac:dyDescent="0.25">
      <c r="A104" s="29" t="s">
        <v>157</v>
      </c>
      <c r="B104" s="26">
        <v>45872</v>
      </c>
      <c r="C104" s="26" t="s">
        <v>50</v>
      </c>
      <c r="D104" s="25">
        <v>2025</v>
      </c>
      <c r="E104" s="25" t="s">
        <v>598</v>
      </c>
      <c r="F104" s="25" t="s">
        <v>40</v>
      </c>
      <c r="G104" s="25" t="s">
        <v>610</v>
      </c>
      <c r="H104" s="25" t="s">
        <v>620</v>
      </c>
      <c r="I104" s="25" t="s">
        <v>645</v>
      </c>
      <c r="J104" s="25" t="s">
        <v>618</v>
      </c>
      <c r="K104" s="25">
        <v>9</v>
      </c>
      <c r="L104" s="25">
        <v>3500</v>
      </c>
      <c r="M104" s="25">
        <v>31500</v>
      </c>
      <c r="N104" s="25">
        <v>26460</v>
      </c>
      <c r="O104" s="25">
        <v>5040</v>
      </c>
      <c r="P104" s="32">
        <v>0.16</v>
      </c>
    </row>
    <row r="105" spans="1:16" x14ac:dyDescent="0.25">
      <c r="A105" s="28" t="s">
        <v>158</v>
      </c>
      <c r="B105" s="24">
        <v>45751</v>
      </c>
      <c r="C105" s="24" t="s">
        <v>62</v>
      </c>
      <c r="D105" s="23">
        <v>2025</v>
      </c>
      <c r="E105" s="23" t="s">
        <v>599</v>
      </c>
      <c r="F105" s="23" t="s">
        <v>39</v>
      </c>
      <c r="G105" s="23" t="s">
        <v>610</v>
      </c>
      <c r="H105" s="23" t="s">
        <v>621</v>
      </c>
      <c r="I105" s="25" t="s">
        <v>645</v>
      </c>
      <c r="J105" s="23" t="s">
        <v>615</v>
      </c>
      <c r="K105" s="23">
        <v>17</v>
      </c>
      <c r="L105" s="23">
        <v>12000</v>
      </c>
      <c r="M105" s="23">
        <v>204000</v>
      </c>
      <c r="N105" s="23">
        <v>159120</v>
      </c>
      <c r="O105" s="23">
        <v>44880</v>
      </c>
      <c r="P105" s="31">
        <v>0.22</v>
      </c>
    </row>
    <row r="106" spans="1:16" x14ac:dyDescent="0.25">
      <c r="A106" s="29" t="s">
        <v>159</v>
      </c>
      <c r="B106" s="26">
        <v>46003</v>
      </c>
      <c r="C106" s="26" t="s">
        <v>80</v>
      </c>
      <c r="D106" s="25">
        <v>2025</v>
      </c>
      <c r="E106" s="25" t="s">
        <v>594</v>
      </c>
      <c r="F106" s="25" t="s">
        <v>39</v>
      </c>
      <c r="G106" s="25" t="s">
        <v>609</v>
      </c>
      <c r="H106" s="25" t="s">
        <v>613</v>
      </c>
      <c r="I106" s="25" t="s">
        <v>630</v>
      </c>
      <c r="J106" s="25" t="s">
        <v>615</v>
      </c>
      <c r="K106" s="25">
        <v>14</v>
      </c>
      <c r="L106" s="25">
        <v>300</v>
      </c>
      <c r="M106" s="25">
        <v>4200</v>
      </c>
      <c r="N106" s="25">
        <v>3612</v>
      </c>
      <c r="O106" s="25">
        <v>588</v>
      </c>
      <c r="P106" s="32">
        <v>0.14000000000000001</v>
      </c>
    </row>
    <row r="107" spans="1:16" x14ac:dyDescent="0.25">
      <c r="A107" s="28" t="s">
        <v>160</v>
      </c>
      <c r="B107" s="24">
        <v>45843</v>
      </c>
      <c r="C107" s="24" t="s">
        <v>83</v>
      </c>
      <c r="D107" s="23">
        <v>2025</v>
      </c>
      <c r="E107" s="23" t="s">
        <v>599</v>
      </c>
      <c r="F107" s="23" t="s">
        <v>39</v>
      </c>
      <c r="G107" s="23" t="s">
        <v>610</v>
      </c>
      <c r="H107" s="23" t="s">
        <v>620</v>
      </c>
      <c r="I107" s="25" t="s">
        <v>645</v>
      </c>
      <c r="J107" s="23" t="s">
        <v>618</v>
      </c>
      <c r="K107" s="23">
        <v>13</v>
      </c>
      <c r="L107" s="23">
        <v>9000</v>
      </c>
      <c r="M107" s="23">
        <v>117000</v>
      </c>
      <c r="N107" s="23">
        <v>70200</v>
      </c>
      <c r="O107" s="23">
        <v>46800</v>
      </c>
      <c r="P107" s="31">
        <v>0.4</v>
      </c>
    </row>
    <row r="108" spans="1:16" x14ac:dyDescent="0.25">
      <c r="A108" s="29" t="s">
        <v>161</v>
      </c>
      <c r="B108" s="26">
        <v>45852</v>
      </c>
      <c r="C108" s="26" t="s">
        <v>83</v>
      </c>
      <c r="D108" s="25">
        <v>2025</v>
      </c>
      <c r="E108" s="25" t="s">
        <v>596</v>
      </c>
      <c r="F108" s="25" t="s">
        <v>39</v>
      </c>
      <c r="G108" s="25" t="s">
        <v>611</v>
      </c>
      <c r="H108" s="25" t="s">
        <v>621</v>
      </c>
      <c r="I108" s="25" t="s">
        <v>631</v>
      </c>
      <c r="J108" s="25" t="s">
        <v>618</v>
      </c>
      <c r="K108" s="25">
        <v>9</v>
      </c>
      <c r="L108" s="25">
        <v>1200</v>
      </c>
      <c r="M108" s="25">
        <v>10800</v>
      </c>
      <c r="N108" s="25">
        <v>9612</v>
      </c>
      <c r="O108" s="25">
        <v>1188</v>
      </c>
      <c r="P108" s="32">
        <v>0.11</v>
      </c>
    </row>
    <row r="109" spans="1:16" x14ac:dyDescent="0.25">
      <c r="A109" s="28" t="s">
        <v>162</v>
      </c>
      <c r="B109" s="24">
        <v>45692</v>
      </c>
      <c r="C109" s="24" t="s">
        <v>55</v>
      </c>
      <c r="D109" s="23">
        <v>2025</v>
      </c>
      <c r="E109" s="23" t="s">
        <v>593</v>
      </c>
      <c r="F109" s="23" t="s">
        <v>41</v>
      </c>
      <c r="G109" s="23" t="s">
        <v>609</v>
      </c>
      <c r="H109" s="23" t="s">
        <v>626</v>
      </c>
      <c r="I109" s="23" t="s">
        <v>623</v>
      </c>
      <c r="J109" s="23" t="s">
        <v>618</v>
      </c>
      <c r="K109" s="23">
        <v>18</v>
      </c>
      <c r="L109" s="23">
        <v>4000</v>
      </c>
      <c r="M109" s="23">
        <v>72000</v>
      </c>
      <c r="N109" s="23">
        <v>54720</v>
      </c>
      <c r="O109" s="23">
        <v>17280</v>
      </c>
      <c r="P109" s="31">
        <v>0.24</v>
      </c>
    </row>
    <row r="110" spans="1:16" x14ac:dyDescent="0.25">
      <c r="A110" s="29" t="s">
        <v>163</v>
      </c>
      <c r="B110" s="26">
        <v>45833</v>
      </c>
      <c r="C110" s="26" t="s">
        <v>44</v>
      </c>
      <c r="D110" s="25">
        <v>2025</v>
      </c>
      <c r="E110" s="25" t="s">
        <v>604</v>
      </c>
      <c r="F110" s="25" t="s">
        <v>41</v>
      </c>
      <c r="G110" s="25" t="s">
        <v>610</v>
      </c>
      <c r="H110" s="25" t="s">
        <v>622</v>
      </c>
      <c r="I110" s="25" t="s">
        <v>614</v>
      </c>
      <c r="J110" s="25" t="s">
        <v>618</v>
      </c>
      <c r="K110" s="25">
        <v>18</v>
      </c>
      <c r="L110" s="25">
        <v>8000</v>
      </c>
      <c r="M110" s="25">
        <v>144000</v>
      </c>
      <c r="N110" s="25">
        <v>113760</v>
      </c>
      <c r="O110" s="25">
        <v>30240</v>
      </c>
      <c r="P110" s="32">
        <v>0.21</v>
      </c>
    </row>
    <row r="111" spans="1:16" x14ac:dyDescent="0.25">
      <c r="A111" s="28" t="s">
        <v>164</v>
      </c>
      <c r="B111" s="24">
        <v>45766</v>
      </c>
      <c r="C111" s="24" t="s">
        <v>62</v>
      </c>
      <c r="D111" s="23">
        <v>2025</v>
      </c>
      <c r="E111" s="23" t="s">
        <v>599</v>
      </c>
      <c r="F111" s="23" t="s">
        <v>39</v>
      </c>
      <c r="G111" s="23" t="s">
        <v>612</v>
      </c>
      <c r="H111" s="23" t="s">
        <v>616</v>
      </c>
      <c r="I111" s="23" t="s">
        <v>627</v>
      </c>
      <c r="J111" s="23" t="s">
        <v>618</v>
      </c>
      <c r="K111" s="23">
        <v>20</v>
      </c>
      <c r="L111" s="23">
        <v>300</v>
      </c>
      <c r="M111" s="23">
        <v>6000</v>
      </c>
      <c r="N111" s="23">
        <v>3780</v>
      </c>
      <c r="O111" s="23">
        <v>2220</v>
      </c>
      <c r="P111" s="31">
        <v>0.37</v>
      </c>
    </row>
    <row r="112" spans="1:16" x14ac:dyDescent="0.25">
      <c r="A112" s="29" t="s">
        <v>165</v>
      </c>
      <c r="B112" s="26">
        <v>45786</v>
      </c>
      <c r="C112" s="26" t="s">
        <v>57</v>
      </c>
      <c r="D112" s="25">
        <v>2025</v>
      </c>
      <c r="E112" s="25" t="s">
        <v>595</v>
      </c>
      <c r="F112" s="25" t="s">
        <v>39</v>
      </c>
      <c r="G112" s="25" t="s">
        <v>609</v>
      </c>
      <c r="H112" s="25" t="s">
        <v>622</v>
      </c>
      <c r="I112" s="25" t="s">
        <v>617</v>
      </c>
      <c r="J112" s="25" t="s">
        <v>615</v>
      </c>
      <c r="K112" s="25">
        <v>9</v>
      </c>
      <c r="L112" s="25">
        <v>12000</v>
      </c>
      <c r="M112" s="25">
        <v>108000</v>
      </c>
      <c r="N112" s="25">
        <v>93960</v>
      </c>
      <c r="O112" s="25">
        <v>14040</v>
      </c>
      <c r="P112" s="32">
        <v>0.13</v>
      </c>
    </row>
    <row r="113" spans="1:16" x14ac:dyDescent="0.25">
      <c r="A113" s="28" t="s">
        <v>166</v>
      </c>
      <c r="B113" s="24">
        <v>45860</v>
      </c>
      <c r="C113" s="24" t="s">
        <v>83</v>
      </c>
      <c r="D113" s="23">
        <v>2025</v>
      </c>
      <c r="E113" s="23" t="s">
        <v>600</v>
      </c>
      <c r="F113" s="23" t="s">
        <v>39</v>
      </c>
      <c r="G113" s="23" t="s">
        <v>612</v>
      </c>
      <c r="H113" s="23" t="s">
        <v>624</v>
      </c>
      <c r="I113" s="23" t="s">
        <v>631</v>
      </c>
      <c r="J113" s="23" t="s">
        <v>615</v>
      </c>
      <c r="K113" s="23">
        <v>5</v>
      </c>
      <c r="L113" s="23">
        <v>8000</v>
      </c>
      <c r="M113" s="23">
        <v>40000</v>
      </c>
      <c r="N113" s="23">
        <v>32400</v>
      </c>
      <c r="O113" s="23">
        <v>7600</v>
      </c>
      <c r="P113" s="31">
        <v>0.19</v>
      </c>
    </row>
    <row r="114" spans="1:16" x14ac:dyDescent="0.25">
      <c r="A114" s="29" t="s">
        <v>167</v>
      </c>
      <c r="B114" s="26">
        <v>45718</v>
      </c>
      <c r="C114" s="26" t="s">
        <v>46</v>
      </c>
      <c r="D114" s="25">
        <v>2025</v>
      </c>
      <c r="E114" s="25" t="s">
        <v>597</v>
      </c>
      <c r="F114" s="25" t="s">
        <v>41</v>
      </c>
      <c r="G114" s="25" t="s">
        <v>610</v>
      </c>
      <c r="H114" s="25" t="s">
        <v>629</v>
      </c>
      <c r="I114" s="25" t="s">
        <v>623</v>
      </c>
      <c r="J114" s="25" t="s">
        <v>618</v>
      </c>
      <c r="K114" s="25">
        <v>11</v>
      </c>
      <c r="L114" s="25">
        <v>15000</v>
      </c>
      <c r="M114" s="25">
        <v>165000</v>
      </c>
      <c r="N114" s="25">
        <v>141900</v>
      </c>
      <c r="O114" s="25">
        <v>23100</v>
      </c>
      <c r="P114" s="32">
        <v>0.14000000000000001</v>
      </c>
    </row>
    <row r="115" spans="1:16" x14ac:dyDescent="0.25">
      <c r="A115" s="28" t="s">
        <v>168</v>
      </c>
      <c r="B115" s="24">
        <v>45714</v>
      </c>
      <c r="C115" s="24" t="s">
        <v>55</v>
      </c>
      <c r="D115" s="23">
        <v>2025</v>
      </c>
      <c r="E115" s="23" t="s">
        <v>607</v>
      </c>
      <c r="F115" s="23" t="s">
        <v>42</v>
      </c>
      <c r="G115" s="23" t="s">
        <v>609</v>
      </c>
      <c r="H115" s="23" t="s">
        <v>620</v>
      </c>
      <c r="I115" s="23" t="s">
        <v>623</v>
      </c>
      <c r="J115" s="23" t="s">
        <v>618</v>
      </c>
      <c r="K115" s="23">
        <v>20</v>
      </c>
      <c r="L115" s="23">
        <v>9000</v>
      </c>
      <c r="M115" s="23">
        <v>180000</v>
      </c>
      <c r="N115" s="23">
        <v>147600</v>
      </c>
      <c r="O115" s="23">
        <v>32400</v>
      </c>
      <c r="P115" s="31">
        <v>0.18</v>
      </c>
    </row>
    <row r="116" spans="1:16" x14ac:dyDescent="0.25">
      <c r="A116" s="29" t="s">
        <v>169</v>
      </c>
      <c r="B116" s="26">
        <v>45685</v>
      </c>
      <c r="C116" s="26" t="s">
        <v>59</v>
      </c>
      <c r="D116" s="25">
        <v>2025</v>
      </c>
      <c r="E116" s="25" t="s">
        <v>595</v>
      </c>
      <c r="F116" s="25" t="s">
        <v>39</v>
      </c>
      <c r="G116" s="25" t="s">
        <v>609</v>
      </c>
      <c r="H116" s="25" t="s">
        <v>613</v>
      </c>
      <c r="I116" s="25" t="s">
        <v>630</v>
      </c>
      <c r="J116" s="25" t="s">
        <v>615</v>
      </c>
      <c r="K116" s="25">
        <v>9</v>
      </c>
      <c r="L116" s="25">
        <v>55000</v>
      </c>
      <c r="M116" s="25">
        <v>495000</v>
      </c>
      <c r="N116" s="25">
        <v>326700</v>
      </c>
      <c r="O116" s="25">
        <v>168300</v>
      </c>
      <c r="P116" s="32">
        <v>0.34</v>
      </c>
    </row>
    <row r="117" spans="1:16" x14ac:dyDescent="0.25">
      <c r="A117" s="28" t="s">
        <v>170</v>
      </c>
      <c r="B117" s="24">
        <v>45949</v>
      </c>
      <c r="C117" s="24" t="s">
        <v>65</v>
      </c>
      <c r="D117" s="23">
        <v>2025</v>
      </c>
      <c r="E117" s="23" t="s">
        <v>595</v>
      </c>
      <c r="F117" s="23" t="s">
        <v>39</v>
      </c>
      <c r="G117" s="23" t="s">
        <v>608</v>
      </c>
      <c r="H117" s="23" t="s">
        <v>620</v>
      </c>
      <c r="I117" s="23" t="s">
        <v>619</v>
      </c>
      <c r="J117" s="23" t="s">
        <v>615</v>
      </c>
      <c r="K117" s="23">
        <v>18</v>
      </c>
      <c r="L117" s="23">
        <v>50</v>
      </c>
      <c r="M117" s="23">
        <v>900</v>
      </c>
      <c r="N117" s="23">
        <v>711</v>
      </c>
      <c r="O117" s="23">
        <v>189</v>
      </c>
      <c r="P117" s="31">
        <v>0.21</v>
      </c>
    </row>
    <row r="118" spans="1:16" x14ac:dyDescent="0.25">
      <c r="A118" s="29" t="s">
        <v>171</v>
      </c>
      <c r="B118" s="26">
        <v>45666</v>
      </c>
      <c r="C118" s="26" t="s">
        <v>59</v>
      </c>
      <c r="D118" s="25">
        <v>2025</v>
      </c>
      <c r="E118" s="25" t="s">
        <v>600</v>
      </c>
      <c r="F118" s="25" t="s">
        <v>39</v>
      </c>
      <c r="G118" s="25" t="s">
        <v>609</v>
      </c>
      <c r="H118" s="25" t="s">
        <v>625</v>
      </c>
      <c r="I118" s="25" t="s">
        <v>630</v>
      </c>
      <c r="J118" s="25" t="s">
        <v>615</v>
      </c>
      <c r="K118" s="25">
        <v>2</v>
      </c>
      <c r="L118" s="25">
        <v>50</v>
      </c>
      <c r="M118" s="25">
        <v>100</v>
      </c>
      <c r="N118" s="25">
        <v>69</v>
      </c>
      <c r="O118" s="25">
        <v>31</v>
      </c>
      <c r="P118" s="32">
        <v>0.31</v>
      </c>
    </row>
    <row r="119" spans="1:16" x14ac:dyDescent="0.25">
      <c r="A119" s="28" t="s">
        <v>172</v>
      </c>
      <c r="B119" s="24">
        <v>45701</v>
      </c>
      <c r="C119" s="24" t="s">
        <v>55</v>
      </c>
      <c r="D119" s="23">
        <v>2025</v>
      </c>
      <c r="E119" s="23" t="s">
        <v>605</v>
      </c>
      <c r="F119" s="23" t="s">
        <v>40</v>
      </c>
      <c r="G119" s="23" t="s">
        <v>612</v>
      </c>
      <c r="H119" s="23" t="s">
        <v>626</v>
      </c>
      <c r="I119" s="23" t="s">
        <v>630</v>
      </c>
      <c r="J119" s="23" t="s">
        <v>615</v>
      </c>
      <c r="K119" s="23">
        <v>2</v>
      </c>
      <c r="L119" s="23">
        <v>3500</v>
      </c>
      <c r="M119" s="23">
        <v>7000</v>
      </c>
      <c r="N119" s="23">
        <v>4340</v>
      </c>
      <c r="O119" s="23">
        <v>2660</v>
      </c>
      <c r="P119" s="31">
        <v>0.38</v>
      </c>
    </row>
    <row r="120" spans="1:16" x14ac:dyDescent="0.25">
      <c r="A120" s="29" t="s">
        <v>173</v>
      </c>
      <c r="B120" s="26">
        <v>45906</v>
      </c>
      <c r="C120" s="26" t="s">
        <v>53</v>
      </c>
      <c r="D120" s="25">
        <v>2025</v>
      </c>
      <c r="E120" s="25" t="s">
        <v>600</v>
      </c>
      <c r="F120" s="25" t="s">
        <v>39</v>
      </c>
      <c r="G120" s="25" t="s">
        <v>608</v>
      </c>
      <c r="H120" s="25" t="s">
        <v>628</v>
      </c>
      <c r="I120" s="25" t="s">
        <v>630</v>
      </c>
      <c r="J120" s="25" t="s">
        <v>618</v>
      </c>
      <c r="K120" s="25">
        <v>9</v>
      </c>
      <c r="L120" s="25">
        <v>20</v>
      </c>
      <c r="M120" s="25">
        <v>180</v>
      </c>
      <c r="N120" s="25">
        <v>131.4</v>
      </c>
      <c r="O120" s="25">
        <v>48.599999999999994</v>
      </c>
      <c r="P120" s="32">
        <v>0.26999999999999996</v>
      </c>
    </row>
    <row r="121" spans="1:16" x14ac:dyDescent="0.25">
      <c r="A121" s="28" t="s">
        <v>174</v>
      </c>
      <c r="B121" s="24">
        <v>45792</v>
      </c>
      <c r="C121" s="24" t="s">
        <v>57</v>
      </c>
      <c r="D121" s="23">
        <v>2025</v>
      </c>
      <c r="E121" s="23" t="s">
        <v>595</v>
      </c>
      <c r="F121" s="23" t="s">
        <v>39</v>
      </c>
      <c r="G121" s="23" t="s">
        <v>611</v>
      </c>
      <c r="H121" s="23" t="s">
        <v>629</v>
      </c>
      <c r="I121" s="23" t="s">
        <v>631</v>
      </c>
      <c r="J121" s="23" t="s">
        <v>615</v>
      </c>
      <c r="K121" s="23">
        <v>7</v>
      </c>
      <c r="L121" s="23">
        <v>3500</v>
      </c>
      <c r="M121" s="23">
        <v>24500</v>
      </c>
      <c r="N121" s="23">
        <v>21805</v>
      </c>
      <c r="O121" s="23">
        <v>2695</v>
      </c>
      <c r="P121" s="31">
        <v>0.11</v>
      </c>
    </row>
    <row r="122" spans="1:16" x14ac:dyDescent="0.25">
      <c r="A122" s="29" t="s">
        <v>175</v>
      </c>
      <c r="B122" s="26">
        <v>45673</v>
      </c>
      <c r="C122" s="26" t="s">
        <v>59</v>
      </c>
      <c r="D122" s="25">
        <v>2025</v>
      </c>
      <c r="E122" s="25" t="s">
        <v>603</v>
      </c>
      <c r="F122" s="25" t="s">
        <v>42</v>
      </c>
      <c r="G122" s="25" t="s">
        <v>608</v>
      </c>
      <c r="H122" s="25" t="s">
        <v>625</v>
      </c>
      <c r="I122" s="25" t="s">
        <v>630</v>
      </c>
      <c r="J122" s="25" t="s">
        <v>618</v>
      </c>
      <c r="K122" s="25">
        <v>3</v>
      </c>
      <c r="L122" s="25">
        <v>7000</v>
      </c>
      <c r="M122" s="25">
        <v>21000</v>
      </c>
      <c r="N122" s="25">
        <v>18690</v>
      </c>
      <c r="O122" s="25">
        <v>2310</v>
      </c>
      <c r="P122" s="32">
        <v>0.11</v>
      </c>
    </row>
    <row r="123" spans="1:16" x14ac:dyDescent="0.25">
      <c r="A123" s="28" t="s">
        <v>176</v>
      </c>
      <c r="B123" s="24">
        <v>45979</v>
      </c>
      <c r="C123" s="24" t="s">
        <v>48</v>
      </c>
      <c r="D123" s="23">
        <v>2025</v>
      </c>
      <c r="E123" s="23" t="s">
        <v>594</v>
      </c>
      <c r="F123" s="23" t="s">
        <v>39</v>
      </c>
      <c r="G123" s="23" t="s">
        <v>612</v>
      </c>
      <c r="H123" s="23" t="s">
        <v>629</v>
      </c>
      <c r="I123" s="23" t="s">
        <v>630</v>
      </c>
      <c r="J123" s="23" t="s">
        <v>615</v>
      </c>
      <c r="K123" s="23">
        <v>5</v>
      </c>
      <c r="L123" s="23">
        <v>150</v>
      </c>
      <c r="M123" s="23">
        <v>750</v>
      </c>
      <c r="N123" s="23">
        <v>622.5</v>
      </c>
      <c r="O123" s="23">
        <v>127.5</v>
      </c>
      <c r="P123" s="31">
        <v>0.17</v>
      </c>
    </row>
    <row r="124" spans="1:16" x14ac:dyDescent="0.25">
      <c r="A124" s="29" t="s">
        <v>177</v>
      </c>
      <c r="B124" s="26">
        <v>45728</v>
      </c>
      <c r="C124" s="26" t="s">
        <v>46</v>
      </c>
      <c r="D124" s="25">
        <v>2025</v>
      </c>
      <c r="E124" s="25" t="s">
        <v>600</v>
      </c>
      <c r="F124" s="25" t="s">
        <v>39</v>
      </c>
      <c r="G124" s="25" t="s">
        <v>611</v>
      </c>
      <c r="H124" s="25" t="s">
        <v>626</v>
      </c>
      <c r="I124" s="25" t="s">
        <v>627</v>
      </c>
      <c r="J124" s="25" t="s">
        <v>618</v>
      </c>
      <c r="K124" s="25">
        <v>9</v>
      </c>
      <c r="L124" s="25">
        <v>55000</v>
      </c>
      <c r="M124" s="25">
        <v>495000</v>
      </c>
      <c r="N124" s="25">
        <v>376200</v>
      </c>
      <c r="O124" s="25">
        <v>118800</v>
      </c>
      <c r="P124" s="32">
        <v>0.24</v>
      </c>
    </row>
    <row r="125" spans="1:16" x14ac:dyDescent="0.25">
      <c r="A125" s="28" t="s">
        <v>178</v>
      </c>
      <c r="B125" s="24">
        <v>45750</v>
      </c>
      <c r="C125" s="24" t="s">
        <v>62</v>
      </c>
      <c r="D125" s="23">
        <v>2025</v>
      </c>
      <c r="E125" s="23" t="s">
        <v>596</v>
      </c>
      <c r="F125" s="23" t="s">
        <v>39</v>
      </c>
      <c r="G125" s="23" t="s">
        <v>611</v>
      </c>
      <c r="H125" s="23" t="s">
        <v>624</v>
      </c>
      <c r="I125" s="23" t="s">
        <v>627</v>
      </c>
      <c r="J125" s="23" t="s">
        <v>615</v>
      </c>
      <c r="K125" s="23">
        <v>10</v>
      </c>
      <c r="L125" s="23">
        <v>15000</v>
      </c>
      <c r="M125" s="23">
        <v>150000</v>
      </c>
      <c r="N125" s="23">
        <v>118500</v>
      </c>
      <c r="O125" s="23">
        <v>31500</v>
      </c>
      <c r="P125" s="31">
        <v>0.21</v>
      </c>
    </row>
    <row r="126" spans="1:16" x14ac:dyDescent="0.25">
      <c r="A126" s="29" t="s">
        <v>179</v>
      </c>
      <c r="B126" s="26">
        <v>45786</v>
      </c>
      <c r="C126" s="26" t="s">
        <v>57</v>
      </c>
      <c r="D126" s="25">
        <v>2025</v>
      </c>
      <c r="E126" s="25" t="s">
        <v>594</v>
      </c>
      <c r="F126" s="25" t="s">
        <v>39</v>
      </c>
      <c r="G126" s="25" t="s">
        <v>612</v>
      </c>
      <c r="H126" s="25" t="s">
        <v>628</v>
      </c>
      <c r="I126" s="25" t="s">
        <v>631</v>
      </c>
      <c r="J126" s="25" t="s">
        <v>618</v>
      </c>
      <c r="K126" s="25">
        <v>5</v>
      </c>
      <c r="L126" s="25">
        <v>50</v>
      </c>
      <c r="M126" s="25">
        <v>250</v>
      </c>
      <c r="N126" s="25">
        <v>197.5</v>
      </c>
      <c r="O126" s="25">
        <v>52.5</v>
      </c>
      <c r="P126" s="32">
        <v>0.21</v>
      </c>
    </row>
    <row r="127" spans="1:16" x14ac:dyDescent="0.25">
      <c r="A127" s="28" t="s">
        <v>180</v>
      </c>
      <c r="B127" s="24">
        <v>45928</v>
      </c>
      <c r="C127" s="24" t="s">
        <v>53</v>
      </c>
      <c r="D127" s="23">
        <v>2025</v>
      </c>
      <c r="E127" s="23" t="s">
        <v>602</v>
      </c>
      <c r="F127" s="23" t="s">
        <v>42</v>
      </c>
      <c r="G127" s="23" t="s">
        <v>610</v>
      </c>
      <c r="H127" s="23" t="s">
        <v>626</v>
      </c>
      <c r="I127" s="23" t="s">
        <v>627</v>
      </c>
      <c r="J127" s="23" t="s">
        <v>615</v>
      </c>
      <c r="K127" s="23">
        <v>12</v>
      </c>
      <c r="L127" s="23">
        <v>20</v>
      </c>
      <c r="M127" s="23">
        <v>240</v>
      </c>
      <c r="N127" s="23">
        <v>192</v>
      </c>
      <c r="O127" s="23">
        <v>48</v>
      </c>
      <c r="P127" s="31">
        <v>0.2</v>
      </c>
    </row>
    <row r="128" spans="1:16" x14ac:dyDescent="0.25">
      <c r="A128" s="29" t="s">
        <v>181</v>
      </c>
      <c r="B128" s="26">
        <v>46006</v>
      </c>
      <c r="C128" s="26" t="s">
        <v>80</v>
      </c>
      <c r="D128" s="25">
        <v>2025</v>
      </c>
      <c r="E128" s="25" t="s">
        <v>598</v>
      </c>
      <c r="F128" s="25" t="s">
        <v>40</v>
      </c>
      <c r="G128" s="25" t="s">
        <v>609</v>
      </c>
      <c r="H128" s="25" t="s">
        <v>616</v>
      </c>
      <c r="I128" s="25" t="s">
        <v>645</v>
      </c>
      <c r="J128" s="25" t="s">
        <v>615</v>
      </c>
      <c r="K128" s="25">
        <v>19</v>
      </c>
      <c r="L128" s="25">
        <v>55000</v>
      </c>
      <c r="M128" s="25">
        <v>1045000</v>
      </c>
      <c r="N128" s="25">
        <v>836000</v>
      </c>
      <c r="O128" s="25">
        <v>209000</v>
      </c>
      <c r="P128" s="32">
        <v>0.2</v>
      </c>
    </row>
    <row r="129" spans="1:16" x14ac:dyDescent="0.25">
      <c r="A129" s="28" t="s">
        <v>182</v>
      </c>
      <c r="B129" s="24">
        <v>45950</v>
      </c>
      <c r="C129" s="24" t="s">
        <v>65</v>
      </c>
      <c r="D129" s="23">
        <v>2025</v>
      </c>
      <c r="E129" s="23" t="s">
        <v>606</v>
      </c>
      <c r="F129" s="23" t="s">
        <v>40</v>
      </c>
      <c r="G129" s="23" t="s">
        <v>610</v>
      </c>
      <c r="H129" s="23" t="s">
        <v>620</v>
      </c>
      <c r="I129" s="23" t="s">
        <v>614</v>
      </c>
      <c r="J129" s="23" t="s">
        <v>615</v>
      </c>
      <c r="K129" s="23">
        <v>17</v>
      </c>
      <c r="L129" s="23">
        <v>700</v>
      </c>
      <c r="M129" s="23">
        <v>11900</v>
      </c>
      <c r="N129" s="23">
        <v>9758</v>
      </c>
      <c r="O129" s="23">
        <v>2142</v>
      </c>
      <c r="P129" s="31">
        <v>0.18</v>
      </c>
    </row>
    <row r="130" spans="1:16" x14ac:dyDescent="0.25">
      <c r="A130" s="29" t="s">
        <v>183</v>
      </c>
      <c r="B130" s="26">
        <v>45740</v>
      </c>
      <c r="C130" s="26" t="s">
        <v>46</v>
      </c>
      <c r="D130" s="25">
        <v>2025</v>
      </c>
      <c r="E130" s="25" t="s">
        <v>597</v>
      </c>
      <c r="F130" s="25" t="s">
        <v>41</v>
      </c>
      <c r="G130" s="25" t="s">
        <v>608</v>
      </c>
      <c r="H130" s="25" t="s">
        <v>622</v>
      </c>
      <c r="I130" s="25" t="s">
        <v>627</v>
      </c>
      <c r="J130" s="25" t="s">
        <v>618</v>
      </c>
      <c r="K130" s="25">
        <v>11</v>
      </c>
      <c r="L130" s="25">
        <v>1200</v>
      </c>
      <c r="M130" s="25">
        <v>13200</v>
      </c>
      <c r="N130" s="25">
        <v>8184</v>
      </c>
      <c r="O130" s="25">
        <v>5016</v>
      </c>
      <c r="P130" s="32">
        <v>0.38</v>
      </c>
    </row>
    <row r="131" spans="1:16" x14ac:dyDescent="0.25">
      <c r="A131" s="28" t="s">
        <v>184</v>
      </c>
      <c r="B131" s="24">
        <v>45672</v>
      </c>
      <c r="C131" s="24" t="s">
        <v>59</v>
      </c>
      <c r="D131" s="23">
        <v>2025</v>
      </c>
      <c r="E131" s="23" t="s">
        <v>596</v>
      </c>
      <c r="F131" s="23" t="s">
        <v>39</v>
      </c>
      <c r="G131" s="23" t="s">
        <v>611</v>
      </c>
      <c r="H131" s="23" t="s">
        <v>621</v>
      </c>
      <c r="I131" s="23" t="s">
        <v>623</v>
      </c>
      <c r="J131" s="23" t="s">
        <v>618</v>
      </c>
      <c r="K131" s="23">
        <v>1</v>
      </c>
      <c r="L131" s="23">
        <v>12000</v>
      </c>
      <c r="M131" s="23">
        <v>12000</v>
      </c>
      <c r="N131" s="23">
        <v>10320</v>
      </c>
      <c r="O131" s="23">
        <v>1680</v>
      </c>
      <c r="P131" s="31">
        <v>0.14000000000000001</v>
      </c>
    </row>
    <row r="132" spans="1:16" x14ac:dyDescent="0.25">
      <c r="A132" s="29" t="s">
        <v>185</v>
      </c>
      <c r="B132" s="26">
        <v>45996</v>
      </c>
      <c r="C132" s="26" t="s">
        <v>80</v>
      </c>
      <c r="D132" s="25">
        <v>2025</v>
      </c>
      <c r="E132" s="25" t="s">
        <v>601</v>
      </c>
      <c r="F132" s="25" t="s">
        <v>41</v>
      </c>
      <c r="G132" s="25" t="s">
        <v>612</v>
      </c>
      <c r="H132" s="25" t="s">
        <v>616</v>
      </c>
      <c r="I132" s="25" t="s">
        <v>623</v>
      </c>
      <c r="J132" s="25" t="s">
        <v>618</v>
      </c>
      <c r="K132" s="25">
        <v>5</v>
      </c>
      <c r="L132" s="25">
        <v>300</v>
      </c>
      <c r="M132" s="25">
        <v>1500</v>
      </c>
      <c r="N132" s="25">
        <v>1065</v>
      </c>
      <c r="O132" s="25">
        <v>435</v>
      </c>
      <c r="P132" s="32">
        <v>0.28999999999999998</v>
      </c>
    </row>
    <row r="133" spans="1:16" x14ac:dyDescent="0.25">
      <c r="A133" s="28" t="s">
        <v>186</v>
      </c>
      <c r="B133" s="24">
        <v>45684</v>
      </c>
      <c r="C133" s="24" t="s">
        <v>59</v>
      </c>
      <c r="D133" s="23">
        <v>2025</v>
      </c>
      <c r="E133" s="23" t="s">
        <v>605</v>
      </c>
      <c r="F133" s="23" t="s">
        <v>40</v>
      </c>
      <c r="G133" s="23" t="s">
        <v>611</v>
      </c>
      <c r="H133" s="23" t="s">
        <v>621</v>
      </c>
      <c r="I133" s="25" t="s">
        <v>645</v>
      </c>
      <c r="J133" s="23" t="s">
        <v>618</v>
      </c>
      <c r="K133" s="23">
        <v>4</v>
      </c>
      <c r="L133" s="23">
        <v>9000</v>
      </c>
      <c r="M133" s="23">
        <v>36000</v>
      </c>
      <c r="N133" s="23">
        <v>32400</v>
      </c>
      <c r="O133" s="23">
        <v>3600</v>
      </c>
      <c r="P133" s="31">
        <v>0.1</v>
      </c>
    </row>
    <row r="134" spans="1:16" x14ac:dyDescent="0.25">
      <c r="A134" s="29" t="s">
        <v>187</v>
      </c>
      <c r="B134" s="26">
        <v>45863</v>
      </c>
      <c r="C134" s="26" t="s">
        <v>83</v>
      </c>
      <c r="D134" s="25">
        <v>2025</v>
      </c>
      <c r="E134" s="25" t="s">
        <v>603</v>
      </c>
      <c r="F134" s="25" t="s">
        <v>42</v>
      </c>
      <c r="G134" s="25" t="s">
        <v>611</v>
      </c>
      <c r="H134" s="25" t="s">
        <v>625</v>
      </c>
      <c r="I134" s="25" t="s">
        <v>614</v>
      </c>
      <c r="J134" s="25" t="s">
        <v>618</v>
      </c>
      <c r="K134" s="25">
        <v>9</v>
      </c>
      <c r="L134" s="25">
        <v>150</v>
      </c>
      <c r="M134" s="25">
        <v>1350</v>
      </c>
      <c r="N134" s="25">
        <v>810</v>
      </c>
      <c r="O134" s="25">
        <v>540</v>
      </c>
      <c r="P134" s="32">
        <v>0.4</v>
      </c>
    </row>
    <row r="135" spans="1:16" x14ac:dyDescent="0.25">
      <c r="A135" s="28" t="s">
        <v>188</v>
      </c>
      <c r="B135" s="24">
        <v>45699</v>
      </c>
      <c r="C135" s="24" t="s">
        <v>55</v>
      </c>
      <c r="D135" s="23">
        <v>2025</v>
      </c>
      <c r="E135" s="23" t="s">
        <v>597</v>
      </c>
      <c r="F135" s="23" t="s">
        <v>41</v>
      </c>
      <c r="G135" s="23" t="s">
        <v>612</v>
      </c>
      <c r="H135" s="23" t="s">
        <v>620</v>
      </c>
      <c r="I135" s="23" t="s">
        <v>614</v>
      </c>
      <c r="J135" s="23" t="s">
        <v>618</v>
      </c>
      <c r="K135" s="23">
        <v>2</v>
      </c>
      <c r="L135" s="23">
        <v>9000</v>
      </c>
      <c r="M135" s="23">
        <v>18000</v>
      </c>
      <c r="N135" s="23">
        <v>11340</v>
      </c>
      <c r="O135" s="23">
        <v>6660</v>
      </c>
      <c r="P135" s="31">
        <v>0.37</v>
      </c>
    </row>
    <row r="136" spans="1:16" x14ac:dyDescent="0.25">
      <c r="A136" s="29" t="s">
        <v>189</v>
      </c>
      <c r="B136" s="26">
        <v>45663</v>
      </c>
      <c r="C136" s="26" t="s">
        <v>59</v>
      </c>
      <c r="D136" s="25">
        <v>2025</v>
      </c>
      <c r="E136" s="25" t="s">
        <v>598</v>
      </c>
      <c r="F136" s="25" t="s">
        <v>40</v>
      </c>
      <c r="G136" s="25" t="s">
        <v>608</v>
      </c>
      <c r="H136" s="25" t="s">
        <v>624</v>
      </c>
      <c r="I136" s="25" t="s">
        <v>623</v>
      </c>
      <c r="J136" s="25" t="s">
        <v>618</v>
      </c>
      <c r="K136" s="25">
        <v>15</v>
      </c>
      <c r="L136" s="25">
        <v>700</v>
      </c>
      <c r="M136" s="25">
        <v>10500</v>
      </c>
      <c r="N136" s="25">
        <v>6510</v>
      </c>
      <c r="O136" s="25">
        <v>3990</v>
      </c>
      <c r="P136" s="32">
        <v>0.38</v>
      </c>
    </row>
    <row r="137" spans="1:16" x14ac:dyDescent="0.25">
      <c r="A137" s="28" t="s">
        <v>190</v>
      </c>
      <c r="B137" s="24">
        <v>45755</v>
      </c>
      <c r="C137" s="24" t="s">
        <v>62</v>
      </c>
      <c r="D137" s="23">
        <v>2025</v>
      </c>
      <c r="E137" s="23" t="s">
        <v>596</v>
      </c>
      <c r="F137" s="23" t="s">
        <v>39</v>
      </c>
      <c r="G137" s="23" t="s">
        <v>608</v>
      </c>
      <c r="H137" s="23" t="s">
        <v>628</v>
      </c>
      <c r="I137" s="23" t="s">
        <v>617</v>
      </c>
      <c r="J137" s="23" t="s">
        <v>615</v>
      </c>
      <c r="K137" s="23">
        <v>9</v>
      </c>
      <c r="L137" s="23">
        <v>15000</v>
      </c>
      <c r="M137" s="23">
        <v>135000</v>
      </c>
      <c r="N137" s="23">
        <v>117450</v>
      </c>
      <c r="O137" s="23">
        <v>17550</v>
      </c>
      <c r="P137" s="31">
        <v>0.13</v>
      </c>
    </row>
    <row r="138" spans="1:16" x14ac:dyDescent="0.25">
      <c r="A138" s="29" t="s">
        <v>191</v>
      </c>
      <c r="B138" s="26">
        <v>45972</v>
      </c>
      <c r="C138" s="26" t="s">
        <v>48</v>
      </c>
      <c r="D138" s="25">
        <v>2025</v>
      </c>
      <c r="E138" s="25" t="s">
        <v>599</v>
      </c>
      <c r="F138" s="25" t="s">
        <v>39</v>
      </c>
      <c r="G138" s="25" t="s">
        <v>612</v>
      </c>
      <c r="H138" s="25" t="s">
        <v>622</v>
      </c>
      <c r="I138" s="25" t="s">
        <v>645</v>
      </c>
      <c r="J138" s="25" t="s">
        <v>615</v>
      </c>
      <c r="K138" s="25">
        <v>15</v>
      </c>
      <c r="L138" s="25">
        <v>50</v>
      </c>
      <c r="M138" s="25">
        <v>750</v>
      </c>
      <c r="N138" s="25">
        <v>577.5</v>
      </c>
      <c r="O138" s="25">
        <v>172.5</v>
      </c>
      <c r="P138" s="32">
        <v>0.23</v>
      </c>
    </row>
    <row r="139" spans="1:16" x14ac:dyDescent="0.25">
      <c r="A139" s="28" t="s">
        <v>192</v>
      </c>
      <c r="B139" s="24">
        <v>45857</v>
      </c>
      <c r="C139" s="24" t="s">
        <v>83</v>
      </c>
      <c r="D139" s="23">
        <v>2025</v>
      </c>
      <c r="E139" s="23" t="s">
        <v>605</v>
      </c>
      <c r="F139" s="23" t="s">
        <v>40</v>
      </c>
      <c r="G139" s="23" t="s">
        <v>608</v>
      </c>
      <c r="H139" s="23" t="s">
        <v>626</v>
      </c>
      <c r="I139" s="23" t="s">
        <v>623</v>
      </c>
      <c r="J139" s="23" t="s">
        <v>615</v>
      </c>
      <c r="K139" s="23">
        <v>13</v>
      </c>
      <c r="L139" s="23">
        <v>8000</v>
      </c>
      <c r="M139" s="23">
        <v>104000</v>
      </c>
      <c r="N139" s="23">
        <v>79040</v>
      </c>
      <c r="O139" s="23">
        <v>24960</v>
      </c>
      <c r="P139" s="31">
        <v>0.24</v>
      </c>
    </row>
    <row r="140" spans="1:16" x14ac:dyDescent="0.25">
      <c r="A140" s="29" t="s">
        <v>193</v>
      </c>
      <c r="B140" s="26">
        <v>45774</v>
      </c>
      <c r="C140" s="26" t="s">
        <v>62</v>
      </c>
      <c r="D140" s="25">
        <v>2025</v>
      </c>
      <c r="E140" s="25" t="s">
        <v>598</v>
      </c>
      <c r="F140" s="25" t="s">
        <v>40</v>
      </c>
      <c r="G140" s="25" t="s">
        <v>611</v>
      </c>
      <c r="H140" s="25" t="s">
        <v>625</v>
      </c>
      <c r="I140" s="25" t="s">
        <v>617</v>
      </c>
      <c r="J140" s="25" t="s">
        <v>618</v>
      </c>
      <c r="K140" s="25">
        <v>15</v>
      </c>
      <c r="L140" s="25">
        <v>45000</v>
      </c>
      <c r="M140" s="25">
        <v>675000</v>
      </c>
      <c r="N140" s="25">
        <v>553500</v>
      </c>
      <c r="O140" s="25">
        <v>121500</v>
      </c>
      <c r="P140" s="32">
        <v>0.18</v>
      </c>
    </row>
    <row r="141" spans="1:16" x14ac:dyDescent="0.25">
      <c r="A141" s="28" t="s">
        <v>194</v>
      </c>
      <c r="B141" s="24">
        <v>45734</v>
      </c>
      <c r="C141" s="24" t="s">
        <v>46</v>
      </c>
      <c r="D141" s="23">
        <v>2025</v>
      </c>
      <c r="E141" s="23" t="s">
        <v>602</v>
      </c>
      <c r="F141" s="23" t="s">
        <v>42</v>
      </c>
      <c r="G141" s="23" t="s">
        <v>612</v>
      </c>
      <c r="H141" s="23" t="s">
        <v>613</v>
      </c>
      <c r="I141" s="23" t="s">
        <v>630</v>
      </c>
      <c r="J141" s="23" t="s">
        <v>615</v>
      </c>
      <c r="K141" s="23">
        <v>20</v>
      </c>
      <c r="L141" s="23">
        <v>50</v>
      </c>
      <c r="M141" s="23">
        <v>1000</v>
      </c>
      <c r="N141" s="23">
        <v>890</v>
      </c>
      <c r="O141" s="23">
        <v>110</v>
      </c>
      <c r="P141" s="31">
        <v>0.11</v>
      </c>
    </row>
    <row r="142" spans="1:16" x14ac:dyDescent="0.25">
      <c r="A142" s="29" t="s">
        <v>195</v>
      </c>
      <c r="B142" s="26">
        <v>45955</v>
      </c>
      <c r="C142" s="26" t="s">
        <v>65</v>
      </c>
      <c r="D142" s="25">
        <v>2025</v>
      </c>
      <c r="E142" s="25" t="s">
        <v>599</v>
      </c>
      <c r="F142" s="25" t="s">
        <v>39</v>
      </c>
      <c r="G142" s="25" t="s">
        <v>611</v>
      </c>
      <c r="H142" s="25" t="s">
        <v>620</v>
      </c>
      <c r="I142" s="25" t="s">
        <v>630</v>
      </c>
      <c r="J142" s="25" t="s">
        <v>615</v>
      </c>
      <c r="K142" s="25">
        <v>8</v>
      </c>
      <c r="L142" s="25">
        <v>150</v>
      </c>
      <c r="M142" s="25">
        <v>1200</v>
      </c>
      <c r="N142" s="25">
        <v>1020</v>
      </c>
      <c r="O142" s="25">
        <v>180</v>
      </c>
      <c r="P142" s="32">
        <v>0.15</v>
      </c>
    </row>
    <row r="143" spans="1:16" x14ac:dyDescent="0.25">
      <c r="A143" s="28" t="s">
        <v>196</v>
      </c>
      <c r="B143" s="24">
        <v>45862</v>
      </c>
      <c r="C143" s="24" t="s">
        <v>83</v>
      </c>
      <c r="D143" s="23">
        <v>2025</v>
      </c>
      <c r="E143" s="23" t="s">
        <v>597</v>
      </c>
      <c r="F143" s="23" t="s">
        <v>41</v>
      </c>
      <c r="G143" s="23" t="s">
        <v>611</v>
      </c>
      <c r="H143" s="23" t="s">
        <v>624</v>
      </c>
      <c r="I143" s="23" t="s">
        <v>617</v>
      </c>
      <c r="J143" s="23" t="s">
        <v>615</v>
      </c>
      <c r="K143" s="23">
        <v>17</v>
      </c>
      <c r="L143" s="23">
        <v>15000</v>
      </c>
      <c r="M143" s="23">
        <v>255000</v>
      </c>
      <c r="N143" s="23">
        <v>165750</v>
      </c>
      <c r="O143" s="23">
        <v>89250</v>
      </c>
      <c r="P143" s="31">
        <v>0.35</v>
      </c>
    </row>
    <row r="144" spans="1:16" x14ac:dyDescent="0.25">
      <c r="A144" s="29" t="s">
        <v>197</v>
      </c>
      <c r="B144" s="26">
        <v>45664</v>
      </c>
      <c r="C144" s="26" t="s">
        <v>59</v>
      </c>
      <c r="D144" s="25">
        <v>2025</v>
      </c>
      <c r="E144" s="25" t="s">
        <v>603</v>
      </c>
      <c r="F144" s="25" t="s">
        <v>42</v>
      </c>
      <c r="G144" s="25" t="s">
        <v>609</v>
      </c>
      <c r="H144" s="25" t="s">
        <v>625</v>
      </c>
      <c r="I144" s="25" t="s">
        <v>614</v>
      </c>
      <c r="J144" s="25" t="s">
        <v>618</v>
      </c>
      <c r="K144" s="25">
        <v>17</v>
      </c>
      <c r="L144" s="25">
        <v>12000</v>
      </c>
      <c r="M144" s="25">
        <v>204000</v>
      </c>
      <c r="N144" s="25">
        <v>177480</v>
      </c>
      <c r="O144" s="25">
        <v>26520</v>
      </c>
      <c r="P144" s="32">
        <v>0.13</v>
      </c>
    </row>
    <row r="145" spans="1:16" x14ac:dyDescent="0.25">
      <c r="A145" s="28" t="s">
        <v>198</v>
      </c>
      <c r="B145" s="24">
        <v>46005</v>
      </c>
      <c r="C145" s="24" t="s">
        <v>80</v>
      </c>
      <c r="D145" s="23">
        <v>2025</v>
      </c>
      <c r="E145" s="23" t="s">
        <v>592</v>
      </c>
      <c r="F145" s="23" t="s">
        <v>40</v>
      </c>
      <c r="G145" s="23" t="s">
        <v>608</v>
      </c>
      <c r="H145" s="23" t="s">
        <v>624</v>
      </c>
      <c r="I145" s="23" t="s">
        <v>617</v>
      </c>
      <c r="J145" s="23" t="s">
        <v>615</v>
      </c>
      <c r="K145" s="23">
        <v>4</v>
      </c>
      <c r="L145" s="23">
        <v>150</v>
      </c>
      <c r="M145" s="23">
        <v>600</v>
      </c>
      <c r="N145" s="23">
        <v>432</v>
      </c>
      <c r="O145" s="23">
        <v>168</v>
      </c>
      <c r="P145" s="31">
        <v>0.28000000000000003</v>
      </c>
    </row>
    <row r="146" spans="1:16" x14ac:dyDescent="0.25">
      <c r="A146" s="29" t="s">
        <v>199</v>
      </c>
      <c r="B146" s="26">
        <v>46000</v>
      </c>
      <c r="C146" s="26" t="s">
        <v>80</v>
      </c>
      <c r="D146" s="25">
        <v>2025</v>
      </c>
      <c r="E146" s="25" t="s">
        <v>602</v>
      </c>
      <c r="F146" s="25" t="s">
        <v>42</v>
      </c>
      <c r="G146" s="25" t="s">
        <v>612</v>
      </c>
      <c r="H146" s="25" t="s">
        <v>625</v>
      </c>
      <c r="I146" s="25" t="s">
        <v>627</v>
      </c>
      <c r="J146" s="25" t="s">
        <v>615</v>
      </c>
      <c r="K146" s="25">
        <v>17</v>
      </c>
      <c r="L146" s="25">
        <v>150</v>
      </c>
      <c r="M146" s="25">
        <v>2550</v>
      </c>
      <c r="N146" s="25">
        <v>2269.5</v>
      </c>
      <c r="O146" s="25">
        <v>280.5</v>
      </c>
      <c r="P146" s="32">
        <v>0.11</v>
      </c>
    </row>
    <row r="147" spans="1:16" x14ac:dyDescent="0.25">
      <c r="A147" s="28" t="s">
        <v>200</v>
      </c>
      <c r="B147" s="24">
        <v>45975</v>
      </c>
      <c r="C147" s="24" t="s">
        <v>48</v>
      </c>
      <c r="D147" s="23">
        <v>2025</v>
      </c>
      <c r="E147" s="23" t="s">
        <v>600</v>
      </c>
      <c r="F147" s="23" t="s">
        <v>39</v>
      </c>
      <c r="G147" s="23" t="s">
        <v>610</v>
      </c>
      <c r="H147" s="23" t="s">
        <v>616</v>
      </c>
      <c r="I147" s="23" t="s">
        <v>630</v>
      </c>
      <c r="J147" s="23" t="s">
        <v>615</v>
      </c>
      <c r="K147" s="23">
        <v>1</v>
      </c>
      <c r="L147" s="23">
        <v>8000</v>
      </c>
      <c r="M147" s="23">
        <v>8000</v>
      </c>
      <c r="N147" s="23">
        <v>5200</v>
      </c>
      <c r="O147" s="23">
        <v>2800</v>
      </c>
      <c r="P147" s="31">
        <v>0.35</v>
      </c>
    </row>
    <row r="148" spans="1:16" x14ac:dyDescent="0.25">
      <c r="A148" s="29" t="s">
        <v>201</v>
      </c>
      <c r="B148" s="26">
        <v>45823</v>
      </c>
      <c r="C148" s="26" t="s">
        <v>44</v>
      </c>
      <c r="D148" s="25">
        <v>2025</v>
      </c>
      <c r="E148" s="25" t="s">
        <v>598</v>
      </c>
      <c r="F148" s="25" t="s">
        <v>40</v>
      </c>
      <c r="G148" s="25" t="s">
        <v>609</v>
      </c>
      <c r="H148" s="25" t="s">
        <v>629</v>
      </c>
      <c r="I148" s="25" t="s">
        <v>630</v>
      </c>
      <c r="J148" s="25" t="s">
        <v>615</v>
      </c>
      <c r="K148" s="25">
        <v>5</v>
      </c>
      <c r="L148" s="25">
        <v>150</v>
      </c>
      <c r="M148" s="25">
        <v>750</v>
      </c>
      <c r="N148" s="25">
        <v>675</v>
      </c>
      <c r="O148" s="25">
        <v>75</v>
      </c>
      <c r="P148" s="32">
        <v>0.1</v>
      </c>
    </row>
    <row r="149" spans="1:16" x14ac:dyDescent="0.25">
      <c r="A149" s="28" t="s">
        <v>202</v>
      </c>
      <c r="B149" s="24">
        <v>46000</v>
      </c>
      <c r="C149" s="24" t="s">
        <v>80</v>
      </c>
      <c r="D149" s="23">
        <v>2025</v>
      </c>
      <c r="E149" s="23" t="s">
        <v>594</v>
      </c>
      <c r="F149" s="23" t="s">
        <v>39</v>
      </c>
      <c r="G149" s="23" t="s">
        <v>609</v>
      </c>
      <c r="H149" s="23" t="s">
        <v>613</v>
      </c>
      <c r="I149" s="23" t="s">
        <v>630</v>
      </c>
      <c r="J149" s="23" t="s">
        <v>618</v>
      </c>
      <c r="K149" s="23">
        <v>18</v>
      </c>
      <c r="L149" s="23">
        <v>4000</v>
      </c>
      <c r="M149" s="23">
        <v>72000</v>
      </c>
      <c r="N149" s="23">
        <v>53280</v>
      </c>
      <c r="O149" s="23">
        <v>18720</v>
      </c>
      <c r="P149" s="31">
        <v>0.26</v>
      </c>
    </row>
    <row r="150" spans="1:16" x14ac:dyDescent="0.25">
      <c r="A150" s="29" t="s">
        <v>203</v>
      </c>
      <c r="B150" s="26">
        <v>45982</v>
      </c>
      <c r="C150" s="26" t="s">
        <v>48</v>
      </c>
      <c r="D150" s="25">
        <v>2025</v>
      </c>
      <c r="E150" s="25" t="s">
        <v>593</v>
      </c>
      <c r="F150" s="25" t="s">
        <v>41</v>
      </c>
      <c r="G150" s="25" t="s">
        <v>610</v>
      </c>
      <c r="H150" s="25" t="s">
        <v>613</v>
      </c>
      <c r="I150" s="25" t="s">
        <v>617</v>
      </c>
      <c r="J150" s="25" t="s">
        <v>618</v>
      </c>
      <c r="K150" s="25">
        <v>14</v>
      </c>
      <c r="L150" s="25">
        <v>12000</v>
      </c>
      <c r="M150" s="25">
        <v>168000</v>
      </c>
      <c r="N150" s="25">
        <v>115920</v>
      </c>
      <c r="O150" s="25">
        <v>52080</v>
      </c>
      <c r="P150" s="32">
        <v>0.31</v>
      </c>
    </row>
    <row r="151" spans="1:16" x14ac:dyDescent="0.25">
      <c r="A151" s="28" t="s">
        <v>204</v>
      </c>
      <c r="B151" s="24">
        <v>45862</v>
      </c>
      <c r="C151" s="24" t="s">
        <v>83</v>
      </c>
      <c r="D151" s="23">
        <v>2025</v>
      </c>
      <c r="E151" s="23" t="s">
        <v>594</v>
      </c>
      <c r="F151" s="23" t="s">
        <v>39</v>
      </c>
      <c r="G151" s="23" t="s">
        <v>609</v>
      </c>
      <c r="H151" s="23" t="s">
        <v>626</v>
      </c>
      <c r="I151" s="25" t="s">
        <v>645</v>
      </c>
      <c r="J151" s="23" t="s">
        <v>618</v>
      </c>
      <c r="K151" s="23">
        <v>11</v>
      </c>
      <c r="L151" s="23">
        <v>4000</v>
      </c>
      <c r="M151" s="23">
        <v>44000</v>
      </c>
      <c r="N151" s="23">
        <v>27280</v>
      </c>
      <c r="O151" s="23">
        <v>16720</v>
      </c>
      <c r="P151" s="31">
        <v>0.38</v>
      </c>
    </row>
    <row r="152" spans="1:16" x14ac:dyDescent="0.25">
      <c r="A152" s="29" t="s">
        <v>205</v>
      </c>
      <c r="B152" s="26">
        <v>45887</v>
      </c>
      <c r="C152" s="26" t="s">
        <v>50</v>
      </c>
      <c r="D152" s="25">
        <v>2025</v>
      </c>
      <c r="E152" s="25" t="s">
        <v>592</v>
      </c>
      <c r="F152" s="25" t="s">
        <v>40</v>
      </c>
      <c r="G152" s="25" t="s">
        <v>611</v>
      </c>
      <c r="H152" s="25" t="s">
        <v>616</v>
      </c>
      <c r="I152" s="25" t="s">
        <v>645</v>
      </c>
      <c r="J152" s="25" t="s">
        <v>618</v>
      </c>
      <c r="K152" s="25">
        <v>17</v>
      </c>
      <c r="L152" s="25">
        <v>300</v>
      </c>
      <c r="M152" s="25">
        <v>5100</v>
      </c>
      <c r="N152" s="25">
        <v>4080</v>
      </c>
      <c r="O152" s="25">
        <v>1020</v>
      </c>
      <c r="P152" s="32">
        <v>0.2</v>
      </c>
    </row>
    <row r="153" spans="1:16" x14ac:dyDescent="0.25">
      <c r="A153" s="28" t="s">
        <v>206</v>
      </c>
      <c r="B153" s="24">
        <v>45721</v>
      </c>
      <c r="C153" s="24" t="s">
        <v>46</v>
      </c>
      <c r="D153" s="23">
        <v>2025</v>
      </c>
      <c r="E153" s="23" t="s">
        <v>604</v>
      </c>
      <c r="F153" s="23" t="s">
        <v>41</v>
      </c>
      <c r="G153" s="23" t="s">
        <v>609</v>
      </c>
      <c r="H153" s="23" t="s">
        <v>621</v>
      </c>
      <c r="I153" s="23" t="s">
        <v>614</v>
      </c>
      <c r="J153" s="23" t="s">
        <v>615</v>
      </c>
      <c r="K153" s="23">
        <v>18</v>
      </c>
      <c r="L153" s="23">
        <v>15000</v>
      </c>
      <c r="M153" s="23">
        <v>270000</v>
      </c>
      <c r="N153" s="23">
        <v>162000</v>
      </c>
      <c r="O153" s="23">
        <v>108000</v>
      </c>
      <c r="P153" s="31">
        <v>0.4</v>
      </c>
    </row>
    <row r="154" spans="1:16" x14ac:dyDescent="0.25">
      <c r="A154" s="29" t="s">
        <v>207</v>
      </c>
      <c r="B154" s="26">
        <v>45964</v>
      </c>
      <c r="C154" s="26" t="s">
        <v>48</v>
      </c>
      <c r="D154" s="25">
        <v>2025</v>
      </c>
      <c r="E154" s="25" t="s">
        <v>606</v>
      </c>
      <c r="F154" s="25" t="s">
        <v>40</v>
      </c>
      <c r="G154" s="25" t="s">
        <v>610</v>
      </c>
      <c r="H154" s="25" t="s">
        <v>613</v>
      </c>
      <c r="I154" s="25" t="s">
        <v>614</v>
      </c>
      <c r="J154" s="25" t="s">
        <v>615</v>
      </c>
      <c r="K154" s="25">
        <v>4</v>
      </c>
      <c r="L154" s="25">
        <v>12000</v>
      </c>
      <c r="M154" s="25">
        <v>48000</v>
      </c>
      <c r="N154" s="25">
        <v>30240</v>
      </c>
      <c r="O154" s="25">
        <v>17760</v>
      </c>
      <c r="P154" s="32">
        <v>0.37</v>
      </c>
    </row>
    <row r="155" spans="1:16" x14ac:dyDescent="0.25">
      <c r="A155" s="28" t="s">
        <v>208</v>
      </c>
      <c r="B155" s="24">
        <v>45751</v>
      </c>
      <c r="C155" s="24" t="s">
        <v>62</v>
      </c>
      <c r="D155" s="23">
        <v>2025</v>
      </c>
      <c r="E155" s="23" t="s">
        <v>598</v>
      </c>
      <c r="F155" s="23" t="s">
        <v>40</v>
      </c>
      <c r="G155" s="23" t="s">
        <v>609</v>
      </c>
      <c r="H155" s="23" t="s">
        <v>613</v>
      </c>
      <c r="I155" s="23" t="s">
        <v>619</v>
      </c>
      <c r="J155" s="23" t="s">
        <v>618</v>
      </c>
      <c r="K155" s="23">
        <v>12</v>
      </c>
      <c r="L155" s="23">
        <v>150</v>
      </c>
      <c r="M155" s="23">
        <v>1800</v>
      </c>
      <c r="N155" s="23">
        <v>1332</v>
      </c>
      <c r="O155" s="23">
        <v>468</v>
      </c>
      <c r="P155" s="31">
        <v>0.26</v>
      </c>
    </row>
    <row r="156" spans="1:16" x14ac:dyDescent="0.25">
      <c r="A156" s="29" t="s">
        <v>209</v>
      </c>
      <c r="B156" s="26">
        <v>46019</v>
      </c>
      <c r="C156" s="26" t="s">
        <v>80</v>
      </c>
      <c r="D156" s="25">
        <v>2025</v>
      </c>
      <c r="E156" s="25" t="s">
        <v>592</v>
      </c>
      <c r="F156" s="25" t="s">
        <v>40</v>
      </c>
      <c r="G156" s="25" t="s">
        <v>611</v>
      </c>
      <c r="H156" s="25" t="s">
        <v>621</v>
      </c>
      <c r="I156" s="25" t="s">
        <v>630</v>
      </c>
      <c r="J156" s="25" t="s">
        <v>618</v>
      </c>
      <c r="K156" s="25">
        <v>15</v>
      </c>
      <c r="L156" s="25">
        <v>700</v>
      </c>
      <c r="M156" s="25">
        <v>10500</v>
      </c>
      <c r="N156" s="25">
        <v>9450</v>
      </c>
      <c r="O156" s="25">
        <v>1050</v>
      </c>
      <c r="P156" s="32">
        <v>0.1</v>
      </c>
    </row>
    <row r="157" spans="1:16" x14ac:dyDescent="0.25">
      <c r="A157" s="28" t="s">
        <v>210</v>
      </c>
      <c r="B157" s="24">
        <v>45826</v>
      </c>
      <c r="C157" s="24" t="s">
        <v>44</v>
      </c>
      <c r="D157" s="23">
        <v>2025</v>
      </c>
      <c r="E157" s="23" t="s">
        <v>604</v>
      </c>
      <c r="F157" s="23" t="s">
        <v>41</v>
      </c>
      <c r="G157" s="23" t="s">
        <v>611</v>
      </c>
      <c r="H157" s="23" t="s">
        <v>621</v>
      </c>
      <c r="I157" s="23" t="s">
        <v>630</v>
      </c>
      <c r="J157" s="23" t="s">
        <v>618</v>
      </c>
      <c r="K157" s="23">
        <v>20</v>
      </c>
      <c r="L157" s="23">
        <v>700</v>
      </c>
      <c r="M157" s="23">
        <v>14000</v>
      </c>
      <c r="N157" s="23">
        <v>12320</v>
      </c>
      <c r="O157" s="23">
        <v>1680</v>
      </c>
      <c r="P157" s="31">
        <v>0.12</v>
      </c>
    </row>
    <row r="158" spans="1:16" x14ac:dyDescent="0.25">
      <c r="A158" s="29" t="s">
        <v>211</v>
      </c>
      <c r="B158" s="26">
        <v>45718</v>
      </c>
      <c r="C158" s="26" t="s">
        <v>46</v>
      </c>
      <c r="D158" s="25">
        <v>2025</v>
      </c>
      <c r="E158" s="25" t="s">
        <v>592</v>
      </c>
      <c r="F158" s="25" t="s">
        <v>40</v>
      </c>
      <c r="G158" s="25" t="s">
        <v>608</v>
      </c>
      <c r="H158" s="25" t="s">
        <v>621</v>
      </c>
      <c r="I158" s="25" t="s">
        <v>623</v>
      </c>
      <c r="J158" s="25" t="s">
        <v>618</v>
      </c>
      <c r="K158" s="25">
        <v>10</v>
      </c>
      <c r="L158" s="25">
        <v>3500</v>
      </c>
      <c r="M158" s="25">
        <v>35000</v>
      </c>
      <c r="N158" s="25">
        <v>24850</v>
      </c>
      <c r="O158" s="25">
        <v>10150</v>
      </c>
      <c r="P158" s="32">
        <v>0.28999999999999998</v>
      </c>
    </row>
    <row r="159" spans="1:16" x14ac:dyDescent="0.25">
      <c r="A159" s="28" t="s">
        <v>212</v>
      </c>
      <c r="B159" s="24">
        <v>45855</v>
      </c>
      <c r="C159" s="24" t="s">
        <v>83</v>
      </c>
      <c r="D159" s="23">
        <v>2025</v>
      </c>
      <c r="E159" s="23" t="s">
        <v>595</v>
      </c>
      <c r="F159" s="23" t="s">
        <v>39</v>
      </c>
      <c r="G159" s="23" t="s">
        <v>610</v>
      </c>
      <c r="H159" s="23" t="s">
        <v>622</v>
      </c>
      <c r="I159" s="23" t="s">
        <v>630</v>
      </c>
      <c r="J159" s="23" t="s">
        <v>615</v>
      </c>
      <c r="K159" s="23">
        <v>18</v>
      </c>
      <c r="L159" s="23">
        <v>12000</v>
      </c>
      <c r="M159" s="23">
        <v>216000</v>
      </c>
      <c r="N159" s="23">
        <v>159840</v>
      </c>
      <c r="O159" s="23">
        <v>56160</v>
      </c>
      <c r="P159" s="31">
        <v>0.26</v>
      </c>
    </row>
    <row r="160" spans="1:16" x14ac:dyDescent="0.25">
      <c r="A160" s="29" t="s">
        <v>213</v>
      </c>
      <c r="B160" s="26">
        <v>45731</v>
      </c>
      <c r="C160" s="26" t="s">
        <v>46</v>
      </c>
      <c r="D160" s="25">
        <v>2025</v>
      </c>
      <c r="E160" s="25" t="s">
        <v>600</v>
      </c>
      <c r="F160" s="25" t="s">
        <v>39</v>
      </c>
      <c r="G160" s="25" t="s">
        <v>610</v>
      </c>
      <c r="H160" s="25" t="s">
        <v>625</v>
      </c>
      <c r="I160" s="25" t="s">
        <v>614</v>
      </c>
      <c r="J160" s="25" t="s">
        <v>615</v>
      </c>
      <c r="K160" s="25">
        <v>10</v>
      </c>
      <c r="L160" s="25">
        <v>50</v>
      </c>
      <c r="M160" s="25">
        <v>500</v>
      </c>
      <c r="N160" s="25">
        <v>330</v>
      </c>
      <c r="O160" s="25">
        <v>170</v>
      </c>
      <c r="P160" s="32">
        <v>0.34</v>
      </c>
    </row>
    <row r="161" spans="1:16" x14ac:dyDescent="0.25">
      <c r="A161" s="28" t="s">
        <v>214</v>
      </c>
      <c r="B161" s="24">
        <v>46012</v>
      </c>
      <c r="C161" s="24" t="s">
        <v>80</v>
      </c>
      <c r="D161" s="23">
        <v>2025</v>
      </c>
      <c r="E161" s="23" t="s">
        <v>606</v>
      </c>
      <c r="F161" s="23" t="s">
        <v>40</v>
      </c>
      <c r="G161" s="23" t="s">
        <v>609</v>
      </c>
      <c r="H161" s="23" t="s">
        <v>629</v>
      </c>
      <c r="I161" s="23" t="s">
        <v>617</v>
      </c>
      <c r="J161" s="23" t="s">
        <v>615</v>
      </c>
      <c r="K161" s="23">
        <v>20</v>
      </c>
      <c r="L161" s="23">
        <v>15000</v>
      </c>
      <c r="M161" s="23">
        <v>300000</v>
      </c>
      <c r="N161" s="23">
        <v>207000</v>
      </c>
      <c r="O161" s="23">
        <v>93000</v>
      </c>
      <c r="P161" s="31">
        <v>0.31</v>
      </c>
    </row>
    <row r="162" spans="1:16" x14ac:dyDescent="0.25">
      <c r="A162" s="29" t="s">
        <v>215</v>
      </c>
      <c r="B162" s="26">
        <v>46013</v>
      </c>
      <c r="C162" s="26" t="s">
        <v>80</v>
      </c>
      <c r="D162" s="25">
        <v>2025</v>
      </c>
      <c r="E162" s="25" t="s">
        <v>604</v>
      </c>
      <c r="F162" s="25" t="s">
        <v>41</v>
      </c>
      <c r="G162" s="25" t="s">
        <v>608</v>
      </c>
      <c r="H162" s="25" t="s">
        <v>626</v>
      </c>
      <c r="I162" s="25" t="s">
        <v>627</v>
      </c>
      <c r="J162" s="25" t="s">
        <v>618</v>
      </c>
      <c r="K162" s="25">
        <v>18</v>
      </c>
      <c r="L162" s="25">
        <v>12000</v>
      </c>
      <c r="M162" s="25">
        <v>216000</v>
      </c>
      <c r="N162" s="25">
        <v>129600</v>
      </c>
      <c r="O162" s="25">
        <v>86400</v>
      </c>
      <c r="P162" s="32">
        <v>0.4</v>
      </c>
    </row>
    <row r="163" spans="1:16" x14ac:dyDescent="0.25">
      <c r="A163" s="28" t="s">
        <v>216</v>
      </c>
      <c r="B163" s="24">
        <v>45728</v>
      </c>
      <c r="C163" s="24" t="s">
        <v>46</v>
      </c>
      <c r="D163" s="23">
        <v>2025</v>
      </c>
      <c r="E163" s="23" t="s">
        <v>600</v>
      </c>
      <c r="F163" s="23" t="s">
        <v>39</v>
      </c>
      <c r="G163" s="23" t="s">
        <v>610</v>
      </c>
      <c r="H163" s="23" t="s">
        <v>625</v>
      </c>
      <c r="I163" s="23" t="s">
        <v>630</v>
      </c>
      <c r="J163" s="23" t="s">
        <v>615</v>
      </c>
      <c r="K163" s="23">
        <v>14</v>
      </c>
      <c r="L163" s="23">
        <v>45000</v>
      </c>
      <c r="M163" s="23">
        <v>630000</v>
      </c>
      <c r="N163" s="23">
        <v>510300</v>
      </c>
      <c r="O163" s="23">
        <v>119700</v>
      </c>
      <c r="P163" s="31">
        <v>0.19</v>
      </c>
    </row>
    <row r="164" spans="1:16" x14ac:dyDescent="0.25">
      <c r="A164" s="29" t="s">
        <v>217</v>
      </c>
      <c r="B164" s="26">
        <v>45831</v>
      </c>
      <c r="C164" s="26" t="s">
        <v>44</v>
      </c>
      <c r="D164" s="25">
        <v>2025</v>
      </c>
      <c r="E164" s="25" t="s">
        <v>605</v>
      </c>
      <c r="F164" s="25" t="s">
        <v>40</v>
      </c>
      <c r="G164" s="25" t="s">
        <v>612</v>
      </c>
      <c r="H164" s="25" t="s">
        <v>620</v>
      </c>
      <c r="I164" s="25" t="s">
        <v>630</v>
      </c>
      <c r="J164" s="25" t="s">
        <v>618</v>
      </c>
      <c r="K164" s="25">
        <v>20</v>
      </c>
      <c r="L164" s="25">
        <v>55000</v>
      </c>
      <c r="M164" s="25">
        <v>1100000</v>
      </c>
      <c r="N164" s="25">
        <v>704000</v>
      </c>
      <c r="O164" s="25">
        <v>396000</v>
      </c>
      <c r="P164" s="32">
        <v>0.36</v>
      </c>
    </row>
    <row r="165" spans="1:16" x14ac:dyDescent="0.25">
      <c r="A165" s="28" t="s">
        <v>218</v>
      </c>
      <c r="B165" s="24">
        <v>45974</v>
      </c>
      <c r="C165" s="24" t="s">
        <v>48</v>
      </c>
      <c r="D165" s="23">
        <v>2025</v>
      </c>
      <c r="E165" s="23" t="s">
        <v>599</v>
      </c>
      <c r="F165" s="23" t="s">
        <v>39</v>
      </c>
      <c r="G165" s="23" t="s">
        <v>609</v>
      </c>
      <c r="H165" s="23" t="s">
        <v>620</v>
      </c>
      <c r="I165" s="25" t="s">
        <v>645</v>
      </c>
      <c r="J165" s="23" t="s">
        <v>618</v>
      </c>
      <c r="K165" s="23">
        <v>3</v>
      </c>
      <c r="L165" s="23">
        <v>15000</v>
      </c>
      <c r="M165" s="23">
        <v>45000</v>
      </c>
      <c r="N165" s="23">
        <v>32850</v>
      </c>
      <c r="O165" s="23">
        <v>12150</v>
      </c>
      <c r="P165" s="31">
        <v>0.27</v>
      </c>
    </row>
    <row r="166" spans="1:16" x14ac:dyDescent="0.25">
      <c r="A166" s="29" t="s">
        <v>219</v>
      </c>
      <c r="B166" s="26">
        <v>45751</v>
      </c>
      <c r="C166" s="26" t="s">
        <v>62</v>
      </c>
      <c r="D166" s="25">
        <v>2025</v>
      </c>
      <c r="E166" s="25" t="s">
        <v>599</v>
      </c>
      <c r="F166" s="25" t="s">
        <v>39</v>
      </c>
      <c r="G166" s="25" t="s">
        <v>611</v>
      </c>
      <c r="H166" s="25" t="s">
        <v>616</v>
      </c>
      <c r="I166" s="25" t="s">
        <v>614</v>
      </c>
      <c r="J166" s="25" t="s">
        <v>615</v>
      </c>
      <c r="K166" s="25">
        <v>17</v>
      </c>
      <c r="L166" s="25">
        <v>8000</v>
      </c>
      <c r="M166" s="25">
        <v>136000</v>
      </c>
      <c r="N166" s="25">
        <v>82960</v>
      </c>
      <c r="O166" s="25">
        <v>53040</v>
      </c>
      <c r="P166" s="32">
        <v>0.39</v>
      </c>
    </row>
    <row r="167" spans="1:16" x14ac:dyDescent="0.25">
      <c r="A167" s="28" t="s">
        <v>220</v>
      </c>
      <c r="B167" s="24">
        <v>45881</v>
      </c>
      <c r="C167" s="24" t="s">
        <v>50</v>
      </c>
      <c r="D167" s="23">
        <v>2025</v>
      </c>
      <c r="E167" s="23" t="s">
        <v>607</v>
      </c>
      <c r="F167" s="23" t="s">
        <v>42</v>
      </c>
      <c r="G167" s="23" t="s">
        <v>609</v>
      </c>
      <c r="H167" s="23" t="s">
        <v>620</v>
      </c>
      <c r="I167" s="23" t="s">
        <v>623</v>
      </c>
      <c r="J167" s="23" t="s">
        <v>618</v>
      </c>
      <c r="K167" s="23">
        <v>1</v>
      </c>
      <c r="L167" s="23">
        <v>8000</v>
      </c>
      <c r="M167" s="23">
        <v>8000</v>
      </c>
      <c r="N167" s="23">
        <v>5920</v>
      </c>
      <c r="O167" s="23">
        <v>2080</v>
      </c>
      <c r="P167" s="31">
        <v>0.26</v>
      </c>
    </row>
    <row r="168" spans="1:16" x14ac:dyDescent="0.25">
      <c r="A168" s="29" t="s">
        <v>221</v>
      </c>
      <c r="B168" s="26">
        <v>45738</v>
      </c>
      <c r="C168" s="26" t="s">
        <v>46</v>
      </c>
      <c r="D168" s="25">
        <v>2025</v>
      </c>
      <c r="E168" s="25" t="s">
        <v>593</v>
      </c>
      <c r="F168" s="25" t="s">
        <v>41</v>
      </c>
      <c r="G168" s="25" t="s">
        <v>610</v>
      </c>
      <c r="H168" s="25" t="s">
        <v>626</v>
      </c>
      <c r="I168" s="25" t="s">
        <v>631</v>
      </c>
      <c r="J168" s="25" t="s">
        <v>618</v>
      </c>
      <c r="K168" s="25">
        <v>3</v>
      </c>
      <c r="L168" s="25">
        <v>7000</v>
      </c>
      <c r="M168" s="25">
        <v>21000</v>
      </c>
      <c r="N168" s="25">
        <v>12600</v>
      </c>
      <c r="O168" s="25">
        <v>8400</v>
      </c>
      <c r="P168" s="32">
        <v>0.4</v>
      </c>
    </row>
    <row r="169" spans="1:16" x14ac:dyDescent="0.25">
      <c r="A169" s="28" t="s">
        <v>222</v>
      </c>
      <c r="B169" s="24">
        <v>45995</v>
      </c>
      <c r="C169" s="24" t="s">
        <v>80</v>
      </c>
      <c r="D169" s="23">
        <v>2025</v>
      </c>
      <c r="E169" s="23" t="s">
        <v>593</v>
      </c>
      <c r="F169" s="23" t="s">
        <v>41</v>
      </c>
      <c r="G169" s="23" t="s">
        <v>609</v>
      </c>
      <c r="H169" s="23" t="s">
        <v>625</v>
      </c>
      <c r="I169" s="23" t="s">
        <v>630</v>
      </c>
      <c r="J169" s="23" t="s">
        <v>615</v>
      </c>
      <c r="K169" s="23">
        <v>3</v>
      </c>
      <c r="L169" s="23">
        <v>4000</v>
      </c>
      <c r="M169" s="23">
        <v>12000</v>
      </c>
      <c r="N169" s="23">
        <v>8760</v>
      </c>
      <c r="O169" s="23">
        <v>3240</v>
      </c>
      <c r="P169" s="31">
        <v>0.27</v>
      </c>
    </row>
    <row r="170" spans="1:16" x14ac:dyDescent="0.25">
      <c r="A170" s="29" t="s">
        <v>223</v>
      </c>
      <c r="B170" s="26">
        <v>45765</v>
      </c>
      <c r="C170" s="26" t="s">
        <v>62</v>
      </c>
      <c r="D170" s="25">
        <v>2025</v>
      </c>
      <c r="E170" s="25" t="s">
        <v>594</v>
      </c>
      <c r="F170" s="25" t="s">
        <v>39</v>
      </c>
      <c r="G170" s="25" t="s">
        <v>609</v>
      </c>
      <c r="H170" s="25" t="s">
        <v>625</v>
      </c>
      <c r="I170" s="25" t="s">
        <v>617</v>
      </c>
      <c r="J170" s="25" t="s">
        <v>615</v>
      </c>
      <c r="K170" s="25">
        <v>17</v>
      </c>
      <c r="L170" s="25">
        <v>25000</v>
      </c>
      <c r="M170" s="25">
        <v>425000</v>
      </c>
      <c r="N170" s="25">
        <v>280500</v>
      </c>
      <c r="O170" s="25">
        <v>144500</v>
      </c>
      <c r="P170" s="32">
        <v>0.34</v>
      </c>
    </row>
    <row r="171" spans="1:16" x14ac:dyDescent="0.25">
      <c r="A171" s="28" t="s">
        <v>224</v>
      </c>
      <c r="B171" s="24">
        <v>45772</v>
      </c>
      <c r="C171" s="24" t="s">
        <v>62</v>
      </c>
      <c r="D171" s="23">
        <v>2025</v>
      </c>
      <c r="E171" s="23" t="s">
        <v>606</v>
      </c>
      <c r="F171" s="23" t="s">
        <v>40</v>
      </c>
      <c r="G171" s="23" t="s">
        <v>608</v>
      </c>
      <c r="H171" s="23" t="s">
        <v>626</v>
      </c>
      <c r="I171" s="25" t="s">
        <v>645</v>
      </c>
      <c r="J171" s="23" t="s">
        <v>615</v>
      </c>
      <c r="K171" s="23">
        <v>19</v>
      </c>
      <c r="L171" s="23">
        <v>12000</v>
      </c>
      <c r="M171" s="23">
        <v>228000</v>
      </c>
      <c r="N171" s="23">
        <v>205200</v>
      </c>
      <c r="O171" s="23">
        <v>22800</v>
      </c>
      <c r="P171" s="31">
        <v>0.1</v>
      </c>
    </row>
    <row r="172" spans="1:16" x14ac:dyDescent="0.25">
      <c r="A172" s="29" t="s">
        <v>225</v>
      </c>
      <c r="B172" s="26">
        <v>45967</v>
      </c>
      <c r="C172" s="26" t="s">
        <v>48</v>
      </c>
      <c r="D172" s="25">
        <v>2025</v>
      </c>
      <c r="E172" s="25" t="s">
        <v>600</v>
      </c>
      <c r="F172" s="25" t="s">
        <v>39</v>
      </c>
      <c r="G172" s="25" t="s">
        <v>609</v>
      </c>
      <c r="H172" s="25" t="s">
        <v>620</v>
      </c>
      <c r="I172" s="25" t="s">
        <v>645</v>
      </c>
      <c r="J172" s="25" t="s">
        <v>615</v>
      </c>
      <c r="K172" s="25">
        <v>6</v>
      </c>
      <c r="L172" s="25">
        <v>50</v>
      </c>
      <c r="M172" s="25">
        <v>300</v>
      </c>
      <c r="N172" s="25">
        <v>255</v>
      </c>
      <c r="O172" s="25">
        <v>45</v>
      </c>
      <c r="P172" s="32">
        <v>0.15</v>
      </c>
    </row>
    <row r="173" spans="1:16" x14ac:dyDescent="0.25">
      <c r="A173" s="28" t="s">
        <v>226</v>
      </c>
      <c r="B173" s="24">
        <v>45783</v>
      </c>
      <c r="C173" s="24" t="s">
        <v>57</v>
      </c>
      <c r="D173" s="23">
        <v>2025</v>
      </c>
      <c r="E173" s="23" t="s">
        <v>596</v>
      </c>
      <c r="F173" s="23" t="s">
        <v>39</v>
      </c>
      <c r="G173" s="23" t="s">
        <v>612</v>
      </c>
      <c r="H173" s="23" t="s">
        <v>620</v>
      </c>
      <c r="I173" s="23" t="s">
        <v>623</v>
      </c>
      <c r="J173" s="23" t="s">
        <v>615</v>
      </c>
      <c r="K173" s="23">
        <v>15</v>
      </c>
      <c r="L173" s="23">
        <v>25000</v>
      </c>
      <c r="M173" s="23">
        <v>375000</v>
      </c>
      <c r="N173" s="23">
        <v>240000</v>
      </c>
      <c r="O173" s="23">
        <v>135000</v>
      </c>
      <c r="P173" s="31">
        <v>0.36</v>
      </c>
    </row>
    <row r="174" spans="1:16" x14ac:dyDescent="0.25">
      <c r="A174" s="29" t="s">
        <v>227</v>
      </c>
      <c r="B174" s="26">
        <v>45734</v>
      </c>
      <c r="C174" s="26" t="s">
        <v>46</v>
      </c>
      <c r="D174" s="25">
        <v>2025</v>
      </c>
      <c r="E174" s="25" t="s">
        <v>605</v>
      </c>
      <c r="F174" s="25" t="s">
        <v>40</v>
      </c>
      <c r="G174" s="25" t="s">
        <v>612</v>
      </c>
      <c r="H174" s="25" t="s">
        <v>624</v>
      </c>
      <c r="I174" s="25" t="s">
        <v>623</v>
      </c>
      <c r="J174" s="25" t="s">
        <v>618</v>
      </c>
      <c r="K174" s="25">
        <v>16</v>
      </c>
      <c r="L174" s="25">
        <v>25000</v>
      </c>
      <c r="M174" s="25">
        <v>400000</v>
      </c>
      <c r="N174" s="25">
        <v>336000</v>
      </c>
      <c r="O174" s="25">
        <v>64000</v>
      </c>
      <c r="P174" s="32">
        <v>0.16</v>
      </c>
    </row>
    <row r="175" spans="1:16" x14ac:dyDescent="0.25">
      <c r="A175" s="28" t="s">
        <v>228</v>
      </c>
      <c r="B175" s="24">
        <v>45981</v>
      </c>
      <c r="C175" s="24" t="s">
        <v>48</v>
      </c>
      <c r="D175" s="23">
        <v>2025</v>
      </c>
      <c r="E175" s="23" t="s">
        <v>598</v>
      </c>
      <c r="F175" s="23" t="s">
        <v>40</v>
      </c>
      <c r="G175" s="23" t="s">
        <v>610</v>
      </c>
      <c r="H175" s="23" t="s">
        <v>620</v>
      </c>
      <c r="I175" s="23" t="s">
        <v>614</v>
      </c>
      <c r="J175" s="23" t="s">
        <v>615</v>
      </c>
      <c r="K175" s="23">
        <v>11</v>
      </c>
      <c r="L175" s="23">
        <v>55000</v>
      </c>
      <c r="M175" s="23">
        <v>605000</v>
      </c>
      <c r="N175" s="23">
        <v>544500</v>
      </c>
      <c r="O175" s="23">
        <v>60500</v>
      </c>
      <c r="P175" s="31">
        <v>0.1</v>
      </c>
    </row>
    <row r="176" spans="1:16" x14ac:dyDescent="0.25">
      <c r="A176" s="29" t="s">
        <v>229</v>
      </c>
      <c r="B176" s="26">
        <v>45931</v>
      </c>
      <c r="C176" s="26" t="s">
        <v>65</v>
      </c>
      <c r="D176" s="25">
        <v>2025</v>
      </c>
      <c r="E176" s="25" t="s">
        <v>601</v>
      </c>
      <c r="F176" s="25" t="s">
        <v>41</v>
      </c>
      <c r="G176" s="25" t="s">
        <v>609</v>
      </c>
      <c r="H176" s="25" t="s">
        <v>628</v>
      </c>
      <c r="I176" s="25" t="s">
        <v>630</v>
      </c>
      <c r="J176" s="25" t="s">
        <v>615</v>
      </c>
      <c r="K176" s="25">
        <v>4</v>
      </c>
      <c r="L176" s="25">
        <v>3500</v>
      </c>
      <c r="M176" s="25">
        <v>14000</v>
      </c>
      <c r="N176" s="25">
        <v>10920</v>
      </c>
      <c r="O176" s="25">
        <v>3080</v>
      </c>
      <c r="P176" s="32">
        <v>0.22</v>
      </c>
    </row>
    <row r="177" spans="1:16" x14ac:dyDescent="0.25">
      <c r="A177" s="28" t="s">
        <v>230</v>
      </c>
      <c r="B177" s="24">
        <v>45967</v>
      </c>
      <c r="C177" s="24" t="s">
        <v>48</v>
      </c>
      <c r="D177" s="23">
        <v>2025</v>
      </c>
      <c r="E177" s="23" t="s">
        <v>595</v>
      </c>
      <c r="F177" s="23" t="s">
        <v>39</v>
      </c>
      <c r="G177" s="23" t="s">
        <v>609</v>
      </c>
      <c r="H177" s="23" t="s">
        <v>626</v>
      </c>
      <c r="I177" s="25" t="s">
        <v>645</v>
      </c>
      <c r="J177" s="23" t="s">
        <v>618</v>
      </c>
      <c r="K177" s="23">
        <v>6</v>
      </c>
      <c r="L177" s="23">
        <v>9000</v>
      </c>
      <c r="M177" s="23">
        <v>54000</v>
      </c>
      <c r="N177" s="23">
        <v>36180</v>
      </c>
      <c r="O177" s="23">
        <v>17820</v>
      </c>
      <c r="P177" s="31">
        <v>0.33</v>
      </c>
    </row>
    <row r="178" spans="1:16" x14ac:dyDescent="0.25">
      <c r="A178" s="29" t="s">
        <v>231</v>
      </c>
      <c r="B178" s="26">
        <v>45705</v>
      </c>
      <c r="C178" s="26" t="s">
        <v>55</v>
      </c>
      <c r="D178" s="25">
        <v>2025</v>
      </c>
      <c r="E178" s="25" t="s">
        <v>599</v>
      </c>
      <c r="F178" s="25" t="s">
        <v>39</v>
      </c>
      <c r="G178" s="25" t="s">
        <v>609</v>
      </c>
      <c r="H178" s="25" t="s">
        <v>613</v>
      </c>
      <c r="I178" s="25" t="s">
        <v>645</v>
      </c>
      <c r="J178" s="25" t="s">
        <v>618</v>
      </c>
      <c r="K178" s="25">
        <v>15</v>
      </c>
      <c r="L178" s="25">
        <v>50</v>
      </c>
      <c r="M178" s="25">
        <v>750</v>
      </c>
      <c r="N178" s="25">
        <v>457.5</v>
      </c>
      <c r="O178" s="25">
        <v>292.5</v>
      </c>
      <c r="P178" s="32">
        <v>0.39</v>
      </c>
    </row>
    <row r="179" spans="1:16" x14ac:dyDescent="0.25">
      <c r="A179" s="28" t="s">
        <v>232</v>
      </c>
      <c r="B179" s="24">
        <v>45726</v>
      </c>
      <c r="C179" s="24" t="s">
        <v>46</v>
      </c>
      <c r="D179" s="23">
        <v>2025</v>
      </c>
      <c r="E179" s="23" t="s">
        <v>598</v>
      </c>
      <c r="F179" s="23" t="s">
        <v>40</v>
      </c>
      <c r="G179" s="23" t="s">
        <v>612</v>
      </c>
      <c r="H179" s="23" t="s">
        <v>616</v>
      </c>
      <c r="I179" s="23" t="s">
        <v>623</v>
      </c>
      <c r="J179" s="23" t="s">
        <v>615</v>
      </c>
      <c r="K179" s="23">
        <v>18</v>
      </c>
      <c r="L179" s="23">
        <v>8000</v>
      </c>
      <c r="M179" s="23">
        <v>144000</v>
      </c>
      <c r="N179" s="23">
        <v>105120</v>
      </c>
      <c r="O179" s="23">
        <v>38880</v>
      </c>
      <c r="P179" s="31">
        <v>0.27</v>
      </c>
    </row>
    <row r="180" spans="1:16" x14ac:dyDescent="0.25">
      <c r="A180" s="29" t="s">
        <v>233</v>
      </c>
      <c r="B180" s="26">
        <v>45711</v>
      </c>
      <c r="C180" s="26" t="s">
        <v>55</v>
      </c>
      <c r="D180" s="25">
        <v>2025</v>
      </c>
      <c r="E180" s="25" t="s">
        <v>597</v>
      </c>
      <c r="F180" s="25" t="s">
        <v>41</v>
      </c>
      <c r="G180" s="25" t="s">
        <v>610</v>
      </c>
      <c r="H180" s="25" t="s">
        <v>625</v>
      </c>
      <c r="I180" s="25" t="s">
        <v>631</v>
      </c>
      <c r="J180" s="25" t="s">
        <v>615</v>
      </c>
      <c r="K180" s="25">
        <v>13</v>
      </c>
      <c r="L180" s="25">
        <v>50</v>
      </c>
      <c r="M180" s="25">
        <v>650</v>
      </c>
      <c r="N180" s="25">
        <v>455</v>
      </c>
      <c r="O180" s="25">
        <v>195</v>
      </c>
      <c r="P180" s="32">
        <v>0.3</v>
      </c>
    </row>
    <row r="181" spans="1:16" x14ac:dyDescent="0.25">
      <c r="A181" s="28" t="s">
        <v>234</v>
      </c>
      <c r="B181" s="24">
        <v>45698</v>
      </c>
      <c r="C181" s="24" t="s">
        <v>55</v>
      </c>
      <c r="D181" s="23">
        <v>2025</v>
      </c>
      <c r="E181" s="23" t="s">
        <v>593</v>
      </c>
      <c r="F181" s="23" t="s">
        <v>41</v>
      </c>
      <c r="G181" s="23" t="s">
        <v>611</v>
      </c>
      <c r="H181" s="23" t="s">
        <v>628</v>
      </c>
      <c r="I181" s="23" t="s">
        <v>623</v>
      </c>
      <c r="J181" s="23" t="s">
        <v>615</v>
      </c>
      <c r="K181" s="23">
        <v>9</v>
      </c>
      <c r="L181" s="23">
        <v>150</v>
      </c>
      <c r="M181" s="23">
        <v>1350</v>
      </c>
      <c r="N181" s="23">
        <v>958.5</v>
      </c>
      <c r="O181" s="23">
        <v>391.5</v>
      </c>
      <c r="P181" s="31">
        <v>0.28999999999999998</v>
      </c>
    </row>
    <row r="182" spans="1:16" x14ac:dyDescent="0.25">
      <c r="A182" s="29" t="s">
        <v>235</v>
      </c>
      <c r="B182" s="26">
        <v>45940</v>
      </c>
      <c r="C182" s="26" t="s">
        <v>65</v>
      </c>
      <c r="D182" s="25">
        <v>2025</v>
      </c>
      <c r="E182" s="25" t="s">
        <v>601</v>
      </c>
      <c r="F182" s="25" t="s">
        <v>41</v>
      </c>
      <c r="G182" s="25" t="s">
        <v>608</v>
      </c>
      <c r="H182" s="25" t="s">
        <v>624</v>
      </c>
      <c r="I182" s="25" t="s">
        <v>614</v>
      </c>
      <c r="J182" s="25" t="s">
        <v>615</v>
      </c>
      <c r="K182" s="25">
        <v>14</v>
      </c>
      <c r="L182" s="25">
        <v>3500</v>
      </c>
      <c r="M182" s="25">
        <v>49000</v>
      </c>
      <c r="N182" s="25">
        <v>40670</v>
      </c>
      <c r="O182" s="25">
        <v>8330</v>
      </c>
      <c r="P182" s="32">
        <v>0.17</v>
      </c>
    </row>
    <row r="183" spans="1:16" x14ac:dyDescent="0.25">
      <c r="A183" s="28" t="s">
        <v>236</v>
      </c>
      <c r="B183" s="24">
        <v>45888</v>
      </c>
      <c r="C183" s="24" t="s">
        <v>50</v>
      </c>
      <c r="D183" s="23">
        <v>2025</v>
      </c>
      <c r="E183" s="23" t="s">
        <v>601</v>
      </c>
      <c r="F183" s="23" t="s">
        <v>41</v>
      </c>
      <c r="G183" s="23" t="s">
        <v>610</v>
      </c>
      <c r="H183" s="23" t="s">
        <v>628</v>
      </c>
      <c r="I183" s="23" t="s">
        <v>617</v>
      </c>
      <c r="J183" s="23" t="s">
        <v>615</v>
      </c>
      <c r="K183" s="23">
        <v>9</v>
      </c>
      <c r="L183" s="23">
        <v>300</v>
      </c>
      <c r="M183" s="23">
        <v>2700</v>
      </c>
      <c r="N183" s="23">
        <v>2079</v>
      </c>
      <c r="O183" s="23">
        <v>621</v>
      </c>
      <c r="P183" s="31">
        <v>0.23</v>
      </c>
    </row>
    <row r="184" spans="1:16" x14ac:dyDescent="0.25">
      <c r="A184" s="29" t="s">
        <v>237</v>
      </c>
      <c r="B184" s="26">
        <v>45665</v>
      </c>
      <c r="C184" s="26" t="s">
        <v>59</v>
      </c>
      <c r="D184" s="25">
        <v>2025</v>
      </c>
      <c r="E184" s="25" t="s">
        <v>596</v>
      </c>
      <c r="F184" s="25" t="s">
        <v>39</v>
      </c>
      <c r="G184" s="25" t="s">
        <v>610</v>
      </c>
      <c r="H184" s="25" t="s">
        <v>625</v>
      </c>
      <c r="I184" s="25" t="s">
        <v>645</v>
      </c>
      <c r="J184" s="25" t="s">
        <v>618</v>
      </c>
      <c r="K184" s="25">
        <v>1</v>
      </c>
      <c r="L184" s="25">
        <v>15000</v>
      </c>
      <c r="M184" s="25">
        <v>15000</v>
      </c>
      <c r="N184" s="25">
        <v>11700</v>
      </c>
      <c r="O184" s="25">
        <v>3300</v>
      </c>
      <c r="P184" s="32">
        <v>0.22</v>
      </c>
    </row>
    <row r="185" spans="1:16" x14ac:dyDescent="0.25">
      <c r="A185" s="28" t="s">
        <v>238</v>
      </c>
      <c r="B185" s="24">
        <v>45995</v>
      </c>
      <c r="C185" s="24" t="s">
        <v>80</v>
      </c>
      <c r="D185" s="23">
        <v>2025</v>
      </c>
      <c r="E185" s="23" t="s">
        <v>600</v>
      </c>
      <c r="F185" s="23" t="s">
        <v>39</v>
      </c>
      <c r="G185" s="23" t="s">
        <v>608</v>
      </c>
      <c r="H185" s="23" t="s">
        <v>620</v>
      </c>
      <c r="I185" s="23" t="s">
        <v>623</v>
      </c>
      <c r="J185" s="23" t="s">
        <v>615</v>
      </c>
      <c r="K185" s="23">
        <v>9</v>
      </c>
      <c r="L185" s="23">
        <v>1200</v>
      </c>
      <c r="M185" s="23">
        <v>10800</v>
      </c>
      <c r="N185" s="23">
        <v>8208</v>
      </c>
      <c r="O185" s="23">
        <v>2592</v>
      </c>
      <c r="P185" s="31">
        <v>0.24</v>
      </c>
    </row>
    <row r="186" spans="1:16" x14ac:dyDescent="0.25">
      <c r="A186" s="29" t="s">
        <v>239</v>
      </c>
      <c r="B186" s="26">
        <v>45864</v>
      </c>
      <c r="C186" s="26" t="s">
        <v>83</v>
      </c>
      <c r="D186" s="25">
        <v>2025</v>
      </c>
      <c r="E186" s="25" t="s">
        <v>607</v>
      </c>
      <c r="F186" s="25" t="s">
        <v>42</v>
      </c>
      <c r="G186" s="25" t="s">
        <v>610</v>
      </c>
      <c r="H186" s="25" t="s">
        <v>629</v>
      </c>
      <c r="I186" s="25" t="s">
        <v>631</v>
      </c>
      <c r="J186" s="25" t="s">
        <v>618</v>
      </c>
      <c r="K186" s="25">
        <v>20</v>
      </c>
      <c r="L186" s="25">
        <v>9000</v>
      </c>
      <c r="M186" s="25">
        <v>180000</v>
      </c>
      <c r="N186" s="25">
        <v>122400</v>
      </c>
      <c r="O186" s="25">
        <v>57600</v>
      </c>
      <c r="P186" s="32">
        <v>0.32</v>
      </c>
    </row>
    <row r="187" spans="1:16" x14ac:dyDescent="0.25">
      <c r="A187" s="28" t="s">
        <v>240</v>
      </c>
      <c r="B187" s="24">
        <v>46013</v>
      </c>
      <c r="C187" s="24" t="s">
        <v>80</v>
      </c>
      <c r="D187" s="23">
        <v>2025</v>
      </c>
      <c r="E187" s="23" t="s">
        <v>594</v>
      </c>
      <c r="F187" s="23" t="s">
        <v>39</v>
      </c>
      <c r="G187" s="23" t="s">
        <v>608</v>
      </c>
      <c r="H187" s="23" t="s">
        <v>625</v>
      </c>
      <c r="I187" s="23" t="s">
        <v>623</v>
      </c>
      <c r="J187" s="23" t="s">
        <v>615</v>
      </c>
      <c r="K187" s="23">
        <v>10</v>
      </c>
      <c r="L187" s="23">
        <v>8000</v>
      </c>
      <c r="M187" s="23">
        <v>80000</v>
      </c>
      <c r="N187" s="23">
        <v>64000</v>
      </c>
      <c r="O187" s="23">
        <v>16000</v>
      </c>
      <c r="P187" s="31">
        <v>0.2</v>
      </c>
    </row>
    <row r="188" spans="1:16" x14ac:dyDescent="0.25">
      <c r="A188" s="29" t="s">
        <v>241</v>
      </c>
      <c r="B188" s="26">
        <v>45717</v>
      </c>
      <c r="C188" s="26" t="s">
        <v>46</v>
      </c>
      <c r="D188" s="25">
        <v>2025</v>
      </c>
      <c r="E188" s="25" t="s">
        <v>592</v>
      </c>
      <c r="F188" s="25" t="s">
        <v>40</v>
      </c>
      <c r="G188" s="25" t="s">
        <v>612</v>
      </c>
      <c r="H188" s="25" t="s">
        <v>628</v>
      </c>
      <c r="I188" s="25" t="s">
        <v>623</v>
      </c>
      <c r="J188" s="25" t="s">
        <v>618</v>
      </c>
      <c r="K188" s="25">
        <v>17</v>
      </c>
      <c r="L188" s="25">
        <v>15000</v>
      </c>
      <c r="M188" s="25">
        <v>255000</v>
      </c>
      <c r="N188" s="25">
        <v>229500</v>
      </c>
      <c r="O188" s="25">
        <v>25500</v>
      </c>
      <c r="P188" s="32">
        <v>0.1</v>
      </c>
    </row>
    <row r="189" spans="1:16" x14ac:dyDescent="0.25">
      <c r="A189" s="28" t="s">
        <v>242</v>
      </c>
      <c r="B189" s="24">
        <v>45739</v>
      </c>
      <c r="C189" s="24" t="s">
        <v>46</v>
      </c>
      <c r="D189" s="23">
        <v>2025</v>
      </c>
      <c r="E189" s="23" t="s">
        <v>598</v>
      </c>
      <c r="F189" s="23" t="s">
        <v>40</v>
      </c>
      <c r="G189" s="23" t="s">
        <v>612</v>
      </c>
      <c r="H189" s="23" t="s">
        <v>625</v>
      </c>
      <c r="I189" s="23" t="s">
        <v>619</v>
      </c>
      <c r="J189" s="23" t="s">
        <v>618</v>
      </c>
      <c r="K189" s="23">
        <v>14</v>
      </c>
      <c r="L189" s="23">
        <v>12000</v>
      </c>
      <c r="M189" s="23">
        <v>168000</v>
      </c>
      <c r="N189" s="23">
        <v>126000</v>
      </c>
      <c r="O189" s="23">
        <v>42000</v>
      </c>
      <c r="P189" s="31">
        <v>0.25</v>
      </c>
    </row>
    <row r="190" spans="1:16" x14ac:dyDescent="0.25">
      <c r="A190" s="29" t="s">
        <v>243</v>
      </c>
      <c r="B190" s="26">
        <v>46015</v>
      </c>
      <c r="C190" s="26" t="s">
        <v>80</v>
      </c>
      <c r="D190" s="25">
        <v>2025</v>
      </c>
      <c r="E190" s="25" t="s">
        <v>601</v>
      </c>
      <c r="F190" s="25" t="s">
        <v>41</v>
      </c>
      <c r="G190" s="25" t="s">
        <v>610</v>
      </c>
      <c r="H190" s="25" t="s">
        <v>625</v>
      </c>
      <c r="I190" s="25" t="s">
        <v>630</v>
      </c>
      <c r="J190" s="25" t="s">
        <v>615</v>
      </c>
      <c r="K190" s="25">
        <v>5</v>
      </c>
      <c r="L190" s="25">
        <v>8000</v>
      </c>
      <c r="M190" s="25">
        <v>40000</v>
      </c>
      <c r="N190" s="25">
        <v>30400</v>
      </c>
      <c r="O190" s="25">
        <v>9600</v>
      </c>
      <c r="P190" s="32">
        <v>0.24</v>
      </c>
    </row>
    <row r="191" spans="1:16" x14ac:dyDescent="0.25">
      <c r="A191" s="28" t="s">
        <v>244</v>
      </c>
      <c r="B191" s="24">
        <v>45754</v>
      </c>
      <c r="C191" s="24" t="s">
        <v>62</v>
      </c>
      <c r="D191" s="23">
        <v>2025</v>
      </c>
      <c r="E191" s="23" t="s">
        <v>606</v>
      </c>
      <c r="F191" s="23" t="s">
        <v>40</v>
      </c>
      <c r="G191" s="23" t="s">
        <v>611</v>
      </c>
      <c r="H191" s="23" t="s">
        <v>625</v>
      </c>
      <c r="I191" s="25" t="s">
        <v>645</v>
      </c>
      <c r="J191" s="23" t="s">
        <v>618</v>
      </c>
      <c r="K191" s="23">
        <v>6</v>
      </c>
      <c r="L191" s="23">
        <v>50</v>
      </c>
      <c r="M191" s="23">
        <v>300</v>
      </c>
      <c r="N191" s="23">
        <v>183</v>
      </c>
      <c r="O191" s="23">
        <v>117</v>
      </c>
      <c r="P191" s="31">
        <v>0.39</v>
      </c>
    </row>
    <row r="192" spans="1:16" x14ac:dyDescent="0.25">
      <c r="A192" s="29" t="s">
        <v>245</v>
      </c>
      <c r="B192" s="26">
        <v>45953</v>
      </c>
      <c r="C192" s="26" t="s">
        <v>65</v>
      </c>
      <c r="D192" s="25">
        <v>2025</v>
      </c>
      <c r="E192" s="25" t="s">
        <v>605</v>
      </c>
      <c r="F192" s="25" t="s">
        <v>40</v>
      </c>
      <c r="G192" s="25" t="s">
        <v>609</v>
      </c>
      <c r="H192" s="25" t="s">
        <v>629</v>
      </c>
      <c r="I192" s="25" t="s">
        <v>631</v>
      </c>
      <c r="J192" s="25" t="s">
        <v>618</v>
      </c>
      <c r="K192" s="25">
        <v>9</v>
      </c>
      <c r="L192" s="25">
        <v>12000</v>
      </c>
      <c r="M192" s="25">
        <v>108000</v>
      </c>
      <c r="N192" s="25">
        <v>69120</v>
      </c>
      <c r="O192" s="25">
        <v>38880</v>
      </c>
      <c r="P192" s="32">
        <v>0.36</v>
      </c>
    </row>
    <row r="193" spans="1:16" x14ac:dyDescent="0.25">
      <c r="A193" s="28" t="s">
        <v>246</v>
      </c>
      <c r="B193" s="24">
        <v>45742</v>
      </c>
      <c r="C193" s="24" t="s">
        <v>46</v>
      </c>
      <c r="D193" s="23">
        <v>2025</v>
      </c>
      <c r="E193" s="23" t="s">
        <v>601</v>
      </c>
      <c r="F193" s="23" t="s">
        <v>41</v>
      </c>
      <c r="G193" s="23" t="s">
        <v>612</v>
      </c>
      <c r="H193" s="23" t="s">
        <v>624</v>
      </c>
      <c r="I193" s="23" t="s">
        <v>630</v>
      </c>
      <c r="J193" s="23" t="s">
        <v>615</v>
      </c>
      <c r="K193" s="23">
        <v>15</v>
      </c>
      <c r="L193" s="23">
        <v>45000</v>
      </c>
      <c r="M193" s="23">
        <v>675000</v>
      </c>
      <c r="N193" s="23">
        <v>425250</v>
      </c>
      <c r="O193" s="23">
        <v>249750</v>
      </c>
      <c r="P193" s="31">
        <v>0.37</v>
      </c>
    </row>
    <row r="194" spans="1:16" x14ac:dyDescent="0.25">
      <c r="A194" s="29" t="s">
        <v>247</v>
      </c>
      <c r="B194" s="26">
        <v>45907</v>
      </c>
      <c r="C194" s="26" t="s">
        <v>53</v>
      </c>
      <c r="D194" s="25">
        <v>2025</v>
      </c>
      <c r="E194" s="25" t="s">
        <v>598</v>
      </c>
      <c r="F194" s="25" t="s">
        <v>40</v>
      </c>
      <c r="G194" s="25" t="s">
        <v>608</v>
      </c>
      <c r="H194" s="25" t="s">
        <v>624</v>
      </c>
      <c r="I194" s="25" t="s">
        <v>623</v>
      </c>
      <c r="J194" s="25" t="s">
        <v>618</v>
      </c>
      <c r="K194" s="25">
        <v>20</v>
      </c>
      <c r="L194" s="25">
        <v>700</v>
      </c>
      <c r="M194" s="25">
        <v>14000</v>
      </c>
      <c r="N194" s="25">
        <v>11200</v>
      </c>
      <c r="O194" s="25">
        <v>2800</v>
      </c>
      <c r="P194" s="32">
        <v>0.2</v>
      </c>
    </row>
    <row r="195" spans="1:16" x14ac:dyDescent="0.25">
      <c r="A195" s="28" t="s">
        <v>248</v>
      </c>
      <c r="B195" s="24">
        <v>45750</v>
      </c>
      <c r="C195" s="24" t="s">
        <v>62</v>
      </c>
      <c r="D195" s="23">
        <v>2025</v>
      </c>
      <c r="E195" s="23" t="s">
        <v>593</v>
      </c>
      <c r="F195" s="23" t="s">
        <v>41</v>
      </c>
      <c r="G195" s="23" t="s">
        <v>609</v>
      </c>
      <c r="H195" s="23" t="s">
        <v>624</v>
      </c>
      <c r="I195" s="23" t="s">
        <v>614</v>
      </c>
      <c r="J195" s="23" t="s">
        <v>615</v>
      </c>
      <c r="K195" s="23">
        <v>8</v>
      </c>
      <c r="L195" s="23">
        <v>300</v>
      </c>
      <c r="M195" s="23">
        <v>2400</v>
      </c>
      <c r="N195" s="23">
        <v>1848</v>
      </c>
      <c r="O195" s="23">
        <v>552</v>
      </c>
      <c r="P195" s="31">
        <v>0.23</v>
      </c>
    </row>
    <row r="196" spans="1:16" x14ac:dyDescent="0.25">
      <c r="A196" s="29" t="s">
        <v>249</v>
      </c>
      <c r="B196" s="26">
        <v>45670</v>
      </c>
      <c r="C196" s="26" t="s">
        <v>59</v>
      </c>
      <c r="D196" s="25">
        <v>2025</v>
      </c>
      <c r="E196" s="25" t="s">
        <v>594</v>
      </c>
      <c r="F196" s="25" t="s">
        <v>39</v>
      </c>
      <c r="G196" s="25" t="s">
        <v>612</v>
      </c>
      <c r="H196" s="25" t="s">
        <v>620</v>
      </c>
      <c r="I196" s="25" t="s">
        <v>630</v>
      </c>
      <c r="J196" s="25" t="s">
        <v>618</v>
      </c>
      <c r="K196" s="25">
        <v>16</v>
      </c>
      <c r="L196" s="25">
        <v>7000</v>
      </c>
      <c r="M196" s="25">
        <v>112000</v>
      </c>
      <c r="N196" s="25">
        <v>82880</v>
      </c>
      <c r="O196" s="25">
        <v>29120</v>
      </c>
      <c r="P196" s="32">
        <v>0.26</v>
      </c>
    </row>
    <row r="197" spans="1:16" x14ac:dyDescent="0.25">
      <c r="A197" s="28" t="s">
        <v>250</v>
      </c>
      <c r="B197" s="24">
        <v>45810</v>
      </c>
      <c r="C197" s="24" t="s">
        <v>44</v>
      </c>
      <c r="D197" s="23">
        <v>2025</v>
      </c>
      <c r="E197" s="23" t="s">
        <v>603</v>
      </c>
      <c r="F197" s="23" t="s">
        <v>42</v>
      </c>
      <c r="G197" s="23" t="s">
        <v>609</v>
      </c>
      <c r="H197" s="23" t="s">
        <v>620</v>
      </c>
      <c r="I197" s="23" t="s">
        <v>623</v>
      </c>
      <c r="J197" s="23" t="s">
        <v>615</v>
      </c>
      <c r="K197" s="23">
        <v>7</v>
      </c>
      <c r="L197" s="23">
        <v>20</v>
      </c>
      <c r="M197" s="23">
        <v>140</v>
      </c>
      <c r="N197" s="23">
        <v>121.8</v>
      </c>
      <c r="O197" s="23">
        <v>18.200000000000003</v>
      </c>
      <c r="P197" s="31">
        <v>0.13000000000000003</v>
      </c>
    </row>
    <row r="198" spans="1:16" x14ac:dyDescent="0.25">
      <c r="A198" s="29" t="s">
        <v>251</v>
      </c>
      <c r="B198" s="26">
        <v>45956</v>
      </c>
      <c r="C198" s="26" t="s">
        <v>65</v>
      </c>
      <c r="D198" s="25">
        <v>2025</v>
      </c>
      <c r="E198" s="25" t="s">
        <v>596</v>
      </c>
      <c r="F198" s="25" t="s">
        <v>39</v>
      </c>
      <c r="G198" s="25" t="s">
        <v>610</v>
      </c>
      <c r="H198" s="25" t="s">
        <v>622</v>
      </c>
      <c r="I198" s="25" t="s">
        <v>645</v>
      </c>
      <c r="J198" s="25" t="s">
        <v>618</v>
      </c>
      <c r="K198" s="25">
        <v>10</v>
      </c>
      <c r="L198" s="25">
        <v>45000</v>
      </c>
      <c r="M198" s="25">
        <v>450000</v>
      </c>
      <c r="N198" s="25">
        <v>324000</v>
      </c>
      <c r="O198" s="25">
        <v>126000</v>
      </c>
      <c r="P198" s="32">
        <v>0.28000000000000003</v>
      </c>
    </row>
    <row r="199" spans="1:16" x14ac:dyDescent="0.25">
      <c r="A199" s="28" t="s">
        <v>252</v>
      </c>
      <c r="B199" s="24">
        <v>46013</v>
      </c>
      <c r="C199" s="24" t="s">
        <v>80</v>
      </c>
      <c r="D199" s="23">
        <v>2025</v>
      </c>
      <c r="E199" s="23" t="s">
        <v>592</v>
      </c>
      <c r="F199" s="23" t="s">
        <v>40</v>
      </c>
      <c r="G199" s="23" t="s">
        <v>609</v>
      </c>
      <c r="H199" s="23" t="s">
        <v>629</v>
      </c>
      <c r="I199" s="23" t="s">
        <v>617</v>
      </c>
      <c r="J199" s="23" t="s">
        <v>618</v>
      </c>
      <c r="K199" s="23">
        <v>11</v>
      </c>
      <c r="L199" s="23">
        <v>55000</v>
      </c>
      <c r="M199" s="23">
        <v>605000</v>
      </c>
      <c r="N199" s="23">
        <v>477950</v>
      </c>
      <c r="O199" s="23">
        <v>127050</v>
      </c>
      <c r="P199" s="31">
        <v>0.21</v>
      </c>
    </row>
    <row r="200" spans="1:16" x14ac:dyDescent="0.25">
      <c r="A200" s="29" t="s">
        <v>253</v>
      </c>
      <c r="B200" s="26">
        <v>45847</v>
      </c>
      <c r="C200" s="26" t="s">
        <v>83</v>
      </c>
      <c r="D200" s="25">
        <v>2025</v>
      </c>
      <c r="E200" s="25" t="s">
        <v>601</v>
      </c>
      <c r="F200" s="25" t="s">
        <v>41</v>
      </c>
      <c r="G200" s="25" t="s">
        <v>610</v>
      </c>
      <c r="H200" s="25" t="s">
        <v>620</v>
      </c>
      <c r="I200" s="25" t="s">
        <v>619</v>
      </c>
      <c r="J200" s="25" t="s">
        <v>615</v>
      </c>
      <c r="K200" s="25">
        <v>1</v>
      </c>
      <c r="L200" s="25">
        <v>4000</v>
      </c>
      <c r="M200" s="25">
        <v>4000</v>
      </c>
      <c r="N200" s="25">
        <v>3600</v>
      </c>
      <c r="O200" s="25">
        <v>400</v>
      </c>
      <c r="P200" s="32">
        <v>0.1</v>
      </c>
    </row>
    <row r="201" spans="1:16" x14ac:dyDescent="0.25">
      <c r="A201" s="28" t="s">
        <v>254</v>
      </c>
      <c r="B201" s="24">
        <v>45995</v>
      </c>
      <c r="C201" s="24" t="s">
        <v>80</v>
      </c>
      <c r="D201" s="23">
        <v>2025</v>
      </c>
      <c r="E201" s="23" t="s">
        <v>603</v>
      </c>
      <c r="F201" s="23" t="s">
        <v>42</v>
      </c>
      <c r="G201" s="23" t="s">
        <v>611</v>
      </c>
      <c r="H201" s="23" t="s">
        <v>626</v>
      </c>
      <c r="I201" s="23" t="s">
        <v>631</v>
      </c>
      <c r="J201" s="23" t="s">
        <v>615</v>
      </c>
      <c r="K201" s="23">
        <v>2</v>
      </c>
      <c r="L201" s="23">
        <v>9000</v>
      </c>
      <c r="M201" s="23">
        <v>18000</v>
      </c>
      <c r="N201" s="23">
        <v>10980</v>
      </c>
      <c r="O201" s="23">
        <v>7020</v>
      </c>
      <c r="P201" s="31">
        <v>0.39</v>
      </c>
    </row>
    <row r="202" spans="1:16" x14ac:dyDescent="0.25">
      <c r="A202" s="29" t="s">
        <v>255</v>
      </c>
      <c r="B202" s="26">
        <v>45663</v>
      </c>
      <c r="C202" s="26" t="s">
        <v>59</v>
      </c>
      <c r="D202" s="25">
        <v>2025</v>
      </c>
      <c r="E202" s="25" t="s">
        <v>597</v>
      </c>
      <c r="F202" s="25" t="s">
        <v>41</v>
      </c>
      <c r="G202" s="25" t="s">
        <v>608</v>
      </c>
      <c r="H202" s="25" t="s">
        <v>626</v>
      </c>
      <c r="I202" s="25" t="s">
        <v>627</v>
      </c>
      <c r="J202" s="25" t="s">
        <v>615</v>
      </c>
      <c r="K202" s="25">
        <v>8</v>
      </c>
      <c r="L202" s="25">
        <v>7000</v>
      </c>
      <c r="M202" s="25">
        <v>56000</v>
      </c>
      <c r="N202" s="25">
        <v>39760</v>
      </c>
      <c r="O202" s="25">
        <v>16240</v>
      </c>
      <c r="P202" s="32">
        <v>0.28999999999999998</v>
      </c>
    </row>
    <row r="203" spans="1:16" x14ac:dyDescent="0.25">
      <c r="A203" s="28" t="s">
        <v>256</v>
      </c>
      <c r="B203" s="24">
        <v>45980</v>
      </c>
      <c r="C203" s="24" t="s">
        <v>48</v>
      </c>
      <c r="D203" s="23">
        <v>2025</v>
      </c>
      <c r="E203" s="23" t="s">
        <v>601</v>
      </c>
      <c r="F203" s="23" t="s">
        <v>41</v>
      </c>
      <c r="G203" s="23" t="s">
        <v>608</v>
      </c>
      <c r="H203" s="23" t="s">
        <v>626</v>
      </c>
      <c r="I203" s="23" t="s">
        <v>614</v>
      </c>
      <c r="J203" s="23" t="s">
        <v>618</v>
      </c>
      <c r="K203" s="23">
        <v>8</v>
      </c>
      <c r="L203" s="23">
        <v>50</v>
      </c>
      <c r="M203" s="23">
        <v>400</v>
      </c>
      <c r="N203" s="23">
        <v>248</v>
      </c>
      <c r="O203" s="23">
        <v>152</v>
      </c>
      <c r="P203" s="31">
        <v>0.38</v>
      </c>
    </row>
    <row r="204" spans="1:16" x14ac:dyDescent="0.25">
      <c r="A204" s="29" t="s">
        <v>257</v>
      </c>
      <c r="B204" s="26">
        <v>45783</v>
      </c>
      <c r="C204" s="26" t="s">
        <v>57</v>
      </c>
      <c r="D204" s="25">
        <v>2025</v>
      </c>
      <c r="E204" s="25" t="s">
        <v>602</v>
      </c>
      <c r="F204" s="25" t="s">
        <v>42</v>
      </c>
      <c r="G204" s="25" t="s">
        <v>608</v>
      </c>
      <c r="H204" s="25" t="s">
        <v>626</v>
      </c>
      <c r="I204" s="25" t="s">
        <v>614</v>
      </c>
      <c r="J204" s="25" t="s">
        <v>618</v>
      </c>
      <c r="K204" s="25">
        <v>13</v>
      </c>
      <c r="L204" s="25">
        <v>20</v>
      </c>
      <c r="M204" s="25">
        <v>260</v>
      </c>
      <c r="N204" s="25">
        <v>228.8</v>
      </c>
      <c r="O204" s="25">
        <v>31.199999999999989</v>
      </c>
      <c r="P204" s="32">
        <v>0.11999999999999995</v>
      </c>
    </row>
    <row r="205" spans="1:16" x14ac:dyDescent="0.25">
      <c r="A205" s="28" t="s">
        <v>258</v>
      </c>
      <c r="B205" s="24">
        <v>45926</v>
      </c>
      <c r="C205" s="24" t="s">
        <v>53</v>
      </c>
      <c r="D205" s="23">
        <v>2025</v>
      </c>
      <c r="E205" s="23" t="s">
        <v>593</v>
      </c>
      <c r="F205" s="23" t="s">
        <v>41</v>
      </c>
      <c r="G205" s="23" t="s">
        <v>609</v>
      </c>
      <c r="H205" s="23" t="s">
        <v>613</v>
      </c>
      <c r="I205" s="23" t="s">
        <v>619</v>
      </c>
      <c r="J205" s="23" t="s">
        <v>615</v>
      </c>
      <c r="K205" s="23">
        <v>17</v>
      </c>
      <c r="L205" s="23">
        <v>50</v>
      </c>
      <c r="M205" s="23">
        <v>850</v>
      </c>
      <c r="N205" s="23">
        <v>586.5</v>
      </c>
      <c r="O205" s="23">
        <v>263.5</v>
      </c>
      <c r="P205" s="31">
        <v>0.31</v>
      </c>
    </row>
    <row r="206" spans="1:16" x14ac:dyDescent="0.25">
      <c r="A206" s="29" t="s">
        <v>259</v>
      </c>
      <c r="B206" s="26">
        <v>45811</v>
      </c>
      <c r="C206" s="26" t="s">
        <v>44</v>
      </c>
      <c r="D206" s="25">
        <v>2025</v>
      </c>
      <c r="E206" s="25" t="s">
        <v>607</v>
      </c>
      <c r="F206" s="25" t="s">
        <v>42</v>
      </c>
      <c r="G206" s="25" t="s">
        <v>608</v>
      </c>
      <c r="H206" s="25" t="s">
        <v>629</v>
      </c>
      <c r="I206" s="25" t="s">
        <v>617</v>
      </c>
      <c r="J206" s="25" t="s">
        <v>615</v>
      </c>
      <c r="K206" s="25">
        <v>20</v>
      </c>
      <c r="L206" s="25">
        <v>9000</v>
      </c>
      <c r="M206" s="25">
        <v>180000</v>
      </c>
      <c r="N206" s="25">
        <v>153000</v>
      </c>
      <c r="O206" s="25">
        <v>27000</v>
      </c>
      <c r="P206" s="32">
        <v>0.15</v>
      </c>
    </row>
    <row r="207" spans="1:16" x14ac:dyDescent="0.25">
      <c r="A207" s="28" t="s">
        <v>260</v>
      </c>
      <c r="B207" s="24">
        <v>45987</v>
      </c>
      <c r="C207" s="24" t="s">
        <v>48</v>
      </c>
      <c r="D207" s="23">
        <v>2025</v>
      </c>
      <c r="E207" s="23" t="s">
        <v>596</v>
      </c>
      <c r="F207" s="23" t="s">
        <v>39</v>
      </c>
      <c r="G207" s="23" t="s">
        <v>609</v>
      </c>
      <c r="H207" s="23" t="s">
        <v>628</v>
      </c>
      <c r="I207" s="23" t="s">
        <v>619</v>
      </c>
      <c r="J207" s="23" t="s">
        <v>618</v>
      </c>
      <c r="K207" s="23">
        <v>4</v>
      </c>
      <c r="L207" s="23">
        <v>25000</v>
      </c>
      <c r="M207" s="23">
        <v>100000</v>
      </c>
      <c r="N207" s="23">
        <v>73000</v>
      </c>
      <c r="O207" s="23">
        <v>27000</v>
      </c>
      <c r="P207" s="31">
        <v>0.27</v>
      </c>
    </row>
    <row r="208" spans="1:16" x14ac:dyDescent="0.25">
      <c r="A208" s="29" t="s">
        <v>261</v>
      </c>
      <c r="B208" s="26">
        <v>45673</v>
      </c>
      <c r="C208" s="26" t="s">
        <v>59</v>
      </c>
      <c r="D208" s="25">
        <v>2025</v>
      </c>
      <c r="E208" s="25" t="s">
        <v>603</v>
      </c>
      <c r="F208" s="25" t="s">
        <v>42</v>
      </c>
      <c r="G208" s="25" t="s">
        <v>609</v>
      </c>
      <c r="H208" s="25" t="s">
        <v>620</v>
      </c>
      <c r="I208" s="25" t="s">
        <v>627</v>
      </c>
      <c r="J208" s="25" t="s">
        <v>615</v>
      </c>
      <c r="K208" s="25">
        <v>11</v>
      </c>
      <c r="L208" s="25">
        <v>3500</v>
      </c>
      <c r="M208" s="25">
        <v>38500</v>
      </c>
      <c r="N208" s="25">
        <v>28490</v>
      </c>
      <c r="O208" s="25">
        <v>10010</v>
      </c>
      <c r="P208" s="32">
        <v>0.26</v>
      </c>
    </row>
    <row r="209" spans="1:16" x14ac:dyDescent="0.25">
      <c r="A209" s="28" t="s">
        <v>262</v>
      </c>
      <c r="B209" s="24">
        <v>45936</v>
      </c>
      <c r="C209" s="24" t="s">
        <v>65</v>
      </c>
      <c r="D209" s="23">
        <v>2025</v>
      </c>
      <c r="E209" s="23" t="s">
        <v>599</v>
      </c>
      <c r="F209" s="23" t="s">
        <v>39</v>
      </c>
      <c r="G209" s="23" t="s">
        <v>610</v>
      </c>
      <c r="H209" s="23" t="s">
        <v>621</v>
      </c>
      <c r="I209" s="23" t="s">
        <v>614</v>
      </c>
      <c r="J209" s="23" t="s">
        <v>618</v>
      </c>
      <c r="K209" s="23">
        <v>8</v>
      </c>
      <c r="L209" s="23">
        <v>4000</v>
      </c>
      <c r="M209" s="23">
        <v>32000</v>
      </c>
      <c r="N209" s="23">
        <v>24640</v>
      </c>
      <c r="O209" s="23">
        <v>7360</v>
      </c>
      <c r="P209" s="31">
        <v>0.23</v>
      </c>
    </row>
    <row r="210" spans="1:16" x14ac:dyDescent="0.25">
      <c r="A210" s="29" t="s">
        <v>263</v>
      </c>
      <c r="B210" s="26">
        <v>45794</v>
      </c>
      <c r="C210" s="26" t="s">
        <v>57</v>
      </c>
      <c r="D210" s="25">
        <v>2025</v>
      </c>
      <c r="E210" s="25" t="s">
        <v>593</v>
      </c>
      <c r="F210" s="25" t="s">
        <v>41</v>
      </c>
      <c r="G210" s="25" t="s">
        <v>611</v>
      </c>
      <c r="H210" s="25" t="s">
        <v>624</v>
      </c>
      <c r="I210" s="25" t="s">
        <v>614</v>
      </c>
      <c r="J210" s="25" t="s">
        <v>618</v>
      </c>
      <c r="K210" s="25">
        <v>2</v>
      </c>
      <c r="L210" s="25">
        <v>8000</v>
      </c>
      <c r="M210" s="25">
        <v>16000</v>
      </c>
      <c r="N210" s="25">
        <v>10880</v>
      </c>
      <c r="O210" s="25">
        <v>5120</v>
      </c>
      <c r="P210" s="32">
        <v>0.32</v>
      </c>
    </row>
    <row r="211" spans="1:16" x14ac:dyDescent="0.25">
      <c r="A211" s="28" t="s">
        <v>264</v>
      </c>
      <c r="B211" s="24">
        <v>45932</v>
      </c>
      <c r="C211" s="24" t="s">
        <v>65</v>
      </c>
      <c r="D211" s="23">
        <v>2025</v>
      </c>
      <c r="E211" s="23" t="s">
        <v>594</v>
      </c>
      <c r="F211" s="23" t="s">
        <v>39</v>
      </c>
      <c r="G211" s="23" t="s">
        <v>611</v>
      </c>
      <c r="H211" s="23" t="s">
        <v>616</v>
      </c>
      <c r="I211" s="23" t="s">
        <v>617</v>
      </c>
      <c r="J211" s="23" t="s">
        <v>615</v>
      </c>
      <c r="K211" s="23">
        <v>9</v>
      </c>
      <c r="L211" s="23">
        <v>4000</v>
      </c>
      <c r="M211" s="23">
        <v>36000</v>
      </c>
      <c r="N211" s="23">
        <v>24480</v>
      </c>
      <c r="O211" s="23">
        <v>11520</v>
      </c>
      <c r="P211" s="31">
        <v>0.32</v>
      </c>
    </row>
    <row r="212" spans="1:16" x14ac:dyDescent="0.25">
      <c r="A212" s="29" t="s">
        <v>265</v>
      </c>
      <c r="B212" s="26">
        <v>45715</v>
      </c>
      <c r="C212" s="26" t="s">
        <v>55</v>
      </c>
      <c r="D212" s="25">
        <v>2025</v>
      </c>
      <c r="E212" s="25" t="s">
        <v>602</v>
      </c>
      <c r="F212" s="25" t="s">
        <v>42</v>
      </c>
      <c r="G212" s="25" t="s">
        <v>610</v>
      </c>
      <c r="H212" s="25" t="s">
        <v>620</v>
      </c>
      <c r="I212" s="25" t="s">
        <v>614</v>
      </c>
      <c r="J212" s="25" t="s">
        <v>615</v>
      </c>
      <c r="K212" s="25">
        <v>17</v>
      </c>
      <c r="L212" s="25">
        <v>45000</v>
      </c>
      <c r="M212" s="25">
        <v>765000</v>
      </c>
      <c r="N212" s="25">
        <v>459000</v>
      </c>
      <c r="O212" s="25">
        <v>306000</v>
      </c>
      <c r="P212" s="32">
        <v>0.4</v>
      </c>
    </row>
    <row r="213" spans="1:16" x14ac:dyDescent="0.25">
      <c r="A213" s="28" t="s">
        <v>266</v>
      </c>
      <c r="B213" s="24">
        <v>45923</v>
      </c>
      <c r="C213" s="24" t="s">
        <v>53</v>
      </c>
      <c r="D213" s="23">
        <v>2025</v>
      </c>
      <c r="E213" s="23" t="s">
        <v>598</v>
      </c>
      <c r="F213" s="23" t="s">
        <v>40</v>
      </c>
      <c r="G213" s="23" t="s">
        <v>608</v>
      </c>
      <c r="H213" s="23" t="s">
        <v>624</v>
      </c>
      <c r="I213" s="23" t="s">
        <v>623</v>
      </c>
      <c r="J213" s="23" t="s">
        <v>615</v>
      </c>
      <c r="K213" s="23">
        <v>14</v>
      </c>
      <c r="L213" s="23">
        <v>3500</v>
      </c>
      <c r="M213" s="23">
        <v>49000</v>
      </c>
      <c r="N213" s="23">
        <v>41650</v>
      </c>
      <c r="O213" s="23">
        <v>7350</v>
      </c>
      <c r="P213" s="31">
        <v>0.15</v>
      </c>
    </row>
    <row r="214" spans="1:16" x14ac:dyDescent="0.25">
      <c r="A214" s="29" t="s">
        <v>267</v>
      </c>
      <c r="B214" s="26">
        <v>45716</v>
      </c>
      <c r="C214" s="26" t="s">
        <v>55</v>
      </c>
      <c r="D214" s="25">
        <v>2025</v>
      </c>
      <c r="E214" s="25" t="s">
        <v>601</v>
      </c>
      <c r="F214" s="25" t="s">
        <v>41</v>
      </c>
      <c r="G214" s="25" t="s">
        <v>610</v>
      </c>
      <c r="H214" s="25" t="s">
        <v>625</v>
      </c>
      <c r="I214" s="25" t="s">
        <v>623</v>
      </c>
      <c r="J214" s="25" t="s">
        <v>618</v>
      </c>
      <c r="K214" s="25">
        <v>1</v>
      </c>
      <c r="L214" s="25">
        <v>20</v>
      </c>
      <c r="M214" s="25">
        <v>20</v>
      </c>
      <c r="N214" s="25">
        <v>13.2</v>
      </c>
      <c r="O214" s="25">
        <v>6.8000000000000007</v>
      </c>
      <c r="P214" s="32">
        <v>0.34</v>
      </c>
    </row>
    <row r="215" spans="1:16" x14ac:dyDescent="0.25">
      <c r="A215" s="28" t="s">
        <v>268</v>
      </c>
      <c r="B215" s="24">
        <v>45713</v>
      </c>
      <c r="C215" s="24" t="s">
        <v>55</v>
      </c>
      <c r="D215" s="23">
        <v>2025</v>
      </c>
      <c r="E215" s="23" t="s">
        <v>606</v>
      </c>
      <c r="F215" s="23" t="s">
        <v>40</v>
      </c>
      <c r="G215" s="23" t="s">
        <v>612</v>
      </c>
      <c r="H215" s="23" t="s">
        <v>622</v>
      </c>
      <c r="I215" s="23" t="s">
        <v>627</v>
      </c>
      <c r="J215" s="23" t="s">
        <v>618</v>
      </c>
      <c r="K215" s="23">
        <v>3</v>
      </c>
      <c r="L215" s="23">
        <v>45000</v>
      </c>
      <c r="M215" s="23">
        <v>135000</v>
      </c>
      <c r="N215" s="23">
        <v>101250</v>
      </c>
      <c r="O215" s="23">
        <v>33750</v>
      </c>
      <c r="P215" s="31">
        <v>0.25</v>
      </c>
    </row>
    <row r="216" spans="1:16" x14ac:dyDescent="0.25">
      <c r="A216" s="29" t="s">
        <v>269</v>
      </c>
      <c r="B216" s="26">
        <v>45690</v>
      </c>
      <c r="C216" s="26" t="s">
        <v>55</v>
      </c>
      <c r="D216" s="25">
        <v>2025</v>
      </c>
      <c r="E216" s="25" t="s">
        <v>598</v>
      </c>
      <c r="F216" s="25" t="s">
        <v>40</v>
      </c>
      <c r="G216" s="25" t="s">
        <v>608</v>
      </c>
      <c r="H216" s="25" t="s">
        <v>620</v>
      </c>
      <c r="I216" s="25" t="s">
        <v>627</v>
      </c>
      <c r="J216" s="25" t="s">
        <v>618</v>
      </c>
      <c r="K216" s="25">
        <v>6</v>
      </c>
      <c r="L216" s="25">
        <v>1200</v>
      </c>
      <c r="M216" s="25">
        <v>7200</v>
      </c>
      <c r="N216" s="25">
        <v>5328</v>
      </c>
      <c r="O216" s="25">
        <v>1872</v>
      </c>
      <c r="P216" s="32">
        <v>0.26</v>
      </c>
    </row>
    <row r="217" spans="1:16" x14ac:dyDescent="0.25">
      <c r="A217" s="28" t="s">
        <v>270</v>
      </c>
      <c r="B217" s="24">
        <v>45701</v>
      </c>
      <c r="C217" s="24" t="s">
        <v>55</v>
      </c>
      <c r="D217" s="23">
        <v>2025</v>
      </c>
      <c r="E217" s="23" t="s">
        <v>603</v>
      </c>
      <c r="F217" s="23" t="s">
        <v>42</v>
      </c>
      <c r="G217" s="23" t="s">
        <v>612</v>
      </c>
      <c r="H217" s="23" t="s">
        <v>621</v>
      </c>
      <c r="I217" s="23" t="s">
        <v>614</v>
      </c>
      <c r="J217" s="23" t="s">
        <v>618</v>
      </c>
      <c r="K217" s="23">
        <v>11</v>
      </c>
      <c r="L217" s="23">
        <v>8000</v>
      </c>
      <c r="M217" s="23">
        <v>88000</v>
      </c>
      <c r="N217" s="23">
        <v>76560</v>
      </c>
      <c r="O217" s="23">
        <v>11440</v>
      </c>
      <c r="P217" s="31">
        <v>0.13</v>
      </c>
    </row>
    <row r="218" spans="1:16" x14ac:dyDescent="0.25">
      <c r="A218" s="29" t="s">
        <v>271</v>
      </c>
      <c r="B218" s="26">
        <v>45788</v>
      </c>
      <c r="C218" s="26" t="s">
        <v>57</v>
      </c>
      <c r="D218" s="25">
        <v>2025</v>
      </c>
      <c r="E218" s="25" t="s">
        <v>600</v>
      </c>
      <c r="F218" s="25" t="s">
        <v>39</v>
      </c>
      <c r="G218" s="25" t="s">
        <v>610</v>
      </c>
      <c r="H218" s="25" t="s">
        <v>621</v>
      </c>
      <c r="I218" s="25" t="s">
        <v>617</v>
      </c>
      <c r="J218" s="25" t="s">
        <v>615</v>
      </c>
      <c r="K218" s="25">
        <v>8</v>
      </c>
      <c r="L218" s="25">
        <v>700</v>
      </c>
      <c r="M218" s="25">
        <v>5600</v>
      </c>
      <c r="N218" s="25">
        <v>3696</v>
      </c>
      <c r="O218" s="25">
        <v>1904</v>
      </c>
      <c r="P218" s="32">
        <v>0.34</v>
      </c>
    </row>
    <row r="219" spans="1:16" x14ac:dyDescent="0.25">
      <c r="A219" s="28" t="s">
        <v>272</v>
      </c>
      <c r="B219" s="24">
        <v>45784</v>
      </c>
      <c r="C219" s="24" t="s">
        <v>57</v>
      </c>
      <c r="D219" s="23">
        <v>2025</v>
      </c>
      <c r="E219" s="23" t="s">
        <v>605</v>
      </c>
      <c r="F219" s="23" t="s">
        <v>40</v>
      </c>
      <c r="G219" s="23" t="s">
        <v>610</v>
      </c>
      <c r="H219" s="23" t="s">
        <v>621</v>
      </c>
      <c r="I219" s="23" t="s">
        <v>631</v>
      </c>
      <c r="J219" s="23" t="s">
        <v>618</v>
      </c>
      <c r="K219" s="23">
        <v>12</v>
      </c>
      <c r="L219" s="23">
        <v>15000</v>
      </c>
      <c r="M219" s="23">
        <v>180000</v>
      </c>
      <c r="N219" s="23">
        <v>144000</v>
      </c>
      <c r="O219" s="23">
        <v>36000</v>
      </c>
      <c r="P219" s="31">
        <v>0.2</v>
      </c>
    </row>
    <row r="220" spans="1:16" x14ac:dyDescent="0.25">
      <c r="A220" s="29" t="s">
        <v>273</v>
      </c>
      <c r="B220" s="26">
        <v>45832</v>
      </c>
      <c r="C220" s="26" t="s">
        <v>44</v>
      </c>
      <c r="D220" s="25">
        <v>2025</v>
      </c>
      <c r="E220" s="25" t="s">
        <v>605</v>
      </c>
      <c r="F220" s="25" t="s">
        <v>40</v>
      </c>
      <c r="G220" s="25" t="s">
        <v>609</v>
      </c>
      <c r="H220" s="25" t="s">
        <v>613</v>
      </c>
      <c r="I220" s="25" t="s">
        <v>614</v>
      </c>
      <c r="J220" s="25" t="s">
        <v>615</v>
      </c>
      <c r="K220" s="25">
        <v>19</v>
      </c>
      <c r="L220" s="25">
        <v>12000</v>
      </c>
      <c r="M220" s="25">
        <v>228000</v>
      </c>
      <c r="N220" s="25">
        <v>173280</v>
      </c>
      <c r="O220" s="25">
        <v>54720</v>
      </c>
      <c r="P220" s="32">
        <v>0.24</v>
      </c>
    </row>
    <row r="221" spans="1:16" x14ac:dyDescent="0.25">
      <c r="A221" s="28" t="s">
        <v>274</v>
      </c>
      <c r="B221" s="24">
        <v>45939</v>
      </c>
      <c r="C221" s="24" t="s">
        <v>65</v>
      </c>
      <c r="D221" s="23">
        <v>2025</v>
      </c>
      <c r="E221" s="23" t="s">
        <v>606</v>
      </c>
      <c r="F221" s="23" t="s">
        <v>40</v>
      </c>
      <c r="G221" s="23" t="s">
        <v>612</v>
      </c>
      <c r="H221" s="23" t="s">
        <v>620</v>
      </c>
      <c r="I221" s="23" t="s">
        <v>627</v>
      </c>
      <c r="J221" s="23" t="s">
        <v>615</v>
      </c>
      <c r="K221" s="23">
        <v>11</v>
      </c>
      <c r="L221" s="23">
        <v>4000</v>
      </c>
      <c r="M221" s="23">
        <v>44000</v>
      </c>
      <c r="N221" s="23">
        <v>34320</v>
      </c>
      <c r="O221" s="23">
        <v>9680</v>
      </c>
      <c r="P221" s="31">
        <v>0.22</v>
      </c>
    </row>
    <row r="222" spans="1:16" x14ac:dyDescent="0.25">
      <c r="A222" s="29" t="s">
        <v>275</v>
      </c>
      <c r="B222" s="26">
        <v>45875</v>
      </c>
      <c r="C222" s="26" t="s">
        <v>50</v>
      </c>
      <c r="D222" s="25">
        <v>2025</v>
      </c>
      <c r="E222" s="25" t="s">
        <v>593</v>
      </c>
      <c r="F222" s="25" t="s">
        <v>41</v>
      </c>
      <c r="G222" s="25" t="s">
        <v>609</v>
      </c>
      <c r="H222" s="25" t="s">
        <v>613</v>
      </c>
      <c r="I222" s="25" t="s">
        <v>645</v>
      </c>
      <c r="J222" s="25" t="s">
        <v>615</v>
      </c>
      <c r="K222" s="25">
        <v>14</v>
      </c>
      <c r="L222" s="25">
        <v>7000</v>
      </c>
      <c r="M222" s="25">
        <v>98000</v>
      </c>
      <c r="N222" s="25">
        <v>76440</v>
      </c>
      <c r="O222" s="25">
        <v>21560</v>
      </c>
      <c r="P222" s="32">
        <v>0.22</v>
      </c>
    </row>
    <row r="223" spans="1:16" x14ac:dyDescent="0.25">
      <c r="A223" s="28" t="s">
        <v>276</v>
      </c>
      <c r="B223" s="24">
        <v>45756</v>
      </c>
      <c r="C223" s="24" t="s">
        <v>62</v>
      </c>
      <c r="D223" s="23">
        <v>2025</v>
      </c>
      <c r="E223" s="23" t="s">
        <v>592</v>
      </c>
      <c r="F223" s="23" t="s">
        <v>40</v>
      </c>
      <c r="G223" s="23" t="s">
        <v>608</v>
      </c>
      <c r="H223" s="23" t="s">
        <v>622</v>
      </c>
      <c r="I223" s="23" t="s">
        <v>617</v>
      </c>
      <c r="J223" s="23" t="s">
        <v>615</v>
      </c>
      <c r="K223" s="23">
        <v>17</v>
      </c>
      <c r="L223" s="23">
        <v>8000</v>
      </c>
      <c r="M223" s="23">
        <v>136000</v>
      </c>
      <c r="N223" s="23">
        <v>103360</v>
      </c>
      <c r="O223" s="23">
        <v>32640</v>
      </c>
      <c r="P223" s="31">
        <v>0.24</v>
      </c>
    </row>
    <row r="224" spans="1:16" x14ac:dyDescent="0.25">
      <c r="A224" s="29" t="s">
        <v>277</v>
      </c>
      <c r="B224" s="26">
        <v>45689</v>
      </c>
      <c r="C224" s="26" t="s">
        <v>55</v>
      </c>
      <c r="D224" s="25">
        <v>2025</v>
      </c>
      <c r="E224" s="25" t="s">
        <v>605</v>
      </c>
      <c r="F224" s="25" t="s">
        <v>40</v>
      </c>
      <c r="G224" s="25" t="s">
        <v>608</v>
      </c>
      <c r="H224" s="25" t="s">
        <v>622</v>
      </c>
      <c r="I224" s="25" t="s">
        <v>623</v>
      </c>
      <c r="J224" s="25" t="s">
        <v>615</v>
      </c>
      <c r="K224" s="25">
        <v>13</v>
      </c>
      <c r="L224" s="25">
        <v>7000</v>
      </c>
      <c r="M224" s="25">
        <v>91000</v>
      </c>
      <c r="N224" s="25">
        <v>69160</v>
      </c>
      <c r="O224" s="25">
        <v>21840</v>
      </c>
      <c r="P224" s="32">
        <v>0.24</v>
      </c>
    </row>
    <row r="225" spans="1:16" x14ac:dyDescent="0.25">
      <c r="A225" s="28" t="s">
        <v>278</v>
      </c>
      <c r="B225" s="24">
        <v>45816</v>
      </c>
      <c r="C225" s="24" t="s">
        <v>44</v>
      </c>
      <c r="D225" s="23">
        <v>2025</v>
      </c>
      <c r="E225" s="23" t="s">
        <v>595</v>
      </c>
      <c r="F225" s="23" t="s">
        <v>39</v>
      </c>
      <c r="G225" s="23" t="s">
        <v>611</v>
      </c>
      <c r="H225" s="23" t="s">
        <v>625</v>
      </c>
      <c r="I225" s="23" t="s">
        <v>631</v>
      </c>
      <c r="J225" s="23" t="s">
        <v>618</v>
      </c>
      <c r="K225" s="23">
        <v>10</v>
      </c>
      <c r="L225" s="23">
        <v>1200</v>
      </c>
      <c r="M225" s="23">
        <v>12000</v>
      </c>
      <c r="N225" s="23">
        <v>7560</v>
      </c>
      <c r="O225" s="23">
        <v>4440</v>
      </c>
      <c r="P225" s="31">
        <v>0.37</v>
      </c>
    </row>
    <row r="226" spans="1:16" x14ac:dyDescent="0.25">
      <c r="A226" s="29" t="s">
        <v>279</v>
      </c>
      <c r="B226" s="26">
        <v>45921</v>
      </c>
      <c r="C226" s="26" t="s">
        <v>53</v>
      </c>
      <c r="D226" s="25">
        <v>2025</v>
      </c>
      <c r="E226" s="25" t="s">
        <v>600</v>
      </c>
      <c r="F226" s="25" t="s">
        <v>39</v>
      </c>
      <c r="G226" s="25" t="s">
        <v>610</v>
      </c>
      <c r="H226" s="25" t="s">
        <v>628</v>
      </c>
      <c r="I226" s="25" t="s">
        <v>645</v>
      </c>
      <c r="J226" s="25" t="s">
        <v>615</v>
      </c>
      <c r="K226" s="25">
        <v>2</v>
      </c>
      <c r="L226" s="25">
        <v>20</v>
      </c>
      <c r="M226" s="25">
        <v>40</v>
      </c>
      <c r="N226" s="25">
        <v>31.6</v>
      </c>
      <c r="O226" s="25">
        <v>8.3999999999999986</v>
      </c>
      <c r="P226" s="32">
        <v>0.20999999999999996</v>
      </c>
    </row>
    <row r="227" spans="1:16" x14ac:dyDescent="0.25">
      <c r="A227" s="28" t="s">
        <v>280</v>
      </c>
      <c r="B227" s="24">
        <v>45904</v>
      </c>
      <c r="C227" s="24" t="s">
        <v>53</v>
      </c>
      <c r="D227" s="23">
        <v>2025</v>
      </c>
      <c r="E227" s="23" t="s">
        <v>595</v>
      </c>
      <c r="F227" s="23" t="s">
        <v>39</v>
      </c>
      <c r="G227" s="23" t="s">
        <v>609</v>
      </c>
      <c r="H227" s="23" t="s">
        <v>624</v>
      </c>
      <c r="I227" s="23" t="s">
        <v>623</v>
      </c>
      <c r="J227" s="23" t="s">
        <v>615</v>
      </c>
      <c r="K227" s="23">
        <v>14</v>
      </c>
      <c r="L227" s="23">
        <v>4000</v>
      </c>
      <c r="M227" s="23">
        <v>56000</v>
      </c>
      <c r="N227" s="23">
        <v>39760</v>
      </c>
      <c r="O227" s="23">
        <v>16240</v>
      </c>
      <c r="P227" s="31">
        <v>0.28999999999999998</v>
      </c>
    </row>
    <row r="228" spans="1:16" x14ac:dyDescent="0.25">
      <c r="A228" s="29" t="s">
        <v>281</v>
      </c>
      <c r="B228" s="26">
        <v>45797</v>
      </c>
      <c r="C228" s="26" t="s">
        <v>57</v>
      </c>
      <c r="D228" s="25">
        <v>2025</v>
      </c>
      <c r="E228" s="25" t="s">
        <v>599</v>
      </c>
      <c r="F228" s="25" t="s">
        <v>39</v>
      </c>
      <c r="G228" s="25" t="s">
        <v>612</v>
      </c>
      <c r="H228" s="25" t="s">
        <v>626</v>
      </c>
      <c r="I228" s="25" t="s">
        <v>614</v>
      </c>
      <c r="J228" s="25" t="s">
        <v>615</v>
      </c>
      <c r="K228" s="25">
        <v>19</v>
      </c>
      <c r="L228" s="25">
        <v>20</v>
      </c>
      <c r="M228" s="25">
        <v>380</v>
      </c>
      <c r="N228" s="25">
        <v>235.6</v>
      </c>
      <c r="O228" s="25">
        <v>144.4</v>
      </c>
      <c r="P228" s="32">
        <v>0.38</v>
      </c>
    </row>
    <row r="229" spans="1:16" x14ac:dyDescent="0.25">
      <c r="A229" s="28" t="s">
        <v>282</v>
      </c>
      <c r="B229" s="24">
        <v>45879</v>
      </c>
      <c r="C229" s="24" t="s">
        <v>50</v>
      </c>
      <c r="D229" s="23">
        <v>2025</v>
      </c>
      <c r="E229" s="23" t="s">
        <v>603</v>
      </c>
      <c r="F229" s="23" t="s">
        <v>42</v>
      </c>
      <c r="G229" s="23" t="s">
        <v>608</v>
      </c>
      <c r="H229" s="23" t="s">
        <v>622</v>
      </c>
      <c r="I229" s="25" t="s">
        <v>645</v>
      </c>
      <c r="J229" s="23" t="s">
        <v>615</v>
      </c>
      <c r="K229" s="23">
        <v>18</v>
      </c>
      <c r="L229" s="23">
        <v>45000</v>
      </c>
      <c r="M229" s="23">
        <v>810000</v>
      </c>
      <c r="N229" s="23">
        <v>639900</v>
      </c>
      <c r="O229" s="23">
        <v>170100</v>
      </c>
      <c r="P229" s="31">
        <v>0.21</v>
      </c>
    </row>
    <row r="230" spans="1:16" x14ac:dyDescent="0.25">
      <c r="A230" s="29" t="s">
        <v>283</v>
      </c>
      <c r="B230" s="26">
        <v>45892</v>
      </c>
      <c r="C230" s="26" t="s">
        <v>50</v>
      </c>
      <c r="D230" s="25">
        <v>2025</v>
      </c>
      <c r="E230" s="25" t="s">
        <v>597</v>
      </c>
      <c r="F230" s="25" t="s">
        <v>41</v>
      </c>
      <c r="G230" s="25" t="s">
        <v>610</v>
      </c>
      <c r="H230" s="25" t="s">
        <v>621</v>
      </c>
      <c r="I230" s="25" t="s">
        <v>630</v>
      </c>
      <c r="J230" s="25" t="s">
        <v>615</v>
      </c>
      <c r="K230" s="25">
        <v>14</v>
      </c>
      <c r="L230" s="25">
        <v>300</v>
      </c>
      <c r="M230" s="25">
        <v>4200</v>
      </c>
      <c r="N230" s="25">
        <v>3738</v>
      </c>
      <c r="O230" s="25">
        <v>462</v>
      </c>
      <c r="P230" s="32">
        <v>0.11</v>
      </c>
    </row>
    <row r="231" spans="1:16" x14ac:dyDescent="0.25">
      <c r="A231" s="28" t="s">
        <v>284</v>
      </c>
      <c r="B231" s="24">
        <v>45987</v>
      </c>
      <c r="C231" s="24" t="s">
        <v>48</v>
      </c>
      <c r="D231" s="23">
        <v>2025</v>
      </c>
      <c r="E231" s="23" t="s">
        <v>601</v>
      </c>
      <c r="F231" s="23" t="s">
        <v>41</v>
      </c>
      <c r="G231" s="23" t="s">
        <v>608</v>
      </c>
      <c r="H231" s="23" t="s">
        <v>626</v>
      </c>
      <c r="I231" s="23" t="s">
        <v>619</v>
      </c>
      <c r="J231" s="23" t="s">
        <v>618</v>
      </c>
      <c r="K231" s="23">
        <v>8</v>
      </c>
      <c r="L231" s="23">
        <v>25000</v>
      </c>
      <c r="M231" s="23">
        <v>200000</v>
      </c>
      <c r="N231" s="23">
        <v>172000</v>
      </c>
      <c r="O231" s="23">
        <v>28000</v>
      </c>
      <c r="P231" s="31">
        <v>0.14000000000000001</v>
      </c>
    </row>
    <row r="232" spans="1:16" x14ac:dyDescent="0.25">
      <c r="A232" s="29" t="s">
        <v>285</v>
      </c>
      <c r="B232" s="26">
        <v>45668</v>
      </c>
      <c r="C232" s="26" t="s">
        <v>59</v>
      </c>
      <c r="D232" s="25">
        <v>2025</v>
      </c>
      <c r="E232" s="25" t="s">
        <v>602</v>
      </c>
      <c r="F232" s="25" t="s">
        <v>42</v>
      </c>
      <c r="G232" s="25" t="s">
        <v>608</v>
      </c>
      <c r="H232" s="25" t="s">
        <v>628</v>
      </c>
      <c r="I232" s="25" t="s">
        <v>627</v>
      </c>
      <c r="J232" s="25" t="s">
        <v>615</v>
      </c>
      <c r="K232" s="25">
        <v>7</v>
      </c>
      <c r="L232" s="25">
        <v>300</v>
      </c>
      <c r="M232" s="25">
        <v>2100</v>
      </c>
      <c r="N232" s="25">
        <v>1491</v>
      </c>
      <c r="O232" s="25">
        <v>609</v>
      </c>
      <c r="P232" s="32">
        <v>0.28999999999999998</v>
      </c>
    </row>
    <row r="233" spans="1:16" x14ac:dyDescent="0.25">
      <c r="A233" s="28" t="s">
        <v>286</v>
      </c>
      <c r="B233" s="24">
        <v>45785</v>
      </c>
      <c r="C233" s="24" t="s">
        <v>57</v>
      </c>
      <c r="D233" s="23">
        <v>2025</v>
      </c>
      <c r="E233" s="23" t="s">
        <v>592</v>
      </c>
      <c r="F233" s="23" t="s">
        <v>40</v>
      </c>
      <c r="G233" s="23" t="s">
        <v>610</v>
      </c>
      <c r="H233" s="23" t="s">
        <v>626</v>
      </c>
      <c r="I233" s="23" t="s">
        <v>631</v>
      </c>
      <c r="J233" s="23" t="s">
        <v>615</v>
      </c>
      <c r="K233" s="23">
        <v>16</v>
      </c>
      <c r="L233" s="23">
        <v>3500</v>
      </c>
      <c r="M233" s="23">
        <v>56000</v>
      </c>
      <c r="N233" s="23">
        <v>45360</v>
      </c>
      <c r="O233" s="23">
        <v>10640</v>
      </c>
      <c r="P233" s="31">
        <v>0.19</v>
      </c>
    </row>
    <row r="234" spans="1:16" x14ac:dyDescent="0.25">
      <c r="A234" s="29" t="s">
        <v>287</v>
      </c>
      <c r="B234" s="26">
        <v>45994</v>
      </c>
      <c r="C234" s="26" t="s">
        <v>80</v>
      </c>
      <c r="D234" s="25">
        <v>2025</v>
      </c>
      <c r="E234" s="25" t="s">
        <v>604</v>
      </c>
      <c r="F234" s="25" t="s">
        <v>41</v>
      </c>
      <c r="G234" s="25" t="s">
        <v>609</v>
      </c>
      <c r="H234" s="25" t="s">
        <v>613</v>
      </c>
      <c r="I234" s="25" t="s">
        <v>617</v>
      </c>
      <c r="J234" s="25" t="s">
        <v>618</v>
      </c>
      <c r="K234" s="25">
        <v>15</v>
      </c>
      <c r="L234" s="25">
        <v>9000</v>
      </c>
      <c r="M234" s="25">
        <v>135000</v>
      </c>
      <c r="N234" s="25">
        <v>106650</v>
      </c>
      <c r="O234" s="25">
        <v>28350</v>
      </c>
      <c r="P234" s="32">
        <v>0.21</v>
      </c>
    </row>
    <row r="235" spans="1:16" x14ac:dyDescent="0.25">
      <c r="A235" s="28" t="s">
        <v>288</v>
      </c>
      <c r="B235" s="24">
        <v>45876</v>
      </c>
      <c r="C235" s="24" t="s">
        <v>50</v>
      </c>
      <c r="D235" s="23">
        <v>2025</v>
      </c>
      <c r="E235" s="23" t="s">
        <v>607</v>
      </c>
      <c r="F235" s="23" t="s">
        <v>42</v>
      </c>
      <c r="G235" s="23" t="s">
        <v>608</v>
      </c>
      <c r="H235" s="23" t="s">
        <v>622</v>
      </c>
      <c r="I235" s="23" t="s">
        <v>623</v>
      </c>
      <c r="J235" s="23" t="s">
        <v>615</v>
      </c>
      <c r="K235" s="23">
        <v>18</v>
      </c>
      <c r="L235" s="23">
        <v>25000</v>
      </c>
      <c r="M235" s="23">
        <v>450000</v>
      </c>
      <c r="N235" s="23">
        <v>328500</v>
      </c>
      <c r="O235" s="23">
        <v>121500</v>
      </c>
      <c r="P235" s="31">
        <v>0.27</v>
      </c>
    </row>
    <row r="236" spans="1:16" x14ac:dyDescent="0.25">
      <c r="A236" s="29" t="s">
        <v>289</v>
      </c>
      <c r="B236" s="26">
        <v>45922</v>
      </c>
      <c r="C236" s="26" t="s">
        <v>53</v>
      </c>
      <c r="D236" s="25">
        <v>2025</v>
      </c>
      <c r="E236" s="25" t="s">
        <v>592</v>
      </c>
      <c r="F236" s="25" t="s">
        <v>40</v>
      </c>
      <c r="G236" s="25" t="s">
        <v>608</v>
      </c>
      <c r="H236" s="25" t="s">
        <v>626</v>
      </c>
      <c r="I236" s="25" t="s">
        <v>614</v>
      </c>
      <c r="J236" s="25" t="s">
        <v>618</v>
      </c>
      <c r="K236" s="25">
        <v>1</v>
      </c>
      <c r="L236" s="25">
        <v>9000</v>
      </c>
      <c r="M236" s="25">
        <v>9000</v>
      </c>
      <c r="N236" s="25">
        <v>7290</v>
      </c>
      <c r="O236" s="25">
        <v>1710</v>
      </c>
      <c r="P236" s="32">
        <v>0.19</v>
      </c>
    </row>
    <row r="237" spans="1:16" x14ac:dyDescent="0.25">
      <c r="A237" s="28" t="s">
        <v>290</v>
      </c>
      <c r="B237" s="24">
        <v>45670</v>
      </c>
      <c r="C237" s="24" t="s">
        <v>59</v>
      </c>
      <c r="D237" s="23">
        <v>2025</v>
      </c>
      <c r="E237" s="23" t="s">
        <v>599</v>
      </c>
      <c r="F237" s="23" t="s">
        <v>39</v>
      </c>
      <c r="G237" s="23" t="s">
        <v>611</v>
      </c>
      <c r="H237" s="23" t="s">
        <v>629</v>
      </c>
      <c r="I237" s="23" t="s">
        <v>631</v>
      </c>
      <c r="J237" s="23" t="s">
        <v>615</v>
      </c>
      <c r="K237" s="23">
        <v>17</v>
      </c>
      <c r="L237" s="23">
        <v>45000</v>
      </c>
      <c r="M237" s="23">
        <v>765000</v>
      </c>
      <c r="N237" s="23">
        <v>527850</v>
      </c>
      <c r="O237" s="23">
        <v>237150</v>
      </c>
      <c r="P237" s="31">
        <v>0.31</v>
      </c>
    </row>
    <row r="238" spans="1:16" x14ac:dyDescent="0.25">
      <c r="A238" s="29" t="s">
        <v>291</v>
      </c>
      <c r="B238" s="26">
        <v>45889</v>
      </c>
      <c r="C238" s="26" t="s">
        <v>50</v>
      </c>
      <c r="D238" s="25">
        <v>2025</v>
      </c>
      <c r="E238" s="25" t="s">
        <v>604</v>
      </c>
      <c r="F238" s="25" t="s">
        <v>41</v>
      </c>
      <c r="G238" s="25" t="s">
        <v>609</v>
      </c>
      <c r="H238" s="25" t="s">
        <v>620</v>
      </c>
      <c r="I238" s="25" t="s">
        <v>619</v>
      </c>
      <c r="J238" s="25" t="s">
        <v>618</v>
      </c>
      <c r="K238" s="25">
        <v>1</v>
      </c>
      <c r="L238" s="25">
        <v>150</v>
      </c>
      <c r="M238" s="25">
        <v>150</v>
      </c>
      <c r="N238" s="25">
        <v>97.5</v>
      </c>
      <c r="O238" s="25">
        <v>52.5</v>
      </c>
      <c r="P238" s="32">
        <v>0.35</v>
      </c>
    </row>
    <row r="239" spans="1:16" x14ac:dyDescent="0.25">
      <c r="A239" s="28" t="s">
        <v>292</v>
      </c>
      <c r="B239" s="24">
        <v>45995</v>
      </c>
      <c r="C239" s="24" t="s">
        <v>80</v>
      </c>
      <c r="D239" s="23">
        <v>2025</v>
      </c>
      <c r="E239" s="23" t="s">
        <v>594</v>
      </c>
      <c r="F239" s="23" t="s">
        <v>39</v>
      </c>
      <c r="G239" s="23" t="s">
        <v>612</v>
      </c>
      <c r="H239" s="23" t="s">
        <v>613</v>
      </c>
      <c r="I239" s="23" t="s">
        <v>619</v>
      </c>
      <c r="J239" s="23" t="s">
        <v>615</v>
      </c>
      <c r="K239" s="23">
        <v>11</v>
      </c>
      <c r="L239" s="23">
        <v>12000</v>
      </c>
      <c r="M239" s="23">
        <v>132000</v>
      </c>
      <c r="N239" s="23">
        <v>110880</v>
      </c>
      <c r="O239" s="23">
        <v>21120</v>
      </c>
      <c r="P239" s="31">
        <v>0.16</v>
      </c>
    </row>
    <row r="240" spans="1:16" x14ac:dyDescent="0.25">
      <c r="A240" s="29" t="s">
        <v>293</v>
      </c>
      <c r="B240" s="26">
        <v>45690</v>
      </c>
      <c r="C240" s="26" t="s">
        <v>55</v>
      </c>
      <c r="D240" s="25">
        <v>2025</v>
      </c>
      <c r="E240" s="25" t="s">
        <v>604</v>
      </c>
      <c r="F240" s="25" t="s">
        <v>41</v>
      </c>
      <c r="G240" s="25" t="s">
        <v>610</v>
      </c>
      <c r="H240" s="25" t="s">
        <v>629</v>
      </c>
      <c r="I240" s="25" t="s">
        <v>617</v>
      </c>
      <c r="J240" s="25" t="s">
        <v>618</v>
      </c>
      <c r="K240" s="25">
        <v>3</v>
      </c>
      <c r="L240" s="25">
        <v>45000</v>
      </c>
      <c r="M240" s="25">
        <v>135000</v>
      </c>
      <c r="N240" s="25">
        <v>91800</v>
      </c>
      <c r="O240" s="25">
        <v>43200</v>
      </c>
      <c r="P240" s="32">
        <v>0.32</v>
      </c>
    </row>
    <row r="241" spans="1:16" x14ac:dyDescent="0.25">
      <c r="A241" s="28" t="s">
        <v>294</v>
      </c>
      <c r="B241" s="24">
        <v>45872</v>
      </c>
      <c r="C241" s="24" t="s">
        <v>50</v>
      </c>
      <c r="D241" s="23">
        <v>2025</v>
      </c>
      <c r="E241" s="23" t="s">
        <v>607</v>
      </c>
      <c r="F241" s="23" t="s">
        <v>42</v>
      </c>
      <c r="G241" s="23" t="s">
        <v>611</v>
      </c>
      <c r="H241" s="23" t="s">
        <v>620</v>
      </c>
      <c r="I241" s="23" t="s">
        <v>617</v>
      </c>
      <c r="J241" s="23" t="s">
        <v>615</v>
      </c>
      <c r="K241" s="23">
        <v>9</v>
      </c>
      <c r="L241" s="23">
        <v>3500</v>
      </c>
      <c r="M241" s="23">
        <v>31500</v>
      </c>
      <c r="N241" s="23">
        <v>24570</v>
      </c>
      <c r="O241" s="23">
        <v>6930</v>
      </c>
      <c r="P241" s="31">
        <v>0.22</v>
      </c>
    </row>
    <row r="242" spans="1:16" x14ac:dyDescent="0.25">
      <c r="A242" s="29" t="s">
        <v>295</v>
      </c>
      <c r="B242" s="26">
        <v>45693</v>
      </c>
      <c r="C242" s="26" t="s">
        <v>55</v>
      </c>
      <c r="D242" s="25">
        <v>2025</v>
      </c>
      <c r="E242" s="25" t="s">
        <v>599</v>
      </c>
      <c r="F242" s="25" t="s">
        <v>39</v>
      </c>
      <c r="G242" s="25" t="s">
        <v>609</v>
      </c>
      <c r="H242" s="25" t="s">
        <v>624</v>
      </c>
      <c r="I242" s="25" t="s">
        <v>619</v>
      </c>
      <c r="J242" s="25" t="s">
        <v>618</v>
      </c>
      <c r="K242" s="25">
        <v>8</v>
      </c>
      <c r="L242" s="25">
        <v>12000</v>
      </c>
      <c r="M242" s="25">
        <v>96000</v>
      </c>
      <c r="N242" s="25">
        <v>79680</v>
      </c>
      <c r="O242" s="25">
        <v>16320</v>
      </c>
      <c r="P242" s="32">
        <v>0.17</v>
      </c>
    </row>
    <row r="243" spans="1:16" x14ac:dyDescent="0.25">
      <c r="A243" s="28" t="s">
        <v>296</v>
      </c>
      <c r="B243" s="24">
        <v>45973</v>
      </c>
      <c r="C243" s="24" t="s">
        <v>48</v>
      </c>
      <c r="D243" s="23">
        <v>2025</v>
      </c>
      <c r="E243" s="23" t="s">
        <v>593</v>
      </c>
      <c r="F243" s="23" t="s">
        <v>41</v>
      </c>
      <c r="G243" s="23" t="s">
        <v>611</v>
      </c>
      <c r="H243" s="23" t="s">
        <v>621</v>
      </c>
      <c r="I243" s="23" t="s">
        <v>631</v>
      </c>
      <c r="J243" s="23" t="s">
        <v>615</v>
      </c>
      <c r="K243" s="23">
        <v>16</v>
      </c>
      <c r="L243" s="23">
        <v>25000</v>
      </c>
      <c r="M243" s="23">
        <v>400000</v>
      </c>
      <c r="N243" s="23">
        <v>360000</v>
      </c>
      <c r="O243" s="23">
        <v>40000</v>
      </c>
      <c r="P243" s="31">
        <v>0.1</v>
      </c>
    </row>
    <row r="244" spans="1:16" x14ac:dyDescent="0.25">
      <c r="A244" s="29" t="s">
        <v>297</v>
      </c>
      <c r="B244" s="26">
        <v>45915</v>
      </c>
      <c r="C244" s="26" t="s">
        <v>53</v>
      </c>
      <c r="D244" s="25">
        <v>2025</v>
      </c>
      <c r="E244" s="25" t="s">
        <v>594</v>
      </c>
      <c r="F244" s="25" t="s">
        <v>39</v>
      </c>
      <c r="G244" s="25" t="s">
        <v>610</v>
      </c>
      <c r="H244" s="25" t="s">
        <v>629</v>
      </c>
      <c r="I244" s="25" t="s">
        <v>617</v>
      </c>
      <c r="J244" s="25" t="s">
        <v>618</v>
      </c>
      <c r="K244" s="25">
        <v>7</v>
      </c>
      <c r="L244" s="25">
        <v>20</v>
      </c>
      <c r="M244" s="25">
        <v>140</v>
      </c>
      <c r="N244" s="25">
        <v>85.4</v>
      </c>
      <c r="O244" s="25">
        <v>54.599999999999994</v>
      </c>
      <c r="P244" s="32">
        <v>0.38999999999999996</v>
      </c>
    </row>
    <row r="245" spans="1:16" x14ac:dyDescent="0.25">
      <c r="A245" s="28" t="s">
        <v>298</v>
      </c>
      <c r="B245" s="24">
        <v>45885</v>
      </c>
      <c r="C245" s="24" t="s">
        <v>50</v>
      </c>
      <c r="D245" s="23">
        <v>2025</v>
      </c>
      <c r="E245" s="23" t="s">
        <v>598</v>
      </c>
      <c r="F245" s="23" t="s">
        <v>40</v>
      </c>
      <c r="G245" s="23" t="s">
        <v>609</v>
      </c>
      <c r="H245" s="23" t="s">
        <v>624</v>
      </c>
      <c r="I245" s="25" t="s">
        <v>645</v>
      </c>
      <c r="J245" s="23" t="s">
        <v>615</v>
      </c>
      <c r="K245" s="23">
        <v>19</v>
      </c>
      <c r="L245" s="23">
        <v>300</v>
      </c>
      <c r="M245" s="23">
        <v>5700</v>
      </c>
      <c r="N245" s="23">
        <v>4845</v>
      </c>
      <c r="O245" s="23">
        <v>855</v>
      </c>
      <c r="P245" s="31">
        <v>0.15</v>
      </c>
    </row>
    <row r="246" spans="1:16" x14ac:dyDescent="0.25">
      <c r="A246" s="29" t="s">
        <v>299</v>
      </c>
      <c r="B246" s="26">
        <v>45695</v>
      </c>
      <c r="C246" s="26" t="s">
        <v>55</v>
      </c>
      <c r="D246" s="25">
        <v>2025</v>
      </c>
      <c r="E246" s="25" t="s">
        <v>607</v>
      </c>
      <c r="F246" s="25" t="s">
        <v>42</v>
      </c>
      <c r="G246" s="25" t="s">
        <v>608</v>
      </c>
      <c r="H246" s="25" t="s">
        <v>616</v>
      </c>
      <c r="I246" s="25" t="s">
        <v>630</v>
      </c>
      <c r="J246" s="25" t="s">
        <v>615</v>
      </c>
      <c r="K246" s="25">
        <v>13</v>
      </c>
      <c r="L246" s="25">
        <v>1200</v>
      </c>
      <c r="M246" s="25">
        <v>15600</v>
      </c>
      <c r="N246" s="25">
        <v>12324</v>
      </c>
      <c r="O246" s="25">
        <v>3276</v>
      </c>
      <c r="P246" s="32">
        <v>0.21</v>
      </c>
    </row>
    <row r="247" spans="1:16" x14ac:dyDescent="0.25">
      <c r="A247" s="28" t="s">
        <v>300</v>
      </c>
      <c r="B247" s="24">
        <v>45691</v>
      </c>
      <c r="C247" s="24" t="s">
        <v>55</v>
      </c>
      <c r="D247" s="23">
        <v>2025</v>
      </c>
      <c r="E247" s="23" t="s">
        <v>601</v>
      </c>
      <c r="F247" s="23" t="s">
        <v>41</v>
      </c>
      <c r="G247" s="23" t="s">
        <v>611</v>
      </c>
      <c r="H247" s="23" t="s">
        <v>625</v>
      </c>
      <c r="I247" s="25" t="s">
        <v>645</v>
      </c>
      <c r="J247" s="23" t="s">
        <v>618</v>
      </c>
      <c r="K247" s="23">
        <v>19</v>
      </c>
      <c r="L247" s="23">
        <v>1200</v>
      </c>
      <c r="M247" s="23">
        <v>22800</v>
      </c>
      <c r="N247" s="23">
        <v>16644</v>
      </c>
      <c r="O247" s="23">
        <v>6156</v>
      </c>
      <c r="P247" s="31">
        <v>0.27</v>
      </c>
    </row>
    <row r="248" spans="1:16" x14ac:dyDescent="0.25">
      <c r="A248" s="29" t="s">
        <v>301</v>
      </c>
      <c r="B248" s="26">
        <v>45774</v>
      </c>
      <c r="C248" s="26" t="s">
        <v>62</v>
      </c>
      <c r="D248" s="25">
        <v>2025</v>
      </c>
      <c r="E248" s="25" t="s">
        <v>604</v>
      </c>
      <c r="F248" s="25" t="s">
        <v>41</v>
      </c>
      <c r="G248" s="25" t="s">
        <v>608</v>
      </c>
      <c r="H248" s="25" t="s">
        <v>620</v>
      </c>
      <c r="I248" s="25" t="s">
        <v>645</v>
      </c>
      <c r="J248" s="25" t="s">
        <v>618</v>
      </c>
      <c r="K248" s="25">
        <v>20</v>
      </c>
      <c r="L248" s="25">
        <v>50</v>
      </c>
      <c r="M248" s="25">
        <v>1000</v>
      </c>
      <c r="N248" s="25">
        <v>610</v>
      </c>
      <c r="O248" s="25">
        <v>390</v>
      </c>
      <c r="P248" s="32">
        <v>0.39</v>
      </c>
    </row>
    <row r="249" spans="1:16" x14ac:dyDescent="0.25">
      <c r="A249" s="28" t="s">
        <v>302</v>
      </c>
      <c r="B249" s="24">
        <v>45839</v>
      </c>
      <c r="C249" s="24" t="s">
        <v>83</v>
      </c>
      <c r="D249" s="23">
        <v>2025</v>
      </c>
      <c r="E249" s="23" t="s">
        <v>607</v>
      </c>
      <c r="F249" s="23" t="s">
        <v>42</v>
      </c>
      <c r="G249" s="23" t="s">
        <v>609</v>
      </c>
      <c r="H249" s="23" t="s">
        <v>621</v>
      </c>
      <c r="I249" s="23" t="s">
        <v>630</v>
      </c>
      <c r="J249" s="23" t="s">
        <v>615</v>
      </c>
      <c r="K249" s="23">
        <v>13</v>
      </c>
      <c r="L249" s="23">
        <v>20</v>
      </c>
      <c r="M249" s="23">
        <v>260</v>
      </c>
      <c r="N249" s="23">
        <v>166.4</v>
      </c>
      <c r="O249" s="23">
        <v>93.6</v>
      </c>
      <c r="P249" s="31">
        <v>0.36</v>
      </c>
    </row>
    <row r="250" spans="1:16" x14ac:dyDescent="0.25">
      <c r="A250" s="29" t="s">
        <v>303</v>
      </c>
      <c r="B250" s="26">
        <v>45876</v>
      </c>
      <c r="C250" s="26" t="s">
        <v>50</v>
      </c>
      <c r="D250" s="25">
        <v>2025</v>
      </c>
      <c r="E250" s="25" t="s">
        <v>605</v>
      </c>
      <c r="F250" s="25" t="s">
        <v>40</v>
      </c>
      <c r="G250" s="25" t="s">
        <v>610</v>
      </c>
      <c r="H250" s="25" t="s">
        <v>616</v>
      </c>
      <c r="I250" s="25" t="s">
        <v>645</v>
      </c>
      <c r="J250" s="25" t="s">
        <v>615</v>
      </c>
      <c r="K250" s="25">
        <v>16</v>
      </c>
      <c r="L250" s="25">
        <v>3500</v>
      </c>
      <c r="M250" s="25">
        <v>56000</v>
      </c>
      <c r="N250" s="25">
        <v>36960</v>
      </c>
      <c r="O250" s="25">
        <v>19040</v>
      </c>
      <c r="P250" s="32">
        <v>0.34</v>
      </c>
    </row>
    <row r="251" spans="1:16" x14ac:dyDescent="0.25">
      <c r="A251" s="28" t="s">
        <v>304</v>
      </c>
      <c r="B251" s="24">
        <v>46017</v>
      </c>
      <c r="C251" s="24" t="s">
        <v>80</v>
      </c>
      <c r="D251" s="23">
        <v>2025</v>
      </c>
      <c r="E251" s="23" t="s">
        <v>603</v>
      </c>
      <c r="F251" s="23" t="s">
        <v>42</v>
      </c>
      <c r="G251" s="23" t="s">
        <v>612</v>
      </c>
      <c r="H251" s="23" t="s">
        <v>626</v>
      </c>
      <c r="I251" s="23" t="s">
        <v>617</v>
      </c>
      <c r="J251" s="23" t="s">
        <v>615</v>
      </c>
      <c r="K251" s="23">
        <v>16</v>
      </c>
      <c r="L251" s="23">
        <v>150</v>
      </c>
      <c r="M251" s="23">
        <v>2400</v>
      </c>
      <c r="N251" s="23">
        <v>2088</v>
      </c>
      <c r="O251" s="23">
        <v>312</v>
      </c>
      <c r="P251" s="31">
        <v>0.13</v>
      </c>
    </row>
    <row r="252" spans="1:16" x14ac:dyDescent="0.25">
      <c r="A252" s="29" t="s">
        <v>305</v>
      </c>
      <c r="B252" s="26">
        <v>46009</v>
      </c>
      <c r="C252" s="26" t="s">
        <v>80</v>
      </c>
      <c r="D252" s="25">
        <v>2025</v>
      </c>
      <c r="E252" s="25" t="s">
        <v>594</v>
      </c>
      <c r="F252" s="25" t="s">
        <v>39</v>
      </c>
      <c r="G252" s="25" t="s">
        <v>608</v>
      </c>
      <c r="H252" s="25" t="s">
        <v>625</v>
      </c>
      <c r="I252" s="25" t="s">
        <v>627</v>
      </c>
      <c r="J252" s="25" t="s">
        <v>618</v>
      </c>
      <c r="K252" s="25">
        <v>4</v>
      </c>
      <c r="L252" s="25">
        <v>7000</v>
      </c>
      <c r="M252" s="25">
        <v>28000</v>
      </c>
      <c r="N252" s="25">
        <v>21280</v>
      </c>
      <c r="O252" s="25">
        <v>6720</v>
      </c>
      <c r="P252" s="32">
        <v>0.24</v>
      </c>
    </row>
    <row r="253" spans="1:16" x14ac:dyDescent="0.25">
      <c r="A253" s="28" t="s">
        <v>306</v>
      </c>
      <c r="B253" s="24">
        <v>45768</v>
      </c>
      <c r="C253" s="24" t="s">
        <v>62</v>
      </c>
      <c r="D253" s="23">
        <v>2025</v>
      </c>
      <c r="E253" s="23" t="s">
        <v>592</v>
      </c>
      <c r="F253" s="23" t="s">
        <v>40</v>
      </c>
      <c r="G253" s="23" t="s">
        <v>610</v>
      </c>
      <c r="H253" s="23" t="s">
        <v>613</v>
      </c>
      <c r="I253" s="25" t="s">
        <v>645</v>
      </c>
      <c r="J253" s="23" t="s">
        <v>615</v>
      </c>
      <c r="K253" s="23">
        <v>19</v>
      </c>
      <c r="L253" s="23">
        <v>7000</v>
      </c>
      <c r="M253" s="23">
        <v>133000</v>
      </c>
      <c r="N253" s="23">
        <v>86450</v>
      </c>
      <c r="O253" s="23">
        <v>46550</v>
      </c>
      <c r="P253" s="31">
        <v>0.35</v>
      </c>
    </row>
    <row r="254" spans="1:16" x14ac:dyDescent="0.25">
      <c r="A254" s="29" t="s">
        <v>307</v>
      </c>
      <c r="B254" s="26">
        <v>45910</v>
      </c>
      <c r="C254" s="26" t="s">
        <v>53</v>
      </c>
      <c r="D254" s="25">
        <v>2025</v>
      </c>
      <c r="E254" s="25" t="s">
        <v>601</v>
      </c>
      <c r="F254" s="25" t="s">
        <v>41</v>
      </c>
      <c r="G254" s="25" t="s">
        <v>612</v>
      </c>
      <c r="H254" s="25" t="s">
        <v>621</v>
      </c>
      <c r="I254" s="25" t="s">
        <v>645</v>
      </c>
      <c r="J254" s="25" t="s">
        <v>615</v>
      </c>
      <c r="K254" s="25">
        <v>7</v>
      </c>
      <c r="L254" s="25">
        <v>25000</v>
      </c>
      <c r="M254" s="25">
        <v>175000</v>
      </c>
      <c r="N254" s="25">
        <v>124250</v>
      </c>
      <c r="O254" s="25">
        <v>50750</v>
      </c>
      <c r="P254" s="32">
        <v>0.28999999999999998</v>
      </c>
    </row>
    <row r="255" spans="1:16" x14ac:dyDescent="0.25">
      <c r="A255" s="28" t="s">
        <v>308</v>
      </c>
      <c r="B255" s="24">
        <v>45700</v>
      </c>
      <c r="C255" s="24" t="s">
        <v>55</v>
      </c>
      <c r="D255" s="23">
        <v>2025</v>
      </c>
      <c r="E255" s="23" t="s">
        <v>597</v>
      </c>
      <c r="F255" s="23" t="s">
        <v>41</v>
      </c>
      <c r="G255" s="23" t="s">
        <v>609</v>
      </c>
      <c r="H255" s="23" t="s">
        <v>629</v>
      </c>
      <c r="I255" s="23" t="s">
        <v>623</v>
      </c>
      <c r="J255" s="23" t="s">
        <v>615</v>
      </c>
      <c r="K255" s="23">
        <v>18</v>
      </c>
      <c r="L255" s="23">
        <v>55000</v>
      </c>
      <c r="M255" s="23">
        <v>990000</v>
      </c>
      <c r="N255" s="23">
        <v>792000</v>
      </c>
      <c r="O255" s="23">
        <v>198000</v>
      </c>
      <c r="P255" s="31">
        <v>0.2</v>
      </c>
    </row>
    <row r="256" spans="1:16" x14ac:dyDescent="0.25">
      <c r="A256" s="29" t="s">
        <v>309</v>
      </c>
      <c r="B256" s="26">
        <v>46006</v>
      </c>
      <c r="C256" s="26" t="s">
        <v>80</v>
      </c>
      <c r="D256" s="25">
        <v>2025</v>
      </c>
      <c r="E256" s="25" t="s">
        <v>596</v>
      </c>
      <c r="F256" s="25" t="s">
        <v>39</v>
      </c>
      <c r="G256" s="25" t="s">
        <v>608</v>
      </c>
      <c r="H256" s="25" t="s">
        <v>625</v>
      </c>
      <c r="I256" s="25" t="s">
        <v>631</v>
      </c>
      <c r="J256" s="25" t="s">
        <v>615</v>
      </c>
      <c r="K256" s="25">
        <v>7</v>
      </c>
      <c r="L256" s="25">
        <v>25000</v>
      </c>
      <c r="M256" s="25">
        <v>175000</v>
      </c>
      <c r="N256" s="25">
        <v>127750</v>
      </c>
      <c r="O256" s="25">
        <v>47250</v>
      </c>
      <c r="P256" s="32">
        <v>0.27</v>
      </c>
    </row>
    <row r="257" spans="1:16" x14ac:dyDescent="0.25">
      <c r="A257" s="28" t="s">
        <v>310</v>
      </c>
      <c r="B257" s="24">
        <v>45778</v>
      </c>
      <c r="C257" s="24" t="s">
        <v>57</v>
      </c>
      <c r="D257" s="23">
        <v>2025</v>
      </c>
      <c r="E257" s="23" t="s">
        <v>597</v>
      </c>
      <c r="F257" s="23" t="s">
        <v>41</v>
      </c>
      <c r="G257" s="23" t="s">
        <v>608</v>
      </c>
      <c r="H257" s="23" t="s">
        <v>620</v>
      </c>
      <c r="I257" s="25" t="s">
        <v>645</v>
      </c>
      <c r="J257" s="23" t="s">
        <v>615</v>
      </c>
      <c r="K257" s="23">
        <v>3</v>
      </c>
      <c r="L257" s="23">
        <v>4000</v>
      </c>
      <c r="M257" s="23">
        <v>12000</v>
      </c>
      <c r="N257" s="23">
        <v>9120</v>
      </c>
      <c r="O257" s="23">
        <v>2880</v>
      </c>
      <c r="P257" s="31">
        <v>0.24</v>
      </c>
    </row>
    <row r="258" spans="1:16" x14ac:dyDescent="0.25">
      <c r="A258" s="29" t="s">
        <v>311</v>
      </c>
      <c r="B258" s="26">
        <v>45975</v>
      </c>
      <c r="C258" s="26" t="s">
        <v>48</v>
      </c>
      <c r="D258" s="25">
        <v>2025</v>
      </c>
      <c r="E258" s="25" t="s">
        <v>602</v>
      </c>
      <c r="F258" s="25" t="s">
        <v>42</v>
      </c>
      <c r="G258" s="25" t="s">
        <v>611</v>
      </c>
      <c r="H258" s="25" t="s">
        <v>626</v>
      </c>
      <c r="I258" s="25" t="s">
        <v>630</v>
      </c>
      <c r="J258" s="25" t="s">
        <v>618</v>
      </c>
      <c r="K258" s="25">
        <v>12</v>
      </c>
      <c r="L258" s="25">
        <v>8000</v>
      </c>
      <c r="M258" s="25">
        <v>96000</v>
      </c>
      <c r="N258" s="25">
        <v>74880</v>
      </c>
      <c r="O258" s="25">
        <v>21120</v>
      </c>
      <c r="P258" s="32">
        <v>0.22</v>
      </c>
    </row>
    <row r="259" spans="1:16" x14ac:dyDescent="0.25">
      <c r="A259" s="28" t="s">
        <v>312</v>
      </c>
      <c r="B259" s="24">
        <v>45790</v>
      </c>
      <c r="C259" s="24" t="s">
        <v>57</v>
      </c>
      <c r="D259" s="23">
        <v>2025</v>
      </c>
      <c r="E259" s="23" t="s">
        <v>602</v>
      </c>
      <c r="F259" s="23" t="s">
        <v>42</v>
      </c>
      <c r="G259" s="23" t="s">
        <v>609</v>
      </c>
      <c r="H259" s="23" t="s">
        <v>625</v>
      </c>
      <c r="I259" s="23" t="s">
        <v>631</v>
      </c>
      <c r="J259" s="23" t="s">
        <v>618</v>
      </c>
      <c r="K259" s="23">
        <v>17</v>
      </c>
      <c r="L259" s="23">
        <v>700</v>
      </c>
      <c r="M259" s="23">
        <v>11900</v>
      </c>
      <c r="N259" s="23">
        <v>9044</v>
      </c>
      <c r="O259" s="23">
        <v>2856</v>
      </c>
      <c r="P259" s="31">
        <v>0.24</v>
      </c>
    </row>
    <row r="260" spans="1:16" x14ac:dyDescent="0.25">
      <c r="A260" s="29" t="s">
        <v>313</v>
      </c>
      <c r="B260" s="26">
        <v>45909</v>
      </c>
      <c r="C260" s="26" t="s">
        <v>53</v>
      </c>
      <c r="D260" s="25">
        <v>2025</v>
      </c>
      <c r="E260" s="25" t="s">
        <v>601</v>
      </c>
      <c r="F260" s="25" t="s">
        <v>41</v>
      </c>
      <c r="G260" s="25" t="s">
        <v>611</v>
      </c>
      <c r="H260" s="25" t="s">
        <v>629</v>
      </c>
      <c r="I260" s="25" t="s">
        <v>617</v>
      </c>
      <c r="J260" s="25" t="s">
        <v>615</v>
      </c>
      <c r="K260" s="25">
        <v>17</v>
      </c>
      <c r="L260" s="25">
        <v>3500</v>
      </c>
      <c r="M260" s="25">
        <v>59500</v>
      </c>
      <c r="N260" s="25">
        <v>41055</v>
      </c>
      <c r="O260" s="25">
        <v>18445</v>
      </c>
      <c r="P260" s="32">
        <v>0.31</v>
      </c>
    </row>
    <row r="261" spans="1:16" x14ac:dyDescent="0.25">
      <c r="A261" s="28" t="s">
        <v>314</v>
      </c>
      <c r="B261" s="24">
        <v>45798</v>
      </c>
      <c r="C261" s="24" t="s">
        <v>57</v>
      </c>
      <c r="D261" s="23">
        <v>2025</v>
      </c>
      <c r="E261" s="23" t="s">
        <v>599</v>
      </c>
      <c r="F261" s="23" t="s">
        <v>39</v>
      </c>
      <c r="G261" s="23" t="s">
        <v>611</v>
      </c>
      <c r="H261" s="23" t="s">
        <v>616</v>
      </c>
      <c r="I261" s="23" t="s">
        <v>617</v>
      </c>
      <c r="J261" s="23" t="s">
        <v>615</v>
      </c>
      <c r="K261" s="23">
        <v>14</v>
      </c>
      <c r="L261" s="23">
        <v>300</v>
      </c>
      <c r="M261" s="23">
        <v>4200</v>
      </c>
      <c r="N261" s="23">
        <v>3570</v>
      </c>
      <c r="O261" s="23">
        <v>630</v>
      </c>
      <c r="P261" s="31">
        <v>0.15</v>
      </c>
    </row>
    <row r="262" spans="1:16" x14ac:dyDescent="0.25">
      <c r="A262" s="29" t="s">
        <v>315</v>
      </c>
      <c r="B262" s="26">
        <v>45945</v>
      </c>
      <c r="C262" s="26" t="s">
        <v>65</v>
      </c>
      <c r="D262" s="25">
        <v>2025</v>
      </c>
      <c r="E262" s="25" t="s">
        <v>600</v>
      </c>
      <c r="F262" s="25" t="s">
        <v>39</v>
      </c>
      <c r="G262" s="25" t="s">
        <v>612</v>
      </c>
      <c r="H262" s="25" t="s">
        <v>622</v>
      </c>
      <c r="I262" s="25" t="s">
        <v>631</v>
      </c>
      <c r="J262" s="25" t="s">
        <v>615</v>
      </c>
      <c r="K262" s="25">
        <v>1</v>
      </c>
      <c r="L262" s="25">
        <v>55000</v>
      </c>
      <c r="M262" s="25">
        <v>55000</v>
      </c>
      <c r="N262" s="25">
        <v>36850</v>
      </c>
      <c r="O262" s="25">
        <v>18150</v>
      </c>
      <c r="P262" s="32">
        <v>0.33</v>
      </c>
    </row>
    <row r="263" spans="1:16" x14ac:dyDescent="0.25">
      <c r="A263" s="28" t="s">
        <v>316</v>
      </c>
      <c r="B263" s="24">
        <v>45712</v>
      </c>
      <c r="C263" s="24" t="s">
        <v>55</v>
      </c>
      <c r="D263" s="23">
        <v>2025</v>
      </c>
      <c r="E263" s="23" t="s">
        <v>607</v>
      </c>
      <c r="F263" s="23" t="s">
        <v>42</v>
      </c>
      <c r="G263" s="23" t="s">
        <v>608</v>
      </c>
      <c r="H263" s="23" t="s">
        <v>616</v>
      </c>
      <c r="I263" s="23" t="s">
        <v>630</v>
      </c>
      <c r="J263" s="23" t="s">
        <v>615</v>
      </c>
      <c r="K263" s="23">
        <v>3</v>
      </c>
      <c r="L263" s="23">
        <v>55000</v>
      </c>
      <c r="M263" s="23">
        <v>165000</v>
      </c>
      <c r="N263" s="23">
        <v>140250</v>
      </c>
      <c r="O263" s="23">
        <v>24750</v>
      </c>
      <c r="P263" s="31">
        <v>0.15</v>
      </c>
    </row>
    <row r="264" spans="1:16" x14ac:dyDescent="0.25">
      <c r="A264" s="29" t="s">
        <v>317</v>
      </c>
      <c r="B264" s="26">
        <v>45817</v>
      </c>
      <c r="C264" s="26" t="s">
        <v>44</v>
      </c>
      <c r="D264" s="25">
        <v>2025</v>
      </c>
      <c r="E264" s="25" t="s">
        <v>604</v>
      </c>
      <c r="F264" s="25" t="s">
        <v>41</v>
      </c>
      <c r="G264" s="25" t="s">
        <v>612</v>
      </c>
      <c r="H264" s="25" t="s">
        <v>620</v>
      </c>
      <c r="I264" s="25" t="s">
        <v>619</v>
      </c>
      <c r="J264" s="25" t="s">
        <v>615</v>
      </c>
      <c r="K264" s="25">
        <v>3</v>
      </c>
      <c r="L264" s="25">
        <v>15000</v>
      </c>
      <c r="M264" s="25">
        <v>45000</v>
      </c>
      <c r="N264" s="25">
        <v>34650</v>
      </c>
      <c r="O264" s="25">
        <v>10350</v>
      </c>
      <c r="P264" s="32">
        <v>0.23</v>
      </c>
    </row>
    <row r="265" spans="1:16" x14ac:dyDescent="0.25">
      <c r="A265" s="28" t="s">
        <v>318</v>
      </c>
      <c r="B265" s="24">
        <v>45729</v>
      </c>
      <c r="C265" s="24" t="s">
        <v>46</v>
      </c>
      <c r="D265" s="23">
        <v>2025</v>
      </c>
      <c r="E265" s="23" t="s">
        <v>602</v>
      </c>
      <c r="F265" s="23" t="s">
        <v>42</v>
      </c>
      <c r="G265" s="23" t="s">
        <v>610</v>
      </c>
      <c r="H265" s="23" t="s">
        <v>628</v>
      </c>
      <c r="I265" s="23" t="s">
        <v>631</v>
      </c>
      <c r="J265" s="23" t="s">
        <v>615</v>
      </c>
      <c r="K265" s="23">
        <v>20</v>
      </c>
      <c r="L265" s="23">
        <v>8000</v>
      </c>
      <c r="M265" s="23">
        <v>160000</v>
      </c>
      <c r="N265" s="23">
        <v>115200</v>
      </c>
      <c r="O265" s="23">
        <v>44800</v>
      </c>
      <c r="P265" s="31">
        <v>0.28000000000000003</v>
      </c>
    </row>
    <row r="266" spans="1:16" x14ac:dyDescent="0.25">
      <c r="A266" s="29" t="s">
        <v>319</v>
      </c>
      <c r="B266" s="26">
        <v>46011</v>
      </c>
      <c r="C266" s="26" t="s">
        <v>80</v>
      </c>
      <c r="D266" s="25">
        <v>2025</v>
      </c>
      <c r="E266" s="25" t="s">
        <v>594</v>
      </c>
      <c r="F266" s="25" t="s">
        <v>39</v>
      </c>
      <c r="G266" s="25" t="s">
        <v>612</v>
      </c>
      <c r="H266" s="25" t="s">
        <v>613</v>
      </c>
      <c r="I266" s="25" t="s">
        <v>617</v>
      </c>
      <c r="J266" s="25" t="s">
        <v>618</v>
      </c>
      <c r="K266" s="25">
        <v>7</v>
      </c>
      <c r="L266" s="25">
        <v>55000</v>
      </c>
      <c r="M266" s="25">
        <v>385000</v>
      </c>
      <c r="N266" s="25">
        <v>308000</v>
      </c>
      <c r="O266" s="25">
        <v>77000</v>
      </c>
      <c r="P266" s="32">
        <v>0.2</v>
      </c>
    </row>
    <row r="267" spans="1:16" x14ac:dyDescent="0.25">
      <c r="A267" s="28" t="s">
        <v>320</v>
      </c>
      <c r="B267" s="24">
        <v>45739</v>
      </c>
      <c r="C267" s="24" t="s">
        <v>46</v>
      </c>
      <c r="D267" s="23">
        <v>2025</v>
      </c>
      <c r="E267" s="23" t="s">
        <v>600</v>
      </c>
      <c r="F267" s="23" t="s">
        <v>39</v>
      </c>
      <c r="G267" s="23" t="s">
        <v>610</v>
      </c>
      <c r="H267" s="23" t="s">
        <v>626</v>
      </c>
      <c r="I267" s="23" t="s">
        <v>614</v>
      </c>
      <c r="J267" s="23" t="s">
        <v>615</v>
      </c>
      <c r="K267" s="23">
        <v>11</v>
      </c>
      <c r="L267" s="23">
        <v>8000</v>
      </c>
      <c r="M267" s="23">
        <v>88000</v>
      </c>
      <c r="N267" s="23">
        <v>63360</v>
      </c>
      <c r="O267" s="23">
        <v>24640</v>
      </c>
      <c r="P267" s="31">
        <v>0.28000000000000003</v>
      </c>
    </row>
    <row r="268" spans="1:16" x14ac:dyDescent="0.25">
      <c r="A268" s="29" t="s">
        <v>321</v>
      </c>
      <c r="B268" s="26">
        <v>45765</v>
      </c>
      <c r="C268" s="26" t="s">
        <v>62</v>
      </c>
      <c r="D268" s="25">
        <v>2025</v>
      </c>
      <c r="E268" s="25" t="s">
        <v>604</v>
      </c>
      <c r="F268" s="25" t="s">
        <v>41</v>
      </c>
      <c r="G268" s="25" t="s">
        <v>611</v>
      </c>
      <c r="H268" s="25" t="s">
        <v>621</v>
      </c>
      <c r="I268" s="25" t="s">
        <v>630</v>
      </c>
      <c r="J268" s="25" t="s">
        <v>615</v>
      </c>
      <c r="K268" s="25">
        <v>8</v>
      </c>
      <c r="L268" s="25">
        <v>45000</v>
      </c>
      <c r="M268" s="25">
        <v>360000</v>
      </c>
      <c r="N268" s="25">
        <v>306000</v>
      </c>
      <c r="O268" s="25">
        <v>54000</v>
      </c>
      <c r="P268" s="32">
        <v>0.15</v>
      </c>
    </row>
    <row r="269" spans="1:16" x14ac:dyDescent="0.25">
      <c r="A269" s="28" t="s">
        <v>322</v>
      </c>
      <c r="B269" s="24">
        <v>45818</v>
      </c>
      <c r="C269" s="24" t="s">
        <v>44</v>
      </c>
      <c r="D269" s="23">
        <v>2025</v>
      </c>
      <c r="E269" s="23" t="s">
        <v>598</v>
      </c>
      <c r="F269" s="23" t="s">
        <v>40</v>
      </c>
      <c r="G269" s="23" t="s">
        <v>608</v>
      </c>
      <c r="H269" s="23" t="s">
        <v>620</v>
      </c>
      <c r="I269" s="23" t="s">
        <v>619</v>
      </c>
      <c r="J269" s="23" t="s">
        <v>615</v>
      </c>
      <c r="K269" s="23">
        <v>12</v>
      </c>
      <c r="L269" s="23">
        <v>9000</v>
      </c>
      <c r="M269" s="23">
        <v>108000</v>
      </c>
      <c r="N269" s="23">
        <v>93960</v>
      </c>
      <c r="O269" s="23">
        <v>14040</v>
      </c>
      <c r="P269" s="31">
        <v>0.13</v>
      </c>
    </row>
    <row r="270" spans="1:16" x14ac:dyDescent="0.25">
      <c r="A270" s="29" t="s">
        <v>323</v>
      </c>
      <c r="B270" s="26">
        <v>46004</v>
      </c>
      <c r="C270" s="26" t="s">
        <v>80</v>
      </c>
      <c r="D270" s="25">
        <v>2025</v>
      </c>
      <c r="E270" s="25" t="s">
        <v>599</v>
      </c>
      <c r="F270" s="25" t="s">
        <v>39</v>
      </c>
      <c r="G270" s="25" t="s">
        <v>610</v>
      </c>
      <c r="H270" s="25" t="s">
        <v>620</v>
      </c>
      <c r="I270" s="25" t="s">
        <v>630</v>
      </c>
      <c r="J270" s="25" t="s">
        <v>618</v>
      </c>
      <c r="K270" s="25">
        <v>7</v>
      </c>
      <c r="L270" s="25">
        <v>15000</v>
      </c>
      <c r="M270" s="25">
        <v>105000</v>
      </c>
      <c r="N270" s="25">
        <v>65100</v>
      </c>
      <c r="O270" s="25">
        <v>39900</v>
      </c>
      <c r="P270" s="32">
        <v>0.38</v>
      </c>
    </row>
    <row r="271" spans="1:16" x14ac:dyDescent="0.25">
      <c r="A271" s="28" t="s">
        <v>324</v>
      </c>
      <c r="B271" s="24">
        <v>45740</v>
      </c>
      <c r="C271" s="24" t="s">
        <v>46</v>
      </c>
      <c r="D271" s="23">
        <v>2025</v>
      </c>
      <c r="E271" s="23" t="s">
        <v>592</v>
      </c>
      <c r="F271" s="23" t="s">
        <v>40</v>
      </c>
      <c r="G271" s="23" t="s">
        <v>612</v>
      </c>
      <c r="H271" s="23" t="s">
        <v>616</v>
      </c>
      <c r="I271" s="23" t="s">
        <v>623</v>
      </c>
      <c r="J271" s="23" t="s">
        <v>615</v>
      </c>
      <c r="K271" s="23">
        <v>16</v>
      </c>
      <c r="L271" s="23">
        <v>1200</v>
      </c>
      <c r="M271" s="23">
        <v>19200</v>
      </c>
      <c r="N271" s="23">
        <v>15552</v>
      </c>
      <c r="O271" s="23">
        <v>3648</v>
      </c>
      <c r="P271" s="31">
        <v>0.19</v>
      </c>
    </row>
    <row r="272" spans="1:16" x14ac:dyDescent="0.25">
      <c r="A272" s="29" t="s">
        <v>325</v>
      </c>
      <c r="B272" s="26">
        <v>45996</v>
      </c>
      <c r="C272" s="26" t="s">
        <v>80</v>
      </c>
      <c r="D272" s="25">
        <v>2025</v>
      </c>
      <c r="E272" s="25" t="s">
        <v>597</v>
      </c>
      <c r="F272" s="25" t="s">
        <v>41</v>
      </c>
      <c r="G272" s="25" t="s">
        <v>611</v>
      </c>
      <c r="H272" s="25" t="s">
        <v>621</v>
      </c>
      <c r="I272" s="25" t="s">
        <v>630</v>
      </c>
      <c r="J272" s="25" t="s">
        <v>615</v>
      </c>
      <c r="K272" s="25">
        <v>20</v>
      </c>
      <c r="L272" s="25">
        <v>3500</v>
      </c>
      <c r="M272" s="25">
        <v>70000</v>
      </c>
      <c r="N272" s="25">
        <v>51100</v>
      </c>
      <c r="O272" s="25">
        <v>18900</v>
      </c>
      <c r="P272" s="32">
        <v>0.27</v>
      </c>
    </row>
    <row r="273" spans="1:16" x14ac:dyDescent="0.25">
      <c r="A273" s="28" t="s">
        <v>326</v>
      </c>
      <c r="B273" s="24">
        <v>45953</v>
      </c>
      <c r="C273" s="24" t="s">
        <v>65</v>
      </c>
      <c r="D273" s="23">
        <v>2025</v>
      </c>
      <c r="E273" s="23" t="s">
        <v>601</v>
      </c>
      <c r="F273" s="23" t="s">
        <v>41</v>
      </c>
      <c r="G273" s="23" t="s">
        <v>611</v>
      </c>
      <c r="H273" s="23" t="s">
        <v>624</v>
      </c>
      <c r="I273" s="23" t="s">
        <v>623</v>
      </c>
      <c r="J273" s="23" t="s">
        <v>618</v>
      </c>
      <c r="K273" s="23">
        <v>1</v>
      </c>
      <c r="L273" s="23">
        <v>15000</v>
      </c>
      <c r="M273" s="23">
        <v>15000</v>
      </c>
      <c r="N273" s="23">
        <v>9000</v>
      </c>
      <c r="O273" s="23">
        <v>6000</v>
      </c>
      <c r="P273" s="31">
        <v>0.4</v>
      </c>
    </row>
    <row r="274" spans="1:16" x14ac:dyDescent="0.25">
      <c r="A274" s="29" t="s">
        <v>327</v>
      </c>
      <c r="B274" s="26">
        <v>45980</v>
      </c>
      <c r="C274" s="26" t="s">
        <v>48</v>
      </c>
      <c r="D274" s="25">
        <v>2025</v>
      </c>
      <c r="E274" s="25" t="s">
        <v>596</v>
      </c>
      <c r="F274" s="25" t="s">
        <v>39</v>
      </c>
      <c r="G274" s="25" t="s">
        <v>610</v>
      </c>
      <c r="H274" s="25" t="s">
        <v>613</v>
      </c>
      <c r="I274" s="25" t="s">
        <v>614</v>
      </c>
      <c r="J274" s="25" t="s">
        <v>615</v>
      </c>
      <c r="K274" s="25">
        <v>1</v>
      </c>
      <c r="L274" s="25">
        <v>1200</v>
      </c>
      <c r="M274" s="25">
        <v>1200</v>
      </c>
      <c r="N274" s="25">
        <v>948</v>
      </c>
      <c r="O274" s="25">
        <v>252</v>
      </c>
      <c r="P274" s="32">
        <v>0.21</v>
      </c>
    </row>
    <row r="275" spans="1:16" x14ac:dyDescent="0.25">
      <c r="A275" s="28" t="s">
        <v>328</v>
      </c>
      <c r="B275" s="24">
        <v>45947</v>
      </c>
      <c r="C275" s="24" t="s">
        <v>65</v>
      </c>
      <c r="D275" s="23">
        <v>2025</v>
      </c>
      <c r="E275" s="23" t="s">
        <v>594</v>
      </c>
      <c r="F275" s="23" t="s">
        <v>39</v>
      </c>
      <c r="G275" s="23" t="s">
        <v>608</v>
      </c>
      <c r="H275" s="23" t="s">
        <v>613</v>
      </c>
      <c r="I275" s="23" t="s">
        <v>627</v>
      </c>
      <c r="J275" s="23" t="s">
        <v>618</v>
      </c>
      <c r="K275" s="23">
        <v>2</v>
      </c>
      <c r="L275" s="23">
        <v>9000</v>
      </c>
      <c r="M275" s="23">
        <v>18000</v>
      </c>
      <c r="N275" s="23">
        <v>12420</v>
      </c>
      <c r="O275" s="23">
        <v>5580</v>
      </c>
      <c r="P275" s="31">
        <v>0.31</v>
      </c>
    </row>
    <row r="276" spans="1:16" x14ac:dyDescent="0.25">
      <c r="A276" s="29" t="s">
        <v>329</v>
      </c>
      <c r="B276" s="26">
        <v>45953</v>
      </c>
      <c r="C276" s="26" t="s">
        <v>65</v>
      </c>
      <c r="D276" s="25">
        <v>2025</v>
      </c>
      <c r="E276" s="25" t="s">
        <v>607</v>
      </c>
      <c r="F276" s="25" t="s">
        <v>42</v>
      </c>
      <c r="G276" s="25" t="s">
        <v>612</v>
      </c>
      <c r="H276" s="25" t="s">
        <v>613</v>
      </c>
      <c r="I276" s="25" t="s">
        <v>631</v>
      </c>
      <c r="J276" s="25" t="s">
        <v>618</v>
      </c>
      <c r="K276" s="25">
        <v>18</v>
      </c>
      <c r="L276" s="25">
        <v>300</v>
      </c>
      <c r="M276" s="25">
        <v>5400</v>
      </c>
      <c r="N276" s="25">
        <v>4050</v>
      </c>
      <c r="O276" s="25">
        <v>1350</v>
      </c>
      <c r="P276" s="32">
        <v>0.25</v>
      </c>
    </row>
    <row r="277" spans="1:16" x14ac:dyDescent="0.25">
      <c r="A277" s="28" t="s">
        <v>330</v>
      </c>
      <c r="B277" s="24">
        <v>45825</v>
      </c>
      <c r="C277" s="24" t="s">
        <v>44</v>
      </c>
      <c r="D277" s="23">
        <v>2025</v>
      </c>
      <c r="E277" s="23" t="s">
        <v>598</v>
      </c>
      <c r="F277" s="23" t="s">
        <v>40</v>
      </c>
      <c r="G277" s="23" t="s">
        <v>610</v>
      </c>
      <c r="H277" s="23" t="s">
        <v>628</v>
      </c>
      <c r="I277" s="23" t="s">
        <v>631</v>
      </c>
      <c r="J277" s="23" t="s">
        <v>618</v>
      </c>
      <c r="K277" s="23">
        <v>20</v>
      </c>
      <c r="L277" s="23">
        <v>150</v>
      </c>
      <c r="M277" s="23">
        <v>3000</v>
      </c>
      <c r="N277" s="23">
        <v>2520</v>
      </c>
      <c r="O277" s="23">
        <v>480</v>
      </c>
      <c r="P277" s="31">
        <v>0.16</v>
      </c>
    </row>
    <row r="278" spans="1:16" x14ac:dyDescent="0.25">
      <c r="A278" s="29" t="s">
        <v>331</v>
      </c>
      <c r="B278" s="26">
        <v>45891</v>
      </c>
      <c r="C278" s="26" t="s">
        <v>50</v>
      </c>
      <c r="D278" s="25">
        <v>2025</v>
      </c>
      <c r="E278" s="25" t="s">
        <v>599</v>
      </c>
      <c r="F278" s="25" t="s">
        <v>39</v>
      </c>
      <c r="G278" s="25" t="s">
        <v>612</v>
      </c>
      <c r="H278" s="25" t="s">
        <v>613</v>
      </c>
      <c r="I278" s="25" t="s">
        <v>617</v>
      </c>
      <c r="J278" s="25" t="s">
        <v>618</v>
      </c>
      <c r="K278" s="25">
        <v>16</v>
      </c>
      <c r="L278" s="25">
        <v>1200</v>
      </c>
      <c r="M278" s="25">
        <v>19200</v>
      </c>
      <c r="N278" s="25">
        <v>15936</v>
      </c>
      <c r="O278" s="25">
        <v>3264</v>
      </c>
      <c r="P278" s="32">
        <v>0.17</v>
      </c>
    </row>
    <row r="279" spans="1:16" x14ac:dyDescent="0.25">
      <c r="A279" s="28" t="s">
        <v>332</v>
      </c>
      <c r="B279" s="24">
        <v>45977</v>
      </c>
      <c r="C279" s="24" t="s">
        <v>48</v>
      </c>
      <c r="D279" s="23">
        <v>2025</v>
      </c>
      <c r="E279" s="23" t="s">
        <v>599</v>
      </c>
      <c r="F279" s="23" t="s">
        <v>39</v>
      </c>
      <c r="G279" s="23" t="s">
        <v>609</v>
      </c>
      <c r="H279" s="23" t="s">
        <v>622</v>
      </c>
      <c r="I279" s="23" t="s">
        <v>630</v>
      </c>
      <c r="J279" s="23" t="s">
        <v>618</v>
      </c>
      <c r="K279" s="23">
        <v>19</v>
      </c>
      <c r="L279" s="23">
        <v>300</v>
      </c>
      <c r="M279" s="23">
        <v>5700</v>
      </c>
      <c r="N279" s="23">
        <v>4332</v>
      </c>
      <c r="O279" s="23">
        <v>1368</v>
      </c>
      <c r="P279" s="31">
        <v>0.24</v>
      </c>
    </row>
    <row r="280" spans="1:16" x14ac:dyDescent="0.25">
      <c r="A280" s="29" t="s">
        <v>333</v>
      </c>
      <c r="B280" s="26">
        <v>45984</v>
      </c>
      <c r="C280" s="26" t="s">
        <v>48</v>
      </c>
      <c r="D280" s="25">
        <v>2025</v>
      </c>
      <c r="E280" s="25" t="s">
        <v>601</v>
      </c>
      <c r="F280" s="25" t="s">
        <v>41</v>
      </c>
      <c r="G280" s="25" t="s">
        <v>612</v>
      </c>
      <c r="H280" s="25" t="s">
        <v>629</v>
      </c>
      <c r="I280" s="25" t="s">
        <v>619</v>
      </c>
      <c r="J280" s="25" t="s">
        <v>618</v>
      </c>
      <c r="K280" s="25">
        <v>17</v>
      </c>
      <c r="L280" s="25">
        <v>12000</v>
      </c>
      <c r="M280" s="25">
        <v>204000</v>
      </c>
      <c r="N280" s="25">
        <v>159120</v>
      </c>
      <c r="O280" s="25">
        <v>44880</v>
      </c>
      <c r="P280" s="32">
        <v>0.22</v>
      </c>
    </row>
    <row r="281" spans="1:16" x14ac:dyDescent="0.25">
      <c r="A281" s="28" t="s">
        <v>334</v>
      </c>
      <c r="B281" s="24">
        <v>45892</v>
      </c>
      <c r="C281" s="24" t="s">
        <v>50</v>
      </c>
      <c r="D281" s="23">
        <v>2025</v>
      </c>
      <c r="E281" s="23" t="s">
        <v>600</v>
      </c>
      <c r="F281" s="23" t="s">
        <v>39</v>
      </c>
      <c r="G281" s="23" t="s">
        <v>609</v>
      </c>
      <c r="H281" s="23" t="s">
        <v>622</v>
      </c>
      <c r="I281" s="23" t="s">
        <v>617</v>
      </c>
      <c r="J281" s="23" t="s">
        <v>618</v>
      </c>
      <c r="K281" s="23">
        <v>5</v>
      </c>
      <c r="L281" s="23">
        <v>45000</v>
      </c>
      <c r="M281" s="23">
        <v>225000</v>
      </c>
      <c r="N281" s="23">
        <v>186750</v>
      </c>
      <c r="O281" s="23">
        <v>38250</v>
      </c>
      <c r="P281" s="31">
        <v>0.17</v>
      </c>
    </row>
    <row r="282" spans="1:16" x14ac:dyDescent="0.25">
      <c r="A282" s="29" t="s">
        <v>335</v>
      </c>
      <c r="B282" s="26">
        <v>45813</v>
      </c>
      <c r="C282" s="26" t="s">
        <v>44</v>
      </c>
      <c r="D282" s="25">
        <v>2025</v>
      </c>
      <c r="E282" s="25" t="s">
        <v>593</v>
      </c>
      <c r="F282" s="25" t="s">
        <v>41</v>
      </c>
      <c r="G282" s="25" t="s">
        <v>612</v>
      </c>
      <c r="H282" s="25" t="s">
        <v>628</v>
      </c>
      <c r="I282" s="25" t="s">
        <v>627</v>
      </c>
      <c r="J282" s="25" t="s">
        <v>615</v>
      </c>
      <c r="K282" s="25">
        <v>19</v>
      </c>
      <c r="L282" s="25">
        <v>12000</v>
      </c>
      <c r="M282" s="25">
        <v>228000</v>
      </c>
      <c r="N282" s="25">
        <v>191520</v>
      </c>
      <c r="O282" s="25">
        <v>36480</v>
      </c>
      <c r="P282" s="32">
        <v>0.16</v>
      </c>
    </row>
    <row r="283" spans="1:16" x14ac:dyDescent="0.25">
      <c r="A283" s="28" t="s">
        <v>336</v>
      </c>
      <c r="B283" s="24">
        <v>45825</v>
      </c>
      <c r="C283" s="24" t="s">
        <v>44</v>
      </c>
      <c r="D283" s="23">
        <v>2025</v>
      </c>
      <c r="E283" s="23" t="s">
        <v>592</v>
      </c>
      <c r="F283" s="23" t="s">
        <v>40</v>
      </c>
      <c r="G283" s="23" t="s">
        <v>610</v>
      </c>
      <c r="H283" s="23" t="s">
        <v>620</v>
      </c>
      <c r="I283" s="23" t="s">
        <v>623</v>
      </c>
      <c r="J283" s="23" t="s">
        <v>618</v>
      </c>
      <c r="K283" s="23">
        <v>16</v>
      </c>
      <c r="L283" s="23">
        <v>150</v>
      </c>
      <c r="M283" s="23">
        <v>2400</v>
      </c>
      <c r="N283" s="23">
        <v>1584</v>
      </c>
      <c r="O283" s="23">
        <v>816</v>
      </c>
      <c r="P283" s="31">
        <v>0.34</v>
      </c>
    </row>
    <row r="284" spans="1:16" x14ac:dyDescent="0.25">
      <c r="A284" s="29" t="s">
        <v>337</v>
      </c>
      <c r="B284" s="26">
        <v>45783</v>
      </c>
      <c r="C284" s="26" t="s">
        <v>57</v>
      </c>
      <c r="D284" s="25">
        <v>2025</v>
      </c>
      <c r="E284" s="25" t="s">
        <v>604</v>
      </c>
      <c r="F284" s="25" t="s">
        <v>41</v>
      </c>
      <c r="G284" s="25" t="s">
        <v>610</v>
      </c>
      <c r="H284" s="25" t="s">
        <v>622</v>
      </c>
      <c r="I284" s="25" t="s">
        <v>623</v>
      </c>
      <c r="J284" s="25" t="s">
        <v>615</v>
      </c>
      <c r="K284" s="25">
        <v>2</v>
      </c>
      <c r="L284" s="25">
        <v>20</v>
      </c>
      <c r="M284" s="25">
        <v>40</v>
      </c>
      <c r="N284" s="25">
        <v>27.6</v>
      </c>
      <c r="O284" s="25">
        <v>12.399999999999999</v>
      </c>
      <c r="P284" s="32">
        <v>0.30999999999999994</v>
      </c>
    </row>
    <row r="285" spans="1:16" x14ac:dyDescent="0.25">
      <c r="A285" s="28" t="s">
        <v>338</v>
      </c>
      <c r="B285" s="24">
        <v>45971</v>
      </c>
      <c r="C285" s="24" t="s">
        <v>48</v>
      </c>
      <c r="D285" s="23">
        <v>2025</v>
      </c>
      <c r="E285" s="23" t="s">
        <v>600</v>
      </c>
      <c r="F285" s="23" t="s">
        <v>39</v>
      </c>
      <c r="G285" s="23" t="s">
        <v>609</v>
      </c>
      <c r="H285" s="23" t="s">
        <v>621</v>
      </c>
      <c r="I285" s="23" t="s">
        <v>623</v>
      </c>
      <c r="J285" s="23" t="s">
        <v>618</v>
      </c>
      <c r="K285" s="23">
        <v>4</v>
      </c>
      <c r="L285" s="23">
        <v>45000</v>
      </c>
      <c r="M285" s="23">
        <v>180000</v>
      </c>
      <c r="N285" s="23">
        <v>113400</v>
      </c>
      <c r="O285" s="23">
        <v>66600</v>
      </c>
      <c r="P285" s="31">
        <v>0.37</v>
      </c>
    </row>
    <row r="286" spans="1:16" x14ac:dyDescent="0.25">
      <c r="A286" s="29" t="s">
        <v>339</v>
      </c>
      <c r="B286" s="26">
        <v>45719</v>
      </c>
      <c r="C286" s="26" t="s">
        <v>46</v>
      </c>
      <c r="D286" s="25">
        <v>2025</v>
      </c>
      <c r="E286" s="25" t="s">
        <v>597</v>
      </c>
      <c r="F286" s="25" t="s">
        <v>41</v>
      </c>
      <c r="G286" s="25" t="s">
        <v>608</v>
      </c>
      <c r="H286" s="25" t="s">
        <v>622</v>
      </c>
      <c r="I286" s="25" t="s">
        <v>614</v>
      </c>
      <c r="J286" s="25" t="s">
        <v>618</v>
      </c>
      <c r="K286" s="25">
        <v>11</v>
      </c>
      <c r="L286" s="25">
        <v>7000</v>
      </c>
      <c r="M286" s="25">
        <v>77000</v>
      </c>
      <c r="N286" s="25">
        <v>67760</v>
      </c>
      <c r="O286" s="25">
        <v>9240</v>
      </c>
      <c r="P286" s="32">
        <v>0.12</v>
      </c>
    </row>
    <row r="287" spans="1:16" x14ac:dyDescent="0.25">
      <c r="A287" s="28" t="s">
        <v>340</v>
      </c>
      <c r="B287" s="24">
        <v>45720</v>
      </c>
      <c r="C287" s="24" t="s">
        <v>46</v>
      </c>
      <c r="D287" s="23">
        <v>2025</v>
      </c>
      <c r="E287" s="23" t="s">
        <v>604</v>
      </c>
      <c r="F287" s="23" t="s">
        <v>41</v>
      </c>
      <c r="G287" s="23" t="s">
        <v>609</v>
      </c>
      <c r="H287" s="23" t="s">
        <v>613</v>
      </c>
      <c r="I287" s="23" t="s">
        <v>627</v>
      </c>
      <c r="J287" s="23" t="s">
        <v>618</v>
      </c>
      <c r="K287" s="23">
        <v>6</v>
      </c>
      <c r="L287" s="23">
        <v>55000</v>
      </c>
      <c r="M287" s="23">
        <v>330000</v>
      </c>
      <c r="N287" s="23">
        <v>270600</v>
      </c>
      <c r="O287" s="23">
        <v>59400</v>
      </c>
      <c r="P287" s="31">
        <v>0.18</v>
      </c>
    </row>
    <row r="288" spans="1:16" x14ac:dyDescent="0.25">
      <c r="A288" s="29" t="s">
        <v>341</v>
      </c>
      <c r="B288" s="26">
        <v>45727</v>
      </c>
      <c r="C288" s="26" t="s">
        <v>46</v>
      </c>
      <c r="D288" s="25">
        <v>2025</v>
      </c>
      <c r="E288" s="25" t="s">
        <v>599</v>
      </c>
      <c r="F288" s="25" t="s">
        <v>39</v>
      </c>
      <c r="G288" s="25" t="s">
        <v>608</v>
      </c>
      <c r="H288" s="25" t="s">
        <v>622</v>
      </c>
      <c r="I288" s="25" t="s">
        <v>630</v>
      </c>
      <c r="J288" s="25" t="s">
        <v>615</v>
      </c>
      <c r="K288" s="25">
        <v>17</v>
      </c>
      <c r="L288" s="25">
        <v>150</v>
      </c>
      <c r="M288" s="25">
        <v>2550</v>
      </c>
      <c r="N288" s="25">
        <v>2167.5</v>
      </c>
      <c r="O288" s="25">
        <v>382.5</v>
      </c>
      <c r="P288" s="32">
        <v>0.15</v>
      </c>
    </row>
    <row r="289" spans="1:16" x14ac:dyDescent="0.25">
      <c r="A289" s="28" t="s">
        <v>342</v>
      </c>
      <c r="B289" s="24">
        <v>45788</v>
      </c>
      <c r="C289" s="24" t="s">
        <v>57</v>
      </c>
      <c r="D289" s="23">
        <v>2025</v>
      </c>
      <c r="E289" s="23" t="s">
        <v>593</v>
      </c>
      <c r="F289" s="23" t="s">
        <v>41</v>
      </c>
      <c r="G289" s="23" t="s">
        <v>608</v>
      </c>
      <c r="H289" s="23" t="s">
        <v>622</v>
      </c>
      <c r="I289" s="23" t="s">
        <v>630</v>
      </c>
      <c r="J289" s="23" t="s">
        <v>615</v>
      </c>
      <c r="K289" s="23">
        <v>11</v>
      </c>
      <c r="L289" s="23">
        <v>20</v>
      </c>
      <c r="M289" s="23">
        <v>220</v>
      </c>
      <c r="N289" s="23">
        <v>182.6</v>
      </c>
      <c r="O289" s="23">
        <v>37.400000000000006</v>
      </c>
      <c r="P289" s="31">
        <v>0.17</v>
      </c>
    </row>
    <row r="290" spans="1:16" x14ac:dyDescent="0.25">
      <c r="A290" s="29" t="s">
        <v>343</v>
      </c>
      <c r="B290" s="26">
        <v>45951</v>
      </c>
      <c r="C290" s="26" t="s">
        <v>65</v>
      </c>
      <c r="D290" s="25">
        <v>2025</v>
      </c>
      <c r="E290" s="25" t="s">
        <v>604</v>
      </c>
      <c r="F290" s="25" t="s">
        <v>41</v>
      </c>
      <c r="G290" s="25" t="s">
        <v>611</v>
      </c>
      <c r="H290" s="25" t="s">
        <v>622</v>
      </c>
      <c r="I290" s="25" t="s">
        <v>630</v>
      </c>
      <c r="J290" s="25" t="s">
        <v>615</v>
      </c>
      <c r="K290" s="25">
        <v>2</v>
      </c>
      <c r="L290" s="25">
        <v>1200</v>
      </c>
      <c r="M290" s="25">
        <v>2400</v>
      </c>
      <c r="N290" s="25">
        <v>1872</v>
      </c>
      <c r="O290" s="25">
        <v>528</v>
      </c>
      <c r="P290" s="32">
        <v>0.22</v>
      </c>
    </row>
    <row r="291" spans="1:16" x14ac:dyDescent="0.25">
      <c r="A291" s="28" t="s">
        <v>344</v>
      </c>
      <c r="B291" s="24">
        <v>45700</v>
      </c>
      <c r="C291" s="24" t="s">
        <v>55</v>
      </c>
      <c r="D291" s="23">
        <v>2025</v>
      </c>
      <c r="E291" s="23" t="s">
        <v>603</v>
      </c>
      <c r="F291" s="23" t="s">
        <v>42</v>
      </c>
      <c r="G291" s="23" t="s">
        <v>611</v>
      </c>
      <c r="H291" s="23" t="s">
        <v>613</v>
      </c>
      <c r="I291" s="23" t="s">
        <v>631</v>
      </c>
      <c r="J291" s="23" t="s">
        <v>615</v>
      </c>
      <c r="K291" s="23">
        <v>6</v>
      </c>
      <c r="L291" s="23">
        <v>12000</v>
      </c>
      <c r="M291" s="23">
        <v>72000</v>
      </c>
      <c r="N291" s="23">
        <v>64080</v>
      </c>
      <c r="O291" s="23">
        <v>7920</v>
      </c>
      <c r="P291" s="31">
        <v>0.11</v>
      </c>
    </row>
    <row r="292" spans="1:16" x14ac:dyDescent="0.25">
      <c r="A292" s="29" t="s">
        <v>345</v>
      </c>
      <c r="B292" s="26">
        <v>45936</v>
      </c>
      <c r="C292" s="26" t="s">
        <v>65</v>
      </c>
      <c r="D292" s="25">
        <v>2025</v>
      </c>
      <c r="E292" s="25" t="s">
        <v>604</v>
      </c>
      <c r="F292" s="25" t="s">
        <v>41</v>
      </c>
      <c r="G292" s="25" t="s">
        <v>611</v>
      </c>
      <c r="H292" s="25" t="s">
        <v>625</v>
      </c>
      <c r="I292" s="25" t="s">
        <v>623</v>
      </c>
      <c r="J292" s="25" t="s">
        <v>618</v>
      </c>
      <c r="K292" s="25">
        <v>1</v>
      </c>
      <c r="L292" s="25">
        <v>12000</v>
      </c>
      <c r="M292" s="25">
        <v>12000</v>
      </c>
      <c r="N292" s="25">
        <v>8040</v>
      </c>
      <c r="O292" s="25">
        <v>3960</v>
      </c>
      <c r="P292" s="32">
        <v>0.33</v>
      </c>
    </row>
    <row r="293" spans="1:16" x14ac:dyDescent="0.25">
      <c r="A293" s="28" t="s">
        <v>346</v>
      </c>
      <c r="B293" s="24">
        <v>45954</v>
      </c>
      <c r="C293" s="24" t="s">
        <v>65</v>
      </c>
      <c r="D293" s="23">
        <v>2025</v>
      </c>
      <c r="E293" s="23" t="s">
        <v>605</v>
      </c>
      <c r="F293" s="23" t="s">
        <v>40</v>
      </c>
      <c r="G293" s="23" t="s">
        <v>608</v>
      </c>
      <c r="H293" s="23" t="s">
        <v>624</v>
      </c>
      <c r="I293" s="23" t="s">
        <v>617</v>
      </c>
      <c r="J293" s="23" t="s">
        <v>618</v>
      </c>
      <c r="K293" s="23">
        <v>8</v>
      </c>
      <c r="L293" s="23">
        <v>7000</v>
      </c>
      <c r="M293" s="23">
        <v>56000</v>
      </c>
      <c r="N293" s="23">
        <v>49280</v>
      </c>
      <c r="O293" s="23">
        <v>6720</v>
      </c>
      <c r="P293" s="31">
        <v>0.12</v>
      </c>
    </row>
    <row r="294" spans="1:16" x14ac:dyDescent="0.25">
      <c r="A294" s="29" t="s">
        <v>347</v>
      </c>
      <c r="B294" s="26">
        <v>45982</v>
      </c>
      <c r="C294" s="26" t="s">
        <v>48</v>
      </c>
      <c r="D294" s="25">
        <v>2025</v>
      </c>
      <c r="E294" s="25" t="s">
        <v>595</v>
      </c>
      <c r="F294" s="25" t="s">
        <v>39</v>
      </c>
      <c r="G294" s="25" t="s">
        <v>608</v>
      </c>
      <c r="H294" s="25" t="s">
        <v>622</v>
      </c>
      <c r="I294" s="25" t="s">
        <v>617</v>
      </c>
      <c r="J294" s="25" t="s">
        <v>618</v>
      </c>
      <c r="K294" s="25">
        <v>18</v>
      </c>
      <c r="L294" s="25">
        <v>300</v>
      </c>
      <c r="M294" s="25">
        <v>5400</v>
      </c>
      <c r="N294" s="25">
        <v>3888</v>
      </c>
      <c r="O294" s="25">
        <v>1512</v>
      </c>
      <c r="P294" s="32">
        <v>0.28000000000000003</v>
      </c>
    </row>
    <row r="295" spans="1:16" x14ac:dyDescent="0.25">
      <c r="A295" s="28" t="s">
        <v>348</v>
      </c>
      <c r="B295" s="24">
        <v>45660</v>
      </c>
      <c r="C295" s="24" t="s">
        <v>59</v>
      </c>
      <c r="D295" s="23">
        <v>2025</v>
      </c>
      <c r="E295" s="23" t="s">
        <v>604</v>
      </c>
      <c r="F295" s="23" t="s">
        <v>41</v>
      </c>
      <c r="G295" s="23" t="s">
        <v>611</v>
      </c>
      <c r="H295" s="23" t="s">
        <v>620</v>
      </c>
      <c r="I295" s="25" t="s">
        <v>645</v>
      </c>
      <c r="J295" s="23" t="s">
        <v>618</v>
      </c>
      <c r="K295" s="23">
        <v>18</v>
      </c>
      <c r="L295" s="23">
        <v>12000</v>
      </c>
      <c r="M295" s="23">
        <v>216000</v>
      </c>
      <c r="N295" s="23">
        <v>170640</v>
      </c>
      <c r="O295" s="23">
        <v>45360</v>
      </c>
      <c r="P295" s="31">
        <v>0.21</v>
      </c>
    </row>
    <row r="296" spans="1:16" x14ac:dyDescent="0.25">
      <c r="A296" s="29" t="s">
        <v>349</v>
      </c>
      <c r="B296" s="26">
        <v>45704</v>
      </c>
      <c r="C296" s="26" t="s">
        <v>55</v>
      </c>
      <c r="D296" s="25">
        <v>2025</v>
      </c>
      <c r="E296" s="25" t="s">
        <v>596</v>
      </c>
      <c r="F296" s="25" t="s">
        <v>39</v>
      </c>
      <c r="G296" s="25" t="s">
        <v>612</v>
      </c>
      <c r="H296" s="25" t="s">
        <v>620</v>
      </c>
      <c r="I296" s="25" t="s">
        <v>645</v>
      </c>
      <c r="J296" s="25" t="s">
        <v>615</v>
      </c>
      <c r="K296" s="25">
        <v>9</v>
      </c>
      <c r="L296" s="25">
        <v>50</v>
      </c>
      <c r="M296" s="25">
        <v>450</v>
      </c>
      <c r="N296" s="25">
        <v>279</v>
      </c>
      <c r="O296" s="25">
        <v>171</v>
      </c>
      <c r="P296" s="32">
        <v>0.38</v>
      </c>
    </row>
    <row r="297" spans="1:16" x14ac:dyDescent="0.25">
      <c r="A297" s="28" t="s">
        <v>350</v>
      </c>
      <c r="B297" s="24">
        <v>45780</v>
      </c>
      <c r="C297" s="24" t="s">
        <v>57</v>
      </c>
      <c r="D297" s="23">
        <v>2025</v>
      </c>
      <c r="E297" s="23" t="s">
        <v>594</v>
      </c>
      <c r="F297" s="23" t="s">
        <v>39</v>
      </c>
      <c r="G297" s="23" t="s">
        <v>609</v>
      </c>
      <c r="H297" s="23" t="s">
        <v>624</v>
      </c>
      <c r="I297" s="23" t="s">
        <v>617</v>
      </c>
      <c r="J297" s="23" t="s">
        <v>618</v>
      </c>
      <c r="K297" s="23">
        <v>13</v>
      </c>
      <c r="L297" s="23">
        <v>8000</v>
      </c>
      <c r="M297" s="23">
        <v>104000</v>
      </c>
      <c r="N297" s="23">
        <v>82160</v>
      </c>
      <c r="O297" s="23">
        <v>21840</v>
      </c>
      <c r="P297" s="31">
        <v>0.21</v>
      </c>
    </row>
    <row r="298" spans="1:16" x14ac:dyDescent="0.25">
      <c r="A298" s="29" t="s">
        <v>351</v>
      </c>
      <c r="B298" s="26">
        <v>45761</v>
      </c>
      <c r="C298" s="26" t="s">
        <v>62</v>
      </c>
      <c r="D298" s="25">
        <v>2025</v>
      </c>
      <c r="E298" s="25" t="s">
        <v>602</v>
      </c>
      <c r="F298" s="25" t="s">
        <v>42</v>
      </c>
      <c r="G298" s="25" t="s">
        <v>608</v>
      </c>
      <c r="H298" s="25" t="s">
        <v>628</v>
      </c>
      <c r="I298" s="25" t="s">
        <v>623</v>
      </c>
      <c r="J298" s="25" t="s">
        <v>618</v>
      </c>
      <c r="K298" s="25">
        <v>2</v>
      </c>
      <c r="L298" s="25">
        <v>700</v>
      </c>
      <c r="M298" s="25">
        <v>1400</v>
      </c>
      <c r="N298" s="25">
        <v>1120</v>
      </c>
      <c r="O298" s="25">
        <v>280</v>
      </c>
      <c r="P298" s="32">
        <v>0.2</v>
      </c>
    </row>
    <row r="299" spans="1:16" x14ac:dyDescent="0.25">
      <c r="A299" s="28" t="s">
        <v>352</v>
      </c>
      <c r="B299" s="24">
        <v>45814</v>
      </c>
      <c r="C299" s="24" t="s">
        <v>44</v>
      </c>
      <c r="D299" s="23">
        <v>2025</v>
      </c>
      <c r="E299" s="23" t="s">
        <v>593</v>
      </c>
      <c r="F299" s="23" t="s">
        <v>41</v>
      </c>
      <c r="G299" s="23" t="s">
        <v>610</v>
      </c>
      <c r="H299" s="23" t="s">
        <v>613</v>
      </c>
      <c r="I299" s="23" t="s">
        <v>623</v>
      </c>
      <c r="J299" s="23" t="s">
        <v>618</v>
      </c>
      <c r="K299" s="23">
        <v>17</v>
      </c>
      <c r="L299" s="23">
        <v>4000</v>
      </c>
      <c r="M299" s="23">
        <v>68000</v>
      </c>
      <c r="N299" s="23">
        <v>58480</v>
      </c>
      <c r="O299" s="23">
        <v>9520</v>
      </c>
      <c r="P299" s="31">
        <v>0.14000000000000001</v>
      </c>
    </row>
    <row r="300" spans="1:16" x14ac:dyDescent="0.25">
      <c r="A300" s="29" t="s">
        <v>353</v>
      </c>
      <c r="B300" s="26">
        <v>45970</v>
      </c>
      <c r="C300" s="26" t="s">
        <v>48</v>
      </c>
      <c r="D300" s="25">
        <v>2025</v>
      </c>
      <c r="E300" s="25" t="s">
        <v>601</v>
      </c>
      <c r="F300" s="25" t="s">
        <v>41</v>
      </c>
      <c r="G300" s="25" t="s">
        <v>608</v>
      </c>
      <c r="H300" s="25" t="s">
        <v>616</v>
      </c>
      <c r="I300" s="25" t="s">
        <v>645</v>
      </c>
      <c r="J300" s="25" t="s">
        <v>615</v>
      </c>
      <c r="K300" s="25">
        <v>3</v>
      </c>
      <c r="L300" s="25">
        <v>45000</v>
      </c>
      <c r="M300" s="25">
        <v>135000</v>
      </c>
      <c r="N300" s="25">
        <v>93150</v>
      </c>
      <c r="O300" s="25">
        <v>41850</v>
      </c>
      <c r="P300" s="32">
        <v>0.31</v>
      </c>
    </row>
    <row r="301" spans="1:16" x14ac:dyDescent="0.25">
      <c r="A301" s="28" t="s">
        <v>354</v>
      </c>
      <c r="B301" s="24">
        <v>45843</v>
      </c>
      <c r="C301" s="24" t="s">
        <v>83</v>
      </c>
      <c r="D301" s="23">
        <v>2025</v>
      </c>
      <c r="E301" s="23" t="s">
        <v>594</v>
      </c>
      <c r="F301" s="23" t="s">
        <v>39</v>
      </c>
      <c r="G301" s="23" t="s">
        <v>610</v>
      </c>
      <c r="H301" s="23" t="s">
        <v>628</v>
      </c>
      <c r="I301" s="23" t="s">
        <v>631</v>
      </c>
      <c r="J301" s="23" t="s">
        <v>618</v>
      </c>
      <c r="K301" s="23">
        <v>3</v>
      </c>
      <c r="L301" s="23">
        <v>4000</v>
      </c>
      <c r="M301" s="23">
        <v>12000</v>
      </c>
      <c r="N301" s="23">
        <v>7320</v>
      </c>
      <c r="O301" s="23">
        <v>4680</v>
      </c>
      <c r="P301" s="31">
        <v>0.39</v>
      </c>
    </row>
    <row r="302" spans="1:16" x14ac:dyDescent="0.25">
      <c r="A302" s="29" t="s">
        <v>355</v>
      </c>
      <c r="B302" s="26">
        <v>45773</v>
      </c>
      <c r="C302" s="26" t="s">
        <v>62</v>
      </c>
      <c r="D302" s="25">
        <v>2025</v>
      </c>
      <c r="E302" s="25" t="s">
        <v>596</v>
      </c>
      <c r="F302" s="25" t="s">
        <v>39</v>
      </c>
      <c r="G302" s="25" t="s">
        <v>608</v>
      </c>
      <c r="H302" s="25" t="s">
        <v>616</v>
      </c>
      <c r="I302" s="25" t="s">
        <v>623</v>
      </c>
      <c r="J302" s="25" t="s">
        <v>618</v>
      </c>
      <c r="K302" s="25">
        <v>15</v>
      </c>
      <c r="L302" s="25">
        <v>20</v>
      </c>
      <c r="M302" s="25">
        <v>300</v>
      </c>
      <c r="N302" s="25">
        <v>204</v>
      </c>
      <c r="O302" s="25">
        <v>96</v>
      </c>
      <c r="P302" s="32">
        <v>0.32</v>
      </c>
    </row>
    <row r="303" spans="1:16" x14ac:dyDescent="0.25">
      <c r="A303" s="28" t="s">
        <v>356</v>
      </c>
      <c r="B303" s="24">
        <v>45833</v>
      </c>
      <c r="C303" s="24" t="s">
        <v>44</v>
      </c>
      <c r="D303" s="23">
        <v>2025</v>
      </c>
      <c r="E303" s="23" t="s">
        <v>596</v>
      </c>
      <c r="F303" s="23" t="s">
        <v>39</v>
      </c>
      <c r="G303" s="23" t="s">
        <v>611</v>
      </c>
      <c r="H303" s="23" t="s">
        <v>621</v>
      </c>
      <c r="I303" s="23" t="s">
        <v>630</v>
      </c>
      <c r="J303" s="23" t="s">
        <v>615</v>
      </c>
      <c r="K303" s="23">
        <v>13</v>
      </c>
      <c r="L303" s="23">
        <v>55000</v>
      </c>
      <c r="M303" s="23">
        <v>715000</v>
      </c>
      <c r="N303" s="23">
        <v>643500</v>
      </c>
      <c r="O303" s="23">
        <v>71500</v>
      </c>
      <c r="P303" s="31">
        <v>0.1</v>
      </c>
    </row>
    <row r="304" spans="1:16" x14ac:dyDescent="0.25">
      <c r="A304" s="29" t="s">
        <v>357</v>
      </c>
      <c r="B304" s="26">
        <v>45864</v>
      </c>
      <c r="C304" s="26" t="s">
        <v>83</v>
      </c>
      <c r="D304" s="25">
        <v>2025</v>
      </c>
      <c r="E304" s="25" t="s">
        <v>603</v>
      </c>
      <c r="F304" s="25" t="s">
        <v>42</v>
      </c>
      <c r="G304" s="25" t="s">
        <v>612</v>
      </c>
      <c r="H304" s="25" t="s">
        <v>626</v>
      </c>
      <c r="I304" s="25" t="s">
        <v>631</v>
      </c>
      <c r="J304" s="25" t="s">
        <v>615</v>
      </c>
      <c r="K304" s="25">
        <v>13</v>
      </c>
      <c r="L304" s="25">
        <v>15000</v>
      </c>
      <c r="M304" s="25">
        <v>195000</v>
      </c>
      <c r="N304" s="25">
        <v>152100</v>
      </c>
      <c r="O304" s="25">
        <v>42900</v>
      </c>
      <c r="P304" s="32">
        <v>0.22</v>
      </c>
    </row>
    <row r="305" spans="1:16" x14ac:dyDescent="0.25">
      <c r="A305" s="28" t="s">
        <v>358</v>
      </c>
      <c r="B305" s="24">
        <v>45684</v>
      </c>
      <c r="C305" s="24" t="s">
        <v>59</v>
      </c>
      <c r="D305" s="23">
        <v>2025</v>
      </c>
      <c r="E305" s="23" t="s">
        <v>595</v>
      </c>
      <c r="F305" s="23" t="s">
        <v>39</v>
      </c>
      <c r="G305" s="23" t="s">
        <v>609</v>
      </c>
      <c r="H305" s="23" t="s">
        <v>621</v>
      </c>
      <c r="I305" s="23" t="s">
        <v>627</v>
      </c>
      <c r="J305" s="23" t="s">
        <v>615</v>
      </c>
      <c r="K305" s="23">
        <v>9</v>
      </c>
      <c r="L305" s="23">
        <v>4000</v>
      </c>
      <c r="M305" s="23">
        <v>36000</v>
      </c>
      <c r="N305" s="23">
        <v>30240</v>
      </c>
      <c r="O305" s="23">
        <v>5760</v>
      </c>
      <c r="P305" s="31">
        <v>0.16</v>
      </c>
    </row>
    <row r="306" spans="1:16" x14ac:dyDescent="0.25">
      <c r="A306" s="29" t="s">
        <v>359</v>
      </c>
      <c r="B306" s="26">
        <v>45923</v>
      </c>
      <c r="C306" s="26" t="s">
        <v>53</v>
      </c>
      <c r="D306" s="25">
        <v>2025</v>
      </c>
      <c r="E306" s="25" t="s">
        <v>597</v>
      </c>
      <c r="F306" s="25" t="s">
        <v>41</v>
      </c>
      <c r="G306" s="25" t="s">
        <v>608</v>
      </c>
      <c r="H306" s="25" t="s">
        <v>629</v>
      </c>
      <c r="I306" s="25" t="s">
        <v>619</v>
      </c>
      <c r="J306" s="25" t="s">
        <v>618</v>
      </c>
      <c r="K306" s="25">
        <v>8</v>
      </c>
      <c r="L306" s="25">
        <v>300</v>
      </c>
      <c r="M306" s="25">
        <v>2400</v>
      </c>
      <c r="N306" s="25">
        <v>2136</v>
      </c>
      <c r="O306" s="25">
        <v>264</v>
      </c>
      <c r="P306" s="32">
        <v>0.11</v>
      </c>
    </row>
    <row r="307" spans="1:16" x14ac:dyDescent="0.25">
      <c r="A307" s="28" t="s">
        <v>360</v>
      </c>
      <c r="B307" s="24">
        <v>45750</v>
      </c>
      <c r="C307" s="24" t="s">
        <v>62</v>
      </c>
      <c r="D307" s="23">
        <v>2025</v>
      </c>
      <c r="E307" s="23" t="s">
        <v>601</v>
      </c>
      <c r="F307" s="23" t="s">
        <v>41</v>
      </c>
      <c r="G307" s="23" t="s">
        <v>612</v>
      </c>
      <c r="H307" s="23" t="s">
        <v>624</v>
      </c>
      <c r="I307" s="23" t="s">
        <v>630</v>
      </c>
      <c r="J307" s="23" t="s">
        <v>618</v>
      </c>
      <c r="K307" s="23">
        <v>10</v>
      </c>
      <c r="L307" s="23">
        <v>150</v>
      </c>
      <c r="M307" s="23">
        <v>1500</v>
      </c>
      <c r="N307" s="23">
        <v>1005</v>
      </c>
      <c r="O307" s="23">
        <v>495</v>
      </c>
      <c r="P307" s="31">
        <v>0.33</v>
      </c>
    </row>
    <row r="308" spans="1:16" x14ac:dyDescent="0.25">
      <c r="A308" s="29" t="s">
        <v>361</v>
      </c>
      <c r="B308" s="26">
        <v>45714</v>
      </c>
      <c r="C308" s="26" t="s">
        <v>55</v>
      </c>
      <c r="D308" s="25">
        <v>2025</v>
      </c>
      <c r="E308" s="25" t="s">
        <v>602</v>
      </c>
      <c r="F308" s="25" t="s">
        <v>42</v>
      </c>
      <c r="G308" s="25" t="s">
        <v>608</v>
      </c>
      <c r="H308" s="25" t="s">
        <v>621</v>
      </c>
      <c r="I308" s="25" t="s">
        <v>645</v>
      </c>
      <c r="J308" s="25" t="s">
        <v>615</v>
      </c>
      <c r="K308" s="25">
        <v>11</v>
      </c>
      <c r="L308" s="25">
        <v>45000</v>
      </c>
      <c r="M308" s="25">
        <v>495000</v>
      </c>
      <c r="N308" s="25">
        <v>381150</v>
      </c>
      <c r="O308" s="25">
        <v>113850</v>
      </c>
      <c r="P308" s="32">
        <v>0.23</v>
      </c>
    </row>
    <row r="309" spans="1:16" x14ac:dyDescent="0.25">
      <c r="A309" s="28" t="s">
        <v>362</v>
      </c>
      <c r="B309" s="24">
        <v>45780</v>
      </c>
      <c r="C309" s="24" t="s">
        <v>57</v>
      </c>
      <c r="D309" s="23">
        <v>2025</v>
      </c>
      <c r="E309" s="23" t="s">
        <v>595</v>
      </c>
      <c r="F309" s="23" t="s">
        <v>39</v>
      </c>
      <c r="G309" s="23" t="s">
        <v>608</v>
      </c>
      <c r="H309" s="23" t="s">
        <v>626</v>
      </c>
      <c r="I309" s="25" t="s">
        <v>645</v>
      </c>
      <c r="J309" s="23" t="s">
        <v>618</v>
      </c>
      <c r="K309" s="23">
        <v>9</v>
      </c>
      <c r="L309" s="23">
        <v>12000</v>
      </c>
      <c r="M309" s="23">
        <v>108000</v>
      </c>
      <c r="N309" s="23">
        <v>78840</v>
      </c>
      <c r="O309" s="23">
        <v>29160</v>
      </c>
      <c r="P309" s="31">
        <v>0.27</v>
      </c>
    </row>
    <row r="310" spans="1:16" x14ac:dyDescent="0.25">
      <c r="A310" s="29" t="s">
        <v>363</v>
      </c>
      <c r="B310" s="26">
        <v>45897</v>
      </c>
      <c r="C310" s="26" t="s">
        <v>50</v>
      </c>
      <c r="D310" s="25">
        <v>2025</v>
      </c>
      <c r="E310" s="25" t="s">
        <v>601</v>
      </c>
      <c r="F310" s="25" t="s">
        <v>41</v>
      </c>
      <c r="G310" s="25" t="s">
        <v>612</v>
      </c>
      <c r="H310" s="25" t="s">
        <v>613</v>
      </c>
      <c r="I310" s="25" t="s">
        <v>645</v>
      </c>
      <c r="J310" s="25" t="s">
        <v>618</v>
      </c>
      <c r="K310" s="25">
        <v>6</v>
      </c>
      <c r="L310" s="25">
        <v>1200</v>
      </c>
      <c r="M310" s="25">
        <v>7200</v>
      </c>
      <c r="N310" s="25">
        <v>6264</v>
      </c>
      <c r="O310" s="25">
        <v>936</v>
      </c>
      <c r="P310" s="32">
        <v>0.13</v>
      </c>
    </row>
    <row r="311" spans="1:16" x14ac:dyDescent="0.25">
      <c r="A311" s="28" t="s">
        <v>364</v>
      </c>
      <c r="B311" s="24">
        <v>45667</v>
      </c>
      <c r="C311" s="24" t="s">
        <v>59</v>
      </c>
      <c r="D311" s="23">
        <v>2025</v>
      </c>
      <c r="E311" s="23" t="s">
        <v>607</v>
      </c>
      <c r="F311" s="23" t="s">
        <v>42</v>
      </c>
      <c r="G311" s="23" t="s">
        <v>612</v>
      </c>
      <c r="H311" s="23" t="s">
        <v>616</v>
      </c>
      <c r="I311" s="23" t="s">
        <v>630</v>
      </c>
      <c r="J311" s="23" t="s">
        <v>618</v>
      </c>
      <c r="K311" s="23">
        <v>8</v>
      </c>
      <c r="L311" s="23">
        <v>12000</v>
      </c>
      <c r="M311" s="23">
        <v>96000</v>
      </c>
      <c r="N311" s="23">
        <v>78720</v>
      </c>
      <c r="O311" s="23">
        <v>17280</v>
      </c>
      <c r="P311" s="31">
        <v>0.18</v>
      </c>
    </row>
    <row r="312" spans="1:16" x14ac:dyDescent="0.25">
      <c r="A312" s="29" t="s">
        <v>365</v>
      </c>
      <c r="B312" s="26">
        <v>45716</v>
      </c>
      <c r="C312" s="26" t="s">
        <v>55</v>
      </c>
      <c r="D312" s="25">
        <v>2025</v>
      </c>
      <c r="E312" s="25" t="s">
        <v>604</v>
      </c>
      <c r="F312" s="25" t="s">
        <v>41</v>
      </c>
      <c r="G312" s="25" t="s">
        <v>610</v>
      </c>
      <c r="H312" s="25" t="s">
        <v>626</v>
      </c>
      <c r="I312" s="25" t="s">
        <v>630</v>
      </c>
      <c r="J312" s="25" t="s">
        <v>615</v>
      </c>
      <c r="K312" s="25">
        <v>2</v>
      </c>
      <c r="L312" s="25">
        <v>4000</v>
      </c>
      <c r="M312" s="25">
        <v>8000</v>
      </c>
      <c r="N312" s="25">
        <v>5040</v>
      </c>
      <c r="O312" s="25">
        <v>2960</v>
      </c>
      <c r="P312" s="32">
        <v>0.37</v>
      </c>
    </row>
    <row r="313" spans="1:16" x14ac:dyDescent="0.25">
      <c r="A313" s="28" t="s">
        <v>366</v>
      </c>
      <c r="B313" s="24">
        <v>46004</v>
      </c>
      <c r="C313" s="24" t="s">
        <v>80</v>
      </c>
      <c r="D313" s="23">
        <v>2025</v>
      </c>
      <c r="E313" s="23" t="s">
        <v>601</v>
      </c>
      <c r="F313" s="23" t="s">
        <v>41</v>
      </c>
      <c r="G313" s="23" t="s">
        <v>612</v>
      </c>
      <c r="H313" s="23" t="s">
        <v>626</v>
      </c>
      <c r="I313" s="23" t="s">
        <v>614</v>
      </c>
      <c r="J313" s="23" t="s">
        <v>618</v>
      </c>
      <c r="K313" s="23">
        <v>17</v>
      </c>
      <c r="L313" s="23">
        <v>20</v>
      </c>
      <c r="M313" s="23">
        <v>340</v>
      </c>
      <c r="N313" s="23">
        <v>272</v>
      </c>
      <c r="O313" s="23">
        <v>68</v>
      </c>
      <c r="P313" s="31">
        <v>0.2</v>
      </c>
    </row>
    <row r="314" spans="1:16" x14ac:dyDescent="0.25">
      <c r="A314" s="29" t="s">
        <v>367</v>
      </c>
      <c r="B314" s="26">
        <v>45936</v>
      </c>
      <c r="C314" s="26" t="s">
        <v>65</v>
      </c>
      <c r="D314" s="25">
        <v>2025</v>
      </c>
      <c r="E314" s="25" t="s">
        <v>605</v>
      </c>
      <c r="F314" s="25" t="s">
        <v>40</v>
      </c>
      <c r="G314" s="25" t="s">
        <v>610</v>
      </c>
      <c r="H314" s="25" t="s">
        <v>622</v>
      </c>
      <c r="I314" s="25" t="s">
        <v>623</v>
      </c>
      <c r="J314" s="25" t="s">
        <v>615</v>
      </c>
      <c r="K314" s="25">
        <v>5</v>
      </c>
      <c r="L314" s="25">
        <v>50</v>
      </c>
      <c r="M314" s="25">
        <v>250</v>
      </c>
      <c r="N314" s="25">
        <v>182.5</v>
      </c>
      <c r="O314" s="25">
        <v>67.5</v>
      </c>
      <c r="P314" s="32">
        <v>0.27</v>
      </c>
    </row>
    <row r="315" spans="1:16" x14ac:dyDescent="0.25">
      <c r="A315" s="28" t="s">
        <v>368</v>
      </c>
      <c r="B315" s="24">
        <v>45955</v>
      </c>
      <c r="C315" s="24" t="s">
        <v>65</v>
      </c>
      <c r="D315" s="23">
        <v>2025</v>
      </c>
      <c r="E315" s="23" t="s">
        <v>598</v>
      </c>
      <c r="F315" s="23" t="s">
        <v>40</v>
      </c>
      <c r="G315" s="23" t="s">
        <v>611</v>
      </c>
      <c r="H315" s="23" t="s">
        <v>629</v>
      </c>
      <c r="I315" s="23" t="s">
        <v>614</v>
      </c>
      <c r="J315" s="23" t="s">
        <v>615</v>
      </c>
      <c r="K315" s="23">
        <v>9</v>
      </c>
      <c r="L315" s="23">
        <v>1200</v>
      </c>
      <c r="M315" s="23">
        <v>10800</v>
      </c>
      <c r="N315" s="23">
        <v>9504</v>
      </c>
      <c r="O315" s="23">
        <v>1296</v>
      </c>
      <c r="P315" s="31">
        <v>0.12</v>
      </c>
    </row>
    <row r="316" spans="1:16" x14ac:dyDescent="0.25">
      <c r="A316" s="29" t="s">
        <v>369</v>
      </c>
      <c r="B316" s="26">
        <v>45906</v>
      </c>
      <c r="C316" s="26" t="s">
        <v>53</v>
      </c>
      <c r="D316" s="25">
        <v>2025</v>
      </c>
      <c r="E316" s="25" t="s">
        <v>607</v>
      </c>
      <c r="F316" s="25" t="s">
        <v>42</v>
      </c>
      <c r="G316" s="25" t="s">
        <v>609</v>
      </c>
      <c r="H316" s="25" t="s">
        <v>626</v>
      </c>
      <c r="I316" s="25" t="s">
        <v>631</v>
      </c>
      <c r="J316" s="25" t="s">
        <v>618</v>
      </c>
      <c r="K316" s="25">
        <v>11</v>
      </c>
      <c r="L316" s="25">
        <v>8000</v>
      </c>
      <c r="M316" s="25">
        <v>88000</v>
      </c>
      <c r="N316" s="25">
        <v>62480</v>
      </c>
      <c r="O316" s="25">
        <v>25520</v>
      </c>
      <c r="P316" s="32">
        <v>0.28999999999999998</v>
      </c>
    </row>
    <row r="317" spans="1:16" x14ac:dyDescent="0.25">
      <c r="A317" s="28" t="s">
        <v>370</v>
      </c>
      <c r="B317" s="24">
        <v>45815</v>
      </c>
      <c r="C317" s="24" t="s">
        <v>44</v>
      </c>
      <c r="D317" s="23">
        <v>2025</v>
      </c>
      <c r="E317" s="23" t="s">
        <v>593</v>
      </c>
      <c r="F317" s="23" t="s">
        <v>41</v>
      </c>
      <c r="G317" s="23" t="s">
        <v>611</v>
      </c>
      <c r="H317" s="23" t="s">
        <v>626</v>
      </c>
      <c r="I317" s="23" t="s">
        <v>631</v>
      </c>
      <c r="J317" s="23" t="s">
        <v>618</v>
      </c>
      <c r="K317" s="23">
        <v>1</v>
      </c>
      <c r="L317" s="23">
        <v>15000</v>
      </c>
      <c r="M317" s="23">
        <v>15000</v>
      </c>
      <c r="N317" s="23">
        <v>9450</v>
      </c>
      <c r="O317" s="23">
        <v>5550</v>
      </c>
      <c r="P317" s="31">
        <v>0.37</v>
      </c>
    </row>
    <row r="318" spans="1:16" x14ac:dyDescent="0.25">
      <c r="A318" s="29" t="s">
        <v>371</v>
      </c>
      <c r="B318" s="26">
        <v>45927</v>
      </c>
      <c r="C318" s="26" t="s">
        <v>53</v>
      </c>
      <c r="D318" s="25">
        <v>2025</v>
      </c>
      <c r="E318" s="25" t="s">
        <v>600</v>
      </c>
      <c r="F318" s="25" t="s">
        <v>39</v>
      </c>
      <c r="G318" s="25" t="s">
        <v>608</v>
      </c>
      <c r="H318" s="25" t="s">
        <v>621</v>
      </c>
      <c r="I318" s="25" t="s">
        <v>631</v>
      </c>
      <c r="J318" s="25" t="s">
        <v>618</v>
      </c>
      <c r="K318" s="25">
        <v>9</v>
      </c>
      <c r="L318" s="25">
        <v>45000</v>
      </c>
      <c r="M318" s="25">
        <v>405000</v>
      </c>
      <c r="N318" s="25">
        <v>259200</v>
      </c>
      <c r="O318" s="25">
        <v>145800</v>
      </c>
      <c r="P318" s="32">
        <v>0.36</v>
      </c>
    </row>
    <row r="319" spans="1:16" x14ac:dyDescent="0.25">
      <c r="A319" s="28" t="s">
        <v>372</v>
      </c>
      <c r="B319" s="24">
        <v>45926</v>
      </c>
      <c r="C319" s="24" t="s">
        <v>53</v>
      </c>
      <c r="D319" s="23">
        <v>2025</v>
      </c>
      <c r="E319" s="23" t="s">
        <v>595</v>
      </c>
      <c r="F319" s="23" t="s">
        <v>39</v>
      </c>
      <c r="G319" s="23" t="s">
        <v>608</v>
      </c>
      <c r="H319" s="23" t="s">
        <v>621</v>
      </c>
      <c r="I319" s="23" t="s">
        <v>619</v>
      </c>
      <c r="J319" s="23" t="s">
        <v>615</v>
      </c>
      <c r="K319" s="23">
        <v>2</v>
      </c>
      <c r="L319" s="23">
        <v>8000</v>
      </c>
      <c r="M319" s="23">
        <v>16000</v>
      </c>
      <c r="N319" s="23">
        <v>10240</v>
      </c>
      <c r="O319" s="23">
        <v>5760</v>
      </c>
      <c r="P319" s="31">
        <v>0.36</v>
      </c>
    </row>
    <row r="320" spans="1:16" x14ac:dyDescent="0.25">
      <c r="A320" s="29" t="s">
        <v>373</v>
      </c>
      <c r="B320" s="26">
        <v>45831</v>
      </c>
      <c r="C320" s="26" t="s">
        <v>44</v>
      </c>
      <c r="D320" s="25">
        <v>2025</v>
      </c>
      <c r="E320" s="25" t="s">
        <v>601</v>
      </c>
      <c r="F320" s="25" t="s">
        <v>41</v>
      </c>
      <c r="G320" s="25" t="s">
        <v>608</v>
      </c>
      <c r="H320" s="25" t="s">
        <v>620</v>
      </c>
      <c r="I320" s="25" t="s">
        <v>623</v>
      </c>
      <c r="J320" s="25" t="s">
        <v>618</v>
      </c>
      <c r="K320" s="25">
        <v>1</v>
      </c>
      <c r="L320" s="25">
        <v>3500</v>
      </c>
      <c r="M320" s="25">
        <v>3500</v>
      </c>
      <c r="N320" s="25">
        <v>2450</v>
      </c>
      <c r="O320" s="25">
        <v>1050</v>
      </c>
      <c r="P320" s="32">
        <v>0.3</v>
      </c>
    </row>
    <row r="321" spans="1:16" x14ac:dyDescent="0.25">
      <c r="A321" s="28" t="s">
        <v>374</v>
      </c>
      <c r="B321" s="24">
        <v>45756</v>
      </c>
      <c r="C321" s="24" t="s">
        <v>62</v>
      </c>
      <c r="D321" s="23">
        <v>2025</v>
      </c>
      <c r="E321" s="23" t="s">
        <v>606</v>
      </c>
      <c r="F321" s="23" t="s">
        <v>40</v>
      </c>
      <c r="G321" s="23" t="s">
        <v>611</v>
      </c>
      <c r="H321" s="23" t="s">
        <v>620</v>
      </c>
      <c r="I321" s="23" t="s">
        <v>619</v>
      </c>
      <c r="J321" s="23" t="s">
        <v>615</v>
      </c>
      <c r="K321" s="23">
        <v>8</v>
      </c>
      <c r="L321" s="23">
        <v>1200</v>
      </c>
      <c r="M321" s="23">
        <v>9600</v>
      </c>
      <c r="N321" s="23">
        <v>5952</v>
      </c>
      <c r="O321" s="23">
        <v>3648</v>
      </c>
      <c r="P321" s="31">
        <v>0.38</v>
      </c>
    </row>
    <row r="322" spans="1:16" x14ac:dyDescent="0.25">
      <c r="A322" s="29" t="s">
        <v>375</v>
      </c>
      <c r="B322" s="26">
        <v>45916</v>
      </c>
      <c r="C322" s="26" t="s">
        <v>53</v>
      </c>
      <c r="D322" s="25">
        <v>2025</v>
      </c>
      <c r="E322" s="25" t="s">
        <v>600</v>
      </c>
      <c r="F322" s="25" t="s">
        <v>39</v>
      </c>
      <c r="G322" s="25" t="s">
        <v>610</v>
      </c>
      <c r="H322" s="25" t="s">
        <v>622</v>
      </c>
      <c r="I322" s="25" t="s">
        <v>630</v>
      </c>
      <c r="J322" s="25" t="s">
        <v>618</v>
      </c>
      <c r="K322" s="25">
        <v>13</v>
      </c>
      <c r="L322" s="25">
        <v>20</v>
      </c>
      <c r="M322" s="25">
        <v>260</v>
      </c>
      <c r="N322" s="25">
        <v>179.4</v>
      </c>
      <c r="O322" s="25">
        <v>80.599999999999994</v>
      </c>
      <c r="P322" s="32">
        <v>0.31</v>
      </c>
    </row>
    <row r="323" spans="1:16" x14ac:dyDescent="0.25">
      <c r="A323" s="28" t="s">
        <v>376</v>
      </c>
      <c r="B323" s="24">
        <v>45872</v>
      </c>
      <c r="C323" s="24" t="s">
        <v>50</v>
      </c>
      <c r="D323" s="23">
        <v>2025</v>
      </c>
      <c r="E323" s="23" t="s">
        <v>605</v>
      </c>
      <c r="F323" s="23" t="s">
        <v>40</v>
      </c>
      <c r="G323" s="23" t="s">
        <v>609</v>
      </c>
      <c r="H323" s="23" t="s">
        <v>616</v>
      </c>
      <c r="I323" s="23" t="s">
        <v>619</v>
      </c>
      <c r="J323" s="23" t="s">
        <v>618</v>
      </c>
      <c r="K323" s="23">
        <v>12</v>
      </c>
      <c r="L323" s="23">
        <v>12000</v>
      </c>
      <c r="M323" s="23">
        <v>144000</v>
      </c>
      <c r="N323" s="23">
        <v>106560</v>
      </c>
      <c r="O323" s="23">
        <v>37440</v>
      </c>
      <c r="P323" s="31">
        <v>0.26</v>
      </c>
    </row>
    <row r="324" spans="1:16" x14ac:dyDescent="0.25">
      <c r="A324" s="29" t="s">
        <v>377</v>
      </c>
      <c r="B324" s="26">
        <v>45682</v>
      </c>
      <c r="C324" s="26" t="s">
        <v>59</v>
      </c>
      <c r="D324" s="25">
        <v>2025</v>
      </c>
      <c r="E324" s="25" t="s">
        <v>603</v>
      </c>
      <c r="F324" s="25" t="s">
        <v>42</v>
      </c>
      <c r="G324" s="25" t="s">
        <v>608</v>
      </c>
      <c r="H324" s="25" t="s">
        <v>622</v>
      </c>
      <c r="I324" s="25" t="s">
        <v>617</v>
      </c>
      <c r="J324" s="25" t="s">
        <v>615</v>
      </c>
      <c r="K324" s="25">
        <v>14</v>
      </c>
      <c r="L324" s="25">
        <v>700</v>
      </c>
      <c r="M324" s="25">
        <v>9800</v>
      </c>
      <c r="N324" s="25">
        <v>6076</v>
      </c>
      <c r="O324" s="25">
        <v>3724</v>
      </c>
      <c r="P324" s="32">
        <v>0.38</v>
      </c>
    </row>
    <row r="325" spans="1:16" x14ac:dyDescent="0.25">
      <c r="A325" s="28" t="s">
        <v>378</v>
      </c>
      <c r="B325" s="24">
        <v>46019</v>
      </c>
      <c r="C325" s="24" t="s">
        <v>80</v>
      </c>
      <c r="D325" s="23">
        <v>2025</v>
      </c>
      <c r="E325" s="23" t="s">
        <v>592</v>
      </c>
      <c r="F325" s="23" t="s">
        <v>40</v>
      </c>
      <c r="G325" s="23" t="s">
        <v>610</v>
      </c>
      <c r="H325" s="23" t="s">
        <v>626</v>
      </c>
      <c r="I325" s="25" t="s">
        <v>645</v>
      </c>
      <c r="J325" s="23" t="s">
        <v>618</v>
      </c>
      <c r="K325" s="23">
        <v>10</v>
      </c>
      <c r="L325" s="23">
        <v>50</v>
      </c>
      <c r="M325" s="23">
        <v>500</v>
      </c>
      <c r="N325" s="23">
        <v>360</v>
      </c>
      <c r="O325" s="23">
        <v>140</v>
      </c>
      <c r="P325" s="31">
        <v>0.28000000000000003</v>
      </c>
    </row>
    <row r="326" spans="1:16" x14ac:dyDescent="0.25">
      <c r="A326" s="29" t="s">
        <v>379</v>
      </c>
      <c r="B326" s="26">
        <v>46002</v>
      </c>
      <c r="C326" s="26" t="s">
        <v>80</v>
      </c>
      <c r="D326" s="25">
        <v>2025</v>
      </c>
      <c r="E326" s="25" t="s">
        <v>606</v>
      </c>
      <c r="F326" s="25" t="s">
        <v>40</v>
      </c>
      <c r="G326" s="25" t="s">
        <v>612</v>
      </c>
      <c r="H326" s="25" t="s">
        <v>624</v>
      </c>
      <c r="I326" s="25" t="s">
        <v>631</v>
      </c>
      <c r="J326" s="25" t="s">
        <v>615</v>
      </c>
      <c r="K326" s="25">
        <v>5</v>
      </c>
      <c r="L326" s="25">
        <v>50</v>
      </c>
      <c r="M326" s="25">
        <v>250</v>
      </c>
      <c r="N326" s="25">
        <v>187.5</v>
      </c>
      <c r="O326" s="25">
        <v>62.5</v>
      </c>
      <c r="P326" s="32">
        <v>0.25</v>
      </c>
    </row>
    <row r="327" spans="1:16" x14ac:dyDescent="0.25">
      <c r="A327" s="28" t="s">
        <v>380</v>
      </c>
      <c r="B327" s="24">
        <v>45804</v>
      </c>
      <c r="C327" s="24" t="s">
        <v>57</v>
      </c>
      <c r="D327" s="23">
        <v>2025</v>
      </c>
      <c r="E327" s="23" t="s">
        <v>603</v>
      </c>
      <c r="F327" s="23" t="s">
        <v>42</v>
      </c>
      <c r="G327" s="23" t="s">
        <v>612</v>
      </c>
      <c r="H327" s="23" t="s">
        <v>613</v>
      </c>
      <c r="I327" s="23" t="s">
        <v>627</v>
      </c>
      <c r="J327" s="23" t="s">
        <v>615</v>
      </c>
      <c r="K327" s="23">
        <v>12</v>
      </c>
      <c r="L327" s="23">
        <v>25000</v>
      </c>
      <c r="M327" s="23">
        <v>300000</v>
      </c>
      <c r="N327" s="23">
        <v>234000</v>
      </c>
      <c r="O327" s="23">
        <v>66000</v>
      </c>
      <c r="P327" s="31">
        <v>0.22</v>
      </c>
    </row>
    <row r="328" spans="1:16" x14ac:dyDescent="0.25">
      <c r="A328" s="29" t="s">
        <v>381</v>
      </c>
      <c r="B328" s="26">
        <v>45818</v>
      </c>
      <c r="C328" s="26" t="s">
        <v>44</v>
      </c>
      <c r="D328" s="25">
        <v>2025</v>
      </c>
      <c r="E328" s="25" t="s">
        <v>602</v>
      </c>
      <c r="F328" s="25" t="s">
        <v>42</v>
      </c>
      <c r="G328" s="25" t="s">
        <v>609</v>
      </c>
      <c r="H328" s="25" t="s">
        <v>621</v>
      </c>
      <c r="I328" s="25" t="s">
        <v>619</v>
      </c>
      <c r="J328" s="25" t="s">
        <v>615</v>
      </c>
      <c r="K328" s="25">
        <v>11</v>
      </c>
      <c r="L328" s="25">
        <v>150</v>
      </c>
      <c r="M328" s="25">
        <v>1650</v>
      </c>
      <c r="N328" s="25">
        <v>1122</v>
      </c>
      <c r="O328" s="25">
        <v>528</v>
      </c>
      <c r="P328" s="32">
        <v>0.32</v>
      </c>
    </row>
    <row r="329" spans="1:16" x14ac:dyDescent="0.25">
      <c r="A329" s="28" t="s">
        <v>382</v>
      </c>
      <c r="B329" s="24">
        <v>45969</v>
      </c>
      <c r="C329" s="24" t="s">
        <v>48</v>
      </c>
      <c r="D329" s="23">
        <v>2025</v>
      </c>
      <c r="E329" s="23" t="s">
        <v>605</v>
      </c>
      <c r="F329" s="23" t="s">
        <v>40</v>
      </c>
      <c r="G329" s="23" t="s">
        <v>609</v>
      </c>
      <c r="H329" s="23" t="s">
        <v>616</v>
      </c>
      <c r="I329" s="23" t="s">
        <v>631</v>
      </c>
      <c r="J329" s="23" t="s">
        <v>615</v>
      </c>
      <c r="K329" s="23">
        <v>15</v>
      </c>
      <c r="L329" s="23">
        <v>150</v>
      </c>
      <c r="M329" s="23">
        <v>2250</v>
      </c>
      <c r="N329" s="23">
        <v>1395</v>
      </c>
      <c r="O329" s="23">
        <v>855</v>
      </c>
      <c r="P329" s="31">
        <v>0.38</v>
      </c>
    </row>
    <row r="330" spans="1:16" x14ac:dyDescent="0.25">
      <c r="A330" s="29" t="s">
        <v>383</v>
      </c>
      <c r="B330" s="26">
        <v>45985</v>
      </c>
      <c r="C330" s="26" t="s">
        <v>48</v>
      </c>
      <c r="D330" s="25">
        <v>2025</v>
      </c>
      <c r="E330" s="25" t="s">
        <v>596</v>
      </c>
      <c r="F330" s="25" t="s">
        <v>39</v>
      </c>
      <c r="G330" s="25" t="s">
        <v>609</v>
      </c>
      <c r="H330" s="25" t="s">
        <v>620</v>
      </c>
      <c r="I330" s="25" t="s">
        <v>627</v>
      </c>
      <c r="J330" s="25" t="s">
        <v>618</v>
      </c>
      <c r="K330" s="25">
        <v>11</v>
      </c>
      <c r="L330" s="25">
        <v>1200</v>
      </c>
      <c r="M330" s="25">
        <v>13200</v>
      </c>
      <c r="N330" s="25">
        <v>7920</v>
      </c>
      <c r="O330" s="25">
        <v>5280</v>
      </c>
      <c r="P330" s="32">
        <v>0.4</v>
      </c>
    </row>
    <row r="331" spans="1:16" x14ac:dyDescent="0.25">
      <c r="A331" s="28" t="s">
        <v>384</v>
      </c>
      <c r="B331" s="24">
        <v>45932</v>
      </c>
      <c r="C331" s="24" t="s">
        <v>65</v>
      </c>
      <c r="D331" s="23">
        <v>2025</v>
      </c>
      <c r="E331" s="23" t="s">
        <v>596</v>
      </c>
      <c r="F331" s="23" t="s">
        <v>39</v>
      </c>
      <c r="G331" s="23" t="s">
        <v>610</v>
      </c>
      <c r="H331" s="23" t="s">
        <v>624</v>
      </c>
      <c r="I331" s="23" t="s">
        <v>631</v>
      </c>
      <c r="J331" s="23" t="s">
        <v>615</v>
      </c>
      <c r="K331" s="23">
        <v>9</v>
      </c>
      <c r="L331" s="23">
        <v>4000</v>
      </c>
      <c r="M331" s="23">
        <v>36000</v>
      </c>
      <c r="N331" s="23">
        <v>28800</v>
      </c>
      <c r="O331" s="23">
        <v>7200</v>
      </c>
      <c r="P331" s="31">
        <v>0.2</v>
      </c>
    </row>
    <row r="332" spans="1:16" x14ac:dyDescent="0.25">
      <c r="A332" s="29" t="s">
        <v>385</v>
      </c>
      <c r="B332" s="26">
        <v>45800</v>
      </c>
      <c r="C332" s="26" t="s">
        <v>57</v>
      </c>
      <c r="D332" s="25">
        <v>2025</v>
      </c>
      <c r="E332" s="25" t="s">
        <v>602</v>
      </c>
      <c r="F332" s="25" t="s">
        <v>42</v>
      </c>
      <c r="G332" s="25" t="s">
        <v>611</v>
      </c>
      <c r="H332" s="25" t="s">
        <v>620</v>
      </c>
      <c r="I332" s="25" t="s">
        <v>631</v>
      </c>
      <c r="J332" s="25" t="s">
        <v>618</v>
      </c>
      <c r="K332" s="25">
        <v>18</v>
      </c>
      <c r="L332" s="25">
        <v>9000</v>
      </c>
      <c r="M332" s="25">
        <v>162000</v>
      </c>
      <c r="N332" s="25">
        <v>139320</v>
      </c>
      <c r="O332" s="25">
        <v>22680</v>
      </c>
      <c r="P332" s="32">
        <v>0.14000000000000001</v>
      </c>
    </row>
    <row r="333" spans="1:16" x14ac:dyDescent="0.25">
      <c r="A333" s="28" t="s">
        <v>386</v>
      </c>
      <c r="B333" s="24">
        <v>46001</v>
      </c>
      <c r="C333" s="24" t="s">
        <v>80</v>
      </c>
      <c r="D333" s="23">
        <v>2025</v>
      </c>
      <c r="E333" s="23" t="s">
        <v>603</v>
      </c>
      <c r="F333" s="23" t="s">
        <v>42</v>
      </c>
      <c r="G333" s="23" t="s">
        <v>609</v>
      </c>
      <c r="H333" s="23" t="s">
        <v>625</v>
      </c>
      <c r="I333" s="23" t="s">
        <v>623</v>
      </c>
      <c r="J333" s="23" t="s">
        <v>615</v>
      </c>
      <c r="K333" s="23">
        <v>5</v>
      </c>
      <c r="L333" s="23">
        <v>150</v>
      </c>
      <c r="M333" s="23">
        <v>750</v>
      </c>
      <c r="N333" s="23">
        <v>600</v>
      </c>
      <c r="O333" s="23">
        <v>150</v>
      </c>
      <c r="P333" s="31">
        <v>0.2</v>
      </c>
    </row>
    <row r="334" spans="1:16" x14ac:dyDescent="0.25">
      <c r="A334" s="29" t="s">
        <v>387</v>
      </c>
      <c r="B334" s="26">
        <v>45863</v>
      </c>
      <c r="C334" s="26" t="s">
        <v>83</v>
      </c>
      <c r="D334" s="25">
        <v>2025</v>
      </c>
      <c r="E334" s="25" t="s">
        <v>605</v>
      </c>
      <c r="F334" s="25" t="s">
        <v>40</v>
      </c>
      <c r="G334" s="25" t="s">
        <v>612</v>
      </c>
      <c r="H334" s="25" t="s">
        <v>625</v>
      </c>
      <c r="I334" s="25" t="s">
        <v>623</v>
      </c>
      <c r="J334" s="25" t="s">
        <v>615</v>
      </c>
      <c r="K334" s="25">
        <v>11</v>
      </c>
      <c r="L334" s="25">
        <v>50</v>
      </c>
      <c r="M334" s="25">
        <v>550</v>
      </c>
      <c r="N334" s="25">
        <v>357.5</v>
      </c>
      <c r="O334" s="25">
        <v>192.5</v>
      </c>
      <c r="P334" s="32">
        <v>0.35</v>
      </c>
    </row>
    <row r="335" spans="1:16" x14ac:dyDescent="0.25">
      <c r="A335" s="28" t="s">
        <v>388</v>
      </c>
      <c r="B335" s="24">
        <v>45927</v>
      </c>
      <c r="C335" s="24" t="s">
        <v>53</v>
      </c>
      <c r="D335" s="23">
        <v>2025</v>
      </c>
      <c r="E335" s="23" t="s">
        <v>597</v>
      </c>
      <c r="F335" s="23" t="s">
        <v>41</v>
      </c>
      <c r="G335" s="23" t="s">
        <v>609</v>
      </c>
      <c r="H335" s="23" t="s">
        <v>624</v>
      </c>
      <c r="I335" s="23" t="s">
        <v>623</v>
      </c>
      <c r="J335" s="23" t="s">
        <v>618</v>
      </c>
      <c r="K335" s="23">
        <v>6</v>
      </c>
      <c r="L335" s="23">
        <v>3500</v>
      </c>
      <c r="M335" s="23">
        <v>21000</v>
      </c>
      <c r="N335" s="23">
        <v>12810</v>
      </c>
      <c r="O335" s="23">
        <v>8190</v>
      </c>
      <c r="P335" s="31">
        <v>0.39</v>
      </c>
    </row>
    <row r="336" spans="1:16" x14ac:dyDescent="0.25">
      <c r="A336" s="29" t="s">
        <v>389</v>
      </c>
      <c r="B336" s="26">
        <v>45864</v>
      </c>
      <c r="C336" s="26" t="s">
        <v>83</v>
      </c>
      <c r="D336" s="25">
        <v>2025</v>
      </c>
      <c r="E336" s="25" t="s">
        <v>593</v>
      </c>
      <c r="F336" s="25" t="s">
        <v>41</v>
      </c>
      <c r="G336" s="25" t="s">
        <v>608</v>
      </c>
      <c r="H336" s="25" t="s">
        <v>626</v>
      </c>
      <c r="I336" s="25" t="s">
        <v>614</v>
      </c>
      <c r="J336" s="25" t="s">
        <v>618</v>
      </c>
      <c r="K336" s="25">
        <v>14</v>
      </c>
      <c r="L336" s="25">
        <v>700</v>
      </c>
      <c r="M336" s="25">
        <v>9800</v>
      </c>
      <c r="N336" s="25">
        <v>7056</v>
      </c>
      <c r="O336" s="25">
        <v>2744</v>
      </c>
      <c r="P336" s="32">
        <v>0.28000000000000003</v>
      </c>
    </row>
    <row r="337" spans="1:16" x14ac:dyDescent="0.25">
      <c r="A337" s="28" t="s">
        <v>390</v>
      </c>
      <c r="B337" s="24">
        <v>45836</v>
      </c>
      <c r="C337" s="24" t="s">
        <v>44</v>
      </c>
      <c r="D337" s="23">
        <v>2025</v>
      </c>
      <c r="E337" s="23" t="s">
        <v>597</v>
      </c>
      <c r="F337" s="23" t="s">
        <v>41</v>
      </c>
      <c r="G337" s="23" t="s">
        <v>609</v>
      </c>
      <c r="H337" s="23" t="s">
        <v>622</v>
      </c>
      <c r="I337" s="23" t="s">
        <v>619</v>
      </c>
      <c r="J337" s="23" t="s">
        <v>615</v>
      </c>
      <c r="K337" s="23">
        <v>10</v>
      </c>
      <c r="L337" s="23">
        <v>7000</v>
      </c>
      <c r="M337" s="23">
        <v>70000</v>
      </c>
      <c r="N337" s="23">
        <v>46200</v>
      </c>
      <c r="O337" s="23">
        <v>23800</v>
      </c>
      <c r="P337" s="31">
        <v>0.34</v>
      </c>
    </row>
    <row r="338" spans="1:16" x14ac:dyDescent="0.25">
      <c r="A338" s="29" t="s">
        <v>391</v>
      </c>
      <c r="B338" s="26">
        <v>45861</v>
      </c>
      <c r="C338" s="26" t="s">
        <v>83</v>
      </c>
      <c r="D338" s="25">
        <v>2025</v>
      </c>
      <c r="E338" s="25" t="s">
        <v>594</v>
      </c>
      <c r="F338" s="25" t="s">
        <v>39</v>
      </c>
      <c r="G338" s="25" t="s">
        <v>610</v>
      </c>
      <c r="H338" s="25" t="s">
        <v>616</v>
      </c>
      <c r="I338" s="25" t="s">
        <v>627</v>
      </c>
      <c r="J338" s="25" t="s">
        <v>615</v>
      </c>
      <c r="K338" s="25">
        <v>12</v>
      </c>
      <c r="L338" s="25">
        <v>20</v>
      </c>
      <c r="M338" s="25">
        <v>240</v>
      </c>
      <c r="N338" s="25">
        <v>199.2</v>
      </c>
      <c r="O338" s="25">
        <v>40.800000000000011</v>
      </c>
      <c r="P338" s="32">
        <v>0.17000000000000004</v>
      </c>
    </row>
    <row r="339" spans="1:16" x14ac:dyDescent="0.25">
      <c r="A339" s="28" t="s">
        <v>392</v>
      </c>
      <c r="B339" s="24">
        <v>46001</v>
      </c>
      <c r="C339" s="24" t="s">
        <v>80</v>
      </c>
      <c r="D339" s="23">
        <v>2025</v>
      </c>
      <c r="E339" s="23" t="s">
        <v>599</v>
      </c>
      <c r="F339" s="23" t="s">
        <v>39</v>
      </c>
      <c r="G339" s="23" t="s">
        <v>609</v>
      </c>
      <c r="H339" s="23" t="s">
        <v>624</v>
      </c>
      <c r="I339" s="23" t="s">
        <v>619</v>
      </c>
      <c r="J339" s="23" t="s">
        <v>618</v>
      </c>
      <c r="K339" s="23">
        <v>17</v>
      </c>
      <c r="L339" s="23">
        <v>12000</v>
      </c>
      <c r="M339" s="23">
        <v>204000</v>
      </c>
      <c r="N339" s="23">
        <v>183600</v>
      </c>
      <c r="O339" s="23">
        <v>20400</v>
      </c>
      <c r="P339" s="31">
        <v>0.1</v>
      </c>
    </row>
    <row r="340" spans="1:16" x14ac:dyDescent="0.25">
      <c r="A340" s="29" t="s">
        <v>393</v>
      </c>
      <c r="B340" s="26">
        <v>45804</v>
      </c>
      <c r="C340" s="26" t="s">
        <v>57</v>
      </c>
      <c r="D340" s="25">
        <v>2025</v>
      </c>
      <c r="E340" s="25" t="s">
        <v>607</v>
      </c>
      <c r="F340" s="25" t="s">
        <v>42</v>
      </c>
      <c r="G340" s="25" t="s">
        <v>608</v>
      </c>
      <c r="H340" s="25" t="s">
        <v>620</v>
      </c>
      <c r="I340" s="25" t="s">
        <v>617</v>
      </c>
      <c r="J340" s="25" t="s">
        <v>615</v>
      </c>
      <c r="K340" s="25">
        <v>6</v>
      </c>
      <c r="L340" s="25">
        <v>300</v>
      </c>
      <c r="M340" s="25">
        <v>1800</v>
      </c>
      <c r="N340" s="25">
        <v>1296</v>
      </c>
      <c r="O340" s="25">
        <v>504</v>
      </c>
      <c r="P340" s="32">
        <v>0.28000000000000003</v>
      </c>
    </row>
    <row r="341" spans="1:16" x14ac:dyDescent="0.25">
      <c r="A341" s="28" t="s">
        <v>394</v>
      </c>
      <c r="B341" s="24">
        <v>45789</v>
      </c>
      <c r="C341" s="24" t="s">
        <v>57</v>
      </c>
      <c r="D341" s="23">
        <v>2025</v>
      </c>
      <c r="E341" s="23" t="s">
        <v>592</v>
      </c>
      <c r="F341" s="23" t="s">
        <v>40</v>
      </c>
      <c r="G341" s="23" t="s">
        <v>609</v>
      </c>
      <c r="H341" s="23" t="s">
        <v>616</v>
      </c>
      <c r="I341" s="23" t="s">
        <v>630</v>
      </c>
      <c r="J341" s="23" t="s">
        <v>618</v>
      </c>
      <c r="K341" s="23">
        <v>11</v>
      </c>
      <c r="L341" s="23">
        <v>8000</v>
      </c>
      <c r="M341" s="23">
        <v>88000</v>
      </c>
      <c r="N341" s="23">
        <v>77440</v>
      </c>
      <c r="O341" s="23">
        <v>10560</v>
      </c>
      <c r="P341" s="31">
        <v>0.12</v>
      </c>
    </row>
    <row r="342" spans="1:16" x14ac:dyDescent="0.25">
      <c r="A342" s="29" t="s">
        <v>395</v>
      </c>
      <c r="B342" s="26">
        <v>45994</v>
      </c>
      <c r="C342" s="26" t="s">
        <v>80</v>
      </c>
      <c r="D342" s="25">
        <v>2025</v>
      </c>
      <c r="E342" s="25" t="s">
        <v>592</v>
      </c>
      <c r="F342" s="25" t="s">
        <v>40</v>
      </c>
      <c r="G342" s="25" t="s">
        <v>610</v>
      </c>
      <c r="H342" s="25" t="s">
        <v>626</v>
      </c>
      <c r="I342" s="25" t="s">
        <v>619</v>
      </c>
      <c r="J342" s="25" t="s">
        <v>615</v>
      </c>
      <c r="K342" s="25">
        <v>17</v>
      </c>
      <c r="L342" s="25">
        <v>50</v>
      </c>
      <c r="M342" s="25">
        <v>850</v>
      </c>
      <c r="N342" s="25">
        <v>629</v>
      </c>
      <c r="O342" s="25">
        <v>221</v>
      </c>
      <c r="P342" s="32">
        <v>0.26</v>
      </c>
    </row>
    <row r="343" spans="1:16" x14ac:dyDescent="0.25">
      <c r="A343" s="28" t="s">
        <v>396</v>
      </c>
      <c r="B343" s="24">
        <v>45702</v>
      </c>
      <c r="C343" s="24" t="s">
        <v>55</v>
      </c>
      <c r="D343" s="23">
        <v>2025</v>
      </c>
      <c r="E343" s="23" t="s">
        <v>606</v>
      </c>
      <c r="F343" s="23" t="s">
        <v>40</v>
      </c>
      <c r="G343" s="23" t="s">
        <v>610</v>
      </c>
      <c r="H343" s="23" t="s">
        <v>620</v>
      </c>
      <c r="I343" s="23" t="s">
        <v>623</v>
      </c>
      <c r="J343" s="23" t="s">
        <v>618</v>
      </c>
      <c r="K343" s="23">
        <v>10</v>
      </c>
      <c r="L343" s="23">
        <v>300</v>
      </c>
      <c r="M343" s="23">
        <v>3000</v>
      </c>
      <c r="N343" s="23">
        <v>2250</v>
      </c>
      <c r="O343" s="23">
        <v>750</v>
      </c>
      <c r="P343" s="31">
        <v>0.25</v>
      </c>
    </row>
    <row r="344" spans="1:16" x14ac:dyDescent="0.25">
      <c r="A344" s="29" t="s">
        <v>397</v>
      </c>
      <c r="B344" s="26">
        <v>45882</v>
      </c>
      <c r="C344" s="26" t="s">
        <v>50</v>
      </c>
      <c r="D344" s="25">
        <v>2025</v>
      </c>
      <c r="E344" s="25" t="s">
        <v>596</v>
      </c>
      <c r="F344" s="25" t="s">
        <v>39</v>
      </c>
      <c r="G344" s="25" t="s">
        <v>611</v>
      </c>
      <c r="H344" s="25" t="s">
        <v>628</v>
      </c>
      <c r="I344" s="25" t="s">
        <v>630</v>
      </c>
      <c r="J344" s="25" t="s">
        <v>615</v>
      </c>
      <c r="K344" s="25">
        <v>1</v>
      </c>
      <c r="L344" s="25">
        <v>20</v>
      </c>
      <c r="M344" s="25">
        <v>20</v>
      </c>
      <c r="N344" s="25">
        <v>17.399999999999999</v>
      </c>
      <c r="O344" s="25">
        <v>2.6000000000000014</v>
      </c>
      <c r="P344" s="32">
        <v>0.13000000000000006</v>
      </c>
    </row>
    <row r="345" spans="1:16" x14ac:dyDescent="0.25">
      <c r="A345" s="28" t="s">
        <v>398</v>
      </c>
      <c r="B345" s="24">
        <v>45824</v>
      </c>
      <c r="C345" s="24" t="s">
        <v>44</v>
      </c>
      <c r="D345" s="23">
        <v>2025</v>
      </c>
      <c r="E345" s="23" t="s">
        <v>596</v>
      </c>
      <c r="F345" s="23" t="s">
        <v>39</v>
      </c>
      <c r="G345" s="23" t="s">
        <v>609</v>
      </c>
      <c r="H345" s="23" t="s">
        <v>613</v>
      </c>
      <c r="I345" s="23" t="s">
        <v>630</v>
      </c>
      <c r="J345" s="23" t="s">
        <v>618</v>
      </c>
      <c r="K345" s="23">
        <v>5</v>
      </c>
      <c r="L345" s="23">
        <v>55000</v>
      </c>
      <c r="M345" s="23">
        <v>275000</v>
      </c>
      <c r="N345" s="23">
        <v>203500</v>
      </c>
      <c r="O345" s="23">
        <v>71500</v>
      </c>
      <c r="P345" s="31">
        <v>0.26</v>
      </c>
    </row>
    <row r="346" spans="1:16" x14ac:dyDescent="0.25">
      <c r="A346" s="29" t="s">
        <v>399</v>
      </c>
      <c r="B346" s="26">
        <v>45843</v>
      </c>
      <c r="C346" s="26" t="s">
        <v>83</v>
      </c>
      <c r="D346" s="25">
        <v>2025</v>
      </c>
      <c r="E346" s="25" t="s">
        <v>596</v>
      </c>
      <c r="F346" s="25" t="s">
        <v>39</v>
      </c>
      <c r="G346" s="25" t="s">
        <v>609</v>
      </c>
      <c r="H346" s="25" t="s">
        <v>628</v>
      </c>
      <c r="I346" s="25" t="s">
        <v>619</v>
      </c>
      <c r="J346" s="25" t="s">
        <v>615</v>
      </c>
      <c r="K346" s="25">
        <v>2</v>
      </c>
      <c r="L346" s="25">
        <v>7000</v>
      </c>
      <c r="M346" s="25">
        <v>14000</v>
      </c>
      <c r="N346" s="25">
        <v>9380</v>
      </c>
      <c r="O346" s="25">
        <v>4620</v>
      </c>
      <c r="P346" s="32">
        <v>0.33</v>
      </c>
    </row>
    <row r="347" spans="1:16" x14ac:dyDescent="0.25">
      <c r="A347" s="28" t="s">
        <v>400</v>
      </c>
      <c r="B347" s="24">
        <v>45989</v>
      </c>
      <c r="C347" s="24" t="s">
        <v>48</v>
      </c>
      <c r="D347" s="23">
        <v>2025</v>
      </c>
      <c r="E347" s="23" t="s">
        <v>607</v>
      </c>
      <c r="F347" s="23" t="s">
        <v>42</v>
      </c>
      <c r="G347" s="23" t="s">
        <v>609</v>
      </c>
      <c r="H347" s="23" t="s">
        <v>626</v>
      </c>
      <c r="I347" s="23" t="s">
        <v>630</v>
      </c>
      <c r="J347" s="23" t="s">
        <v>615</v>
      </c>
      <c r="K347" s="23">
        <v>4</v>
      </c>
      <c r="L347" s="23">
        <v>4000</v>
      </c>
      <c r="M347" s="23">
        <v>16000</v>
      </c>
      <c r="N347" s="23">
        <v>10240</v>
      </c>
      <c r="O347" s="23">
        <v>5760</v>
      </c>
      <c r="P347" s="31">
        <v>0.36</v>
      </c>
    </row>
    <row r="348" spans="1:16" x14ac:dyDescent="0.25">
      <c r="A348" s="29" t="s">
        <v>401</v>
      </c>
      <c r="B348" s="26">
        <v>45784</v>
      </c>
      <c r="C348" s="26" t="s">
        <v>57</v>
      </c>
      <c r="D348" s="25">
        <v>2025</v>
      </c>
      <c r="E348" s="25" t="s">
        <v>592</v>
      </c>
      <c r="F348" s="25" t="s">
        <v>40</v>
      </c>
      <c r="G348" s="25" t="s">
        <v>612</v>
      </c>
      <c r="H348" s="25" t="s">
        <v>625</v>
      </c>
      <c r="I348" s="25" t="s">
        <v>623</v>
      </c>
      <c r="J348" s="25" t="s">
        <v>618</v>
      </c>
      <c r="K348" s="25">
        <v>8</v>
      </c>
      <c r="L348" s="25">
        <v>50</v>
      </c>
      <c r="M348" s="25">
        <v>400</v>
      </c>
      <c r="N348" s="25">
        <v>264</v>
      </c>
      <c r="O348" s="25">
        <v>136</v>
      </c>
      <c r="P348" s="32">
        <v>0.34</v>
      </c>
    </row>
    <row r="349" spans="1:16" x14ac:dyDescent="0.25">
      <c r="A349" s="28" t="s">
        <v>402</v>
      </c>
      <c r="B349" s="24">
        <v>45790</v>
      </c>
      <c r="C349" s="24" t="s">
        <v>57</v>
      </c>
      <c r="D349" s="23">
        <v>2025</v>
      </c>
      <c r="E349" s="23" t="s">
        <v>596</v>
      </c>
      <c r="F349" s="23" t="s">
        <v>39</v>
      </c>
      <c r="G349" s="23" t="s">
        <v>610</v>
      </c>
      <c r="H349" s="23" t="s">
        <v>625</v>
      </c>
      <c r="I349" s="23" t="s">
        <v>631</v>
      </c>
      <c r="J349" s="23" t="s">
        <v>615</v>
      </c>
      <c r="K349" s="23">
        <v>10</v>
      </c>
      <c r="L349" s="23">
        <v>3500</v>
      </c>
      <c r="M349" s="23">
        <v>35000</v>
      </c>
      <c r="N349" s="23">
        <v>25550</v>
      </c>
      <c r="O349" s="23">
        <v>9450</v>
      </c>
      <c r="P349" s="31">
        <v>0.27</v>
      </c>
    </row>
    <row r="350" spans="1:16" x14ac:dyDescent="0.25">
      <c r="A350" s="29" t="s">
        <v>403</v>
      </c>
      <c r="B350" s="26">
        <v>45937</v>
      </c>
      <c r="C350" s="26" t="s">
        <v>65</v>
      </c>
      <c r="D350" s="25">
        <v>2025</v>
      </c>
      <c r="E350" s="25" t="s">
        <v>606</v>
      </c>
      <c r="F350" s="25" t="s">
        <v>40</v>
      </c>
      <c r="G350" s="25" t="s">
        <v>610</v>
      </c>
      <c r="H350" s="25" t="s">
        <v>622</v>
      </c>
      <c r="I350" s="25" t="s">
        <v>617</v>
      </c>
      <c r="J350" s="25" t="s">
        <v>618</v>
      </c>
      <c r="K350" s="25">
        <v>8</v>
      </c>
      <c r="L350" s="25">
        <v>7000</v>
      </c>
      <c r="M350" s="25">
        <v>56000</v>
      </c>
      <c r="N350" s="25">
        <v>34160</v>
      </c>
      <c r="O350" s="25">
        <v>21840</v>
      </c>
      <c r="P350" s="32">
        <v>0.39</v>
      </c>
    </row>
    <row r="351" spans="1:16" x14ac:dyDescent="0.25">
      <c r="A351" s="28" t="s">
        <v>404</v>
      </c>
      <c r="B351" s="24">
        <v>45908</v>
      </c>
      <c r="C351" s="24" t="s">
        <v>53</v>
      </c>
      <c r="D351" s="23">
        <v>2025</v>
      </c>
      <c r="E351" s="23" t="s">
        <v>598</v>
      </c>
      <c r="F351" s="23" t="s">
        <v>40</v>
      </c>
      <c r="G351" s="23" t="s">
        <v>610</v>
      </c>
      <c r="H351" s="23" t="s">
        <v>616</v>
      </c>
      <c r="I351" s="23" t="s">
        <v>619</v>
      </c>
      <c r="J351" s="23" t="s">
        <v>615</v>
      </c>
      <c r="K351" s="23">
        <v>7</v>
      </c>
      <c r="L351" s="23">
        <v>25000</v>
      </c>
      <c r="M351" s="23">
        <v>175000</v>
      </c>
      <c r="N351" s="23">
        <v>147000</v>
      </c>
      <c r="O351" s="23">
        <v>28000</v>
      </c>
      <c r="P351" s="31">
        <v>0.16</v>
      </c>
    </row>
    <row r="352" spans="1:16" x14ac:dyDescent="0.25">
      <c r="A352" s="29" t="s">
        <v>405</v>
      </c>
      <c r="B352" s="26">
        <v>45850</v>
      </c>
      <c r="C352" s="26" t="s">
        <v>83</v>
      </c>
      <c r="D352" s="25">
        <v>2025</v>
      </c>
      <c r="E352" s="25" t="s">
        <v>599</v>
      </c>
      <c r="F352" s="25" t="s">
        <v>39</v>
      </c>
      <c r="G352" s="25" t="s">
        <v>612</v>
      </c>
      <c r="H352" s="25" t="s">
        <v>625</v>
      </c>
      <c r="I352" s="25" t="s">
        <v>623</v>
      </c>
      <c r="J352" s="25" t="s">
        <v>618</v>
      </c>
      <c r="K352" s="25">
        <v>16</v>
      </c>
      <c r="L352" s="25">
        <v>8000</v>
      </c>
      <c r="M352" s="25">
        <v>128000</v>
      </c>
      <c r="N352" s="25">
        <v>90880</v>
      </c>
      <c r="O352" s="25">
        <v>37120</v>
      </c>
      <c r="P352" s="32">
        <v>0.28999999999999998</v>
      </c>
    </row>
    <row r="353" spans="1:16" x14ac:dyDescent="0.25">
      <c r="A353" s="28" t="s">
        <v>406</v>
      </c>
      <c r="B353" s="24">
        <v>45894</v>
      </c>
      <c r="C353" s="24" t="s">
        <v>50</v>
      </c>
      <c r="D353" s="23">
        <v>2025</v>
      </c>
      <c r="E353" s="23" t="s">
        <v>603</v>
      </c>
      <c r="F353" s="23" t="s">
        <v>42</v>
      </c>
      <c r="G353" s="23" t="s">
        <v>608</v>
      </c>
      <c r="H353" s="23" t="s">
        <v>621</v>
      </c>
      <c r="I353" s="23" t="s">
        <v>623</v>
      </c>
      <c r="J353" s="23" t="s">
        <v>618</v>
      </c>
      <c r="K353" s="23">
        <v>11</v>
      </c>
      <c r="L353" s="23">
        <v>55000</v>
      </c>
      <c r="M353" s="23">
        <v>605000</v>
      </c>
      <c r="N353" s="23">
        <v>496100</v>
      </c>
      <c r="O353" s="23">
        <v>108900</v>
      </c>
      <c r="P353" s="31">
        <v>0.18</v>
      </c>
    </row>
    <row r="354" spans="1:16" x14ac:dyDescent="0.25">
      <c r="A354" s="29" t="s">
        <v>407</v>
      </c>
      <c r="B354" s="26">
        <v>45833</v>
      </c>
      <c r="C354" s="26" t="s">
        <v>44</v>
      </c>
      <c r="D354" s="25">
        <v>2025</v>
      </c>
      <c r="E354" s="25" t="s">
        <v>592</v>
      </c>
      <c r="F354" s="25" t="s">
        <v>40</v>
      </c>
      <c r="G354" s="25" t="s">
        <v>608</v>
      </c>
      <c r="H354" s="25" t="s">
        <v>624</v>
      </c>
      <c r="I354" s="25" t="s">
        <v>645</v>
      </c>
      <c r="J354" s="25" t="s">
        <v>618</v>
      </c>
      <c r="K354" s="25">
        <v>13</v>
      </c>
      <c r="L354" s="25">
        <v>3500</v>
      </c>
      <c r="M354" s="25">
        <v>45500</v>
      </c>
      <c r="N354" s="25">
        <v>31850</v>
      </c>
      <c r="O354" s="25">
        <v>13650</v>
      </c>
      <c r="P354" s="32">
        <v>0.3</v>
      </c>
    </row>
    <row r="355" spans="1:16" x14ac:dyDescent="0.25">
      <c r="A355" s="28" t="s">
        <v>408</v>
      </c>
      <c r="B355" s="24">
        <v>45821</v>
      </c>
      <c r="C355" s="24" t="s">
        <v>44</v>
      </c>
      <c r="D355" s="23">
        <v>2025</v>
      </c>
      <c r="E355" s="23" t="s">
        <v>601</v>
      </c>
      <c r="F355" s="23" t="s">
        <v>41</v>
      </c>
      <c r="G355" s="23" t="s">
        <v>610</v>
      </c>
      <c r="H355" s="23" t="s">
        <v>624</v>
      </c>
      <c r="I355" s="23" t="s">
        <v>623</v>
      </c>
      <c r="J355" s="23" t="s">
        <v>618</v>
      </c>
      <c r="K355" s="23">
        <v>10</v>
      </c>
      <c r="L355" s="23">
        <v>45000</v>
      </c>
      <c r="M355" s="23">
        <v>450000</v>
      </c>
      <c r="N355" s="23">
        <v>360000</v>
      </c>
      <c r="O355" s="23">
        <v>90000</v>
      </c>
      <c r="P355" s="31">
        <v>0.2</v>
      </c>
    </row>
    <row r="356" spans="1:16" x14ac:dyDescent="0.25">
      <c r="A356" s="29" t="s">
        <v>409</v>
      </c>
      <c r="B356" s="26">
        <v>45917</v>
      </c>
      <c r="C356" s="26" t="s">
        <v>53</v>
      </c>
      <c r="D356" s="25">
        <v>2025</v>
      </c>
      <c r="E356" s="25" t="s">
        <v>592</v>
      </c>
      <c r="F356" s="25" t="s">
        <v>40</v>
      </c>
      <c r="G356" s="25" t="s">
        <v>608</v>
      </c>
      <c r="H356" s="25" t="s">
        <v>616</v>
      </c>
      <c r="I356" s="25" t="s">
        <v>619</v>
      </c>
      <c r="J356" s="25" t="s">
        <v>615</v>
      </c>
      <c r="K356" s="25">
        <v>18</v>
      </c>
      <c r="L356" s="25">
        <v>55000</v>
      </c>
      <c r="M356" s="25">
        <v>990000</v>
      </c>
      <c r="N356" s="25">
        <v>811800</v>
      </c>
      <c r="O356" s="25">
        <v>178200</v>
      </c>
      <c r="P356" s="32">
        <v>0.18</v>
      </c>
    </row>
    <row r="357" spans="1:16" x14ac:dyDescent="0.25">
      <c r="A357" s="28" t="s">
        <v>410</v>
      </c>
      <c r="B357" s="24">
        <v>45860</v>
      </c>
      <c r="C357" s="24" t="s">
        <v>83</v>
      </c>
      <c r="D357" s="23">
        <v>2025</v>
      </c>
      <c r="E357" s="23" t="s">
        <v>605</v>
      </c>
      <c r="F357" s="23" t="s">
        <v>40</v>
      </c>
      <c r="G357" s="23" t="s">
        <v>609</v>
      </c>
      <c r="H357" s="23" t="s">
        <v>629</v>
      </c>
      <c r="I357" s="23" t="s">
        <v>631</v>
      </c>
      <c r="J357" s="23" t="s">
        <v>618</v>
      </c>
      <c r="K357" s="23">
        <v>10</v>
      </c>
      <c r="L357" s="23">
        <v>20</v>
      </c>
      <c r="M357" s="23">
        <v>200</v>
      </c>
      <c r="N357" s="23">
        <v>176</v>
      </c>
      <c r="O357" s="23">
        <v>24</v>
      </c>
      <c r="P357" s="31">
        <v>0.12</v>
      </c>
    </row>
    <row r="358" spans="1:16" x14ac:dyDescent="0.25">
      <c r="A358" s="29" t="s">
        <v>411</v>
      </c>
      <c r="B358" s="26">
        <v>46004</v>
      </c>
      <c r="C358" s="26" t="s">
        <v>80</v>
      </c>
      <c r="D358" s="25">
        <v>2025</v>
      </c>
      <c r="E358" s="25" t="s">
        <v>602</v>
      </c>
      <c r="F358" s="25" t="s">
        <v>42</v>
      </c>
      <c r="G358" s="25" t="s">
        <v>612</v>
      </c>
      <c r="H358" s="25" t="s">
        <v>620</v>
      </c>
      <c r="I358" s="25" t="s">
        <v>623</v>
      </c>
      <c r="J358" s="25" t="s">
        <v>618</v>
      </c>
      <c r="K358" s="25">
        <v>7</v>
      </c>
      <c r="L358" s="25">
        <v>150</v>
      </c>
      <c r="M358" s="25">
        <v>1050</v>
      </c>
      <c r="N358" s="25">
        <v>903</v>
      </c>
      <c r="O358" s="25">
        <v>147</v>
      </c>
      <c r="P358" s="32">
        <v>0.14000000000000001</v>
      </c>
    </row>
    <row r="359" spans="1:16" x14ac:dyDescent="0.25">
      <c r="A359" s="28" t="s">
        <v>412</v>
      </c>
      <c r="B359" s="24">
        <v>45810</v>
      </c>
      <c r="C359" s="24" t="s">
        <v>44</v>
      </c>
      <c r="D359" s="23">
        <v>2025</v>
      </c>
      <c r="E359" s="23" t="s">
        <v>597</v>
      </c>
      <c r="F359" s="23" t="s">
        <v>41</v>
      </c>
      <c r="G359" s="23" t="s">
        <v>609</v>
      </c>
      <c r="H359" s="23" t="s">
        <v>625</v>
      </c>
      <c r="I359" s="25" t="s">
        <v>645</v>
      </c>
      <c r="J359" s="23" t="s">
        <v>615</v>
      </c>
      <c r="K359" s="23">
        <v>16</v>
      </c>
      <c r="L359" s="23">
        <v>50</v>
      </c>
      <c r="M359" s="23">
        <v>800</v>
      </c>
      <c r="N359" s="23">
        <v>656</v>
      </c>
      <c r="O359" s="23">
        <v>144</v>
      </c>
      <c r="P359" s="31">
        <v>0.18</v>
      </c>
    </row>
    <row r="360" spans="1:16" x14ac:dyDescent="0.25">
      <c r="A360" s="29" t="s">
        <v>413</v>
      </c>
      <c r="B360" s="26">
        <v>45919</v>
      </c>
      <c r="C360" s="26" t="s">
        <v>53</v>
      </c>
      <c r="D360" s="25">
        <v>2025</v>
      </c>
      <c r="E360" s="25" t="s">
        <v>596</v>
      </c>
      <c r="F360" s="25" t="s">
        <v>39</v>
      </c>
      <c r="G360" s="25" t="s">
        <v>611</v>
      </c>
      <c r="H360" s="25" t="s">
        <v>628</v>
      </c>
      <c r="I360" s="25" t="s">
        <v>627</v>
      </c>
      <c r="J360" s="25" t="s">
        <v>618</v>
      </c>
      <c r="K360" s="25">
        <v>7</v>
      </c>
      <c r="L360" s="25">
        <v>1200</v>
      </c>
      <c r="M360" s="25">
        <v>8400</v>
      </c>
      <c r="N360" s="25">
        <v>6552</v>
      </c>
      <c r="O360" s="25">
        <v>1848</v>
      </c>
      <c r="P360" s="32">
        <v>0.22</v>
      </c>
    </row>
    <row r="361" spans="1:16" x14ac:dyDescent="0.25">
      <c r="A361" s="28" t="s">
        <v>414</v>
      </c>
      <c r="B361" s="24">
        <v>45698</v>
      </c>
      <c r="C361" s="24" t="s">
        <v>55</v>
      </c>
      <c r="D361" s="23">
        <v>2025</v>
      </c>
      <c r="E361" s="23" t="s">
        <v>594</v>
      </c>
      <c r="F361" s="23" t="s">
        <v>39</v>
      </c>
      <c r="G361" s="23" t="s">
        <v>610</v>
      </c>
      <c r="H361" s="23" t="s">
        <v>621</v>
      </c>
      <c r="I361" s="23" t="s">
        <v>631</v>
      </c>
      <c r="J361" s="23" t="s">
        <v>618</v>
      </c>
      <c r="K361" s="23">
        <v>8</v>
      </c>
      <c r="L361" s="23">
        <v>8000</v>
      </c>
      <c r="M361" s="23">
        <v>64000</v>
      </c>
      <c r="N361" s="23">
        <v>44160</v>
      </c>
      <c r="O361" s="23">
        <v>19840</v>
      </c>
      <c r="P361" s="31">
        <v>0.31</v>
      </c>
    </row>
    <row r="362" spans="1:16" x14ac:dyDescent="0.25">
      <c r="A362" s="29" t="s">
        <v>415</v>
      </c>
      <c r="B362" s="26">
        <v>45672</v>
      </c>
      <c r="C362" s="26" t="s">
        <v>59</v>
      </c>
      <c r="D362" s="25">
        <v>2025</v>
      </c>
      <c r="E362" s="25" t="s">
        <v>604</v>
      </c>
      <c r="F362" s="25" t="s">
        <v>41</v>
      </c>
      <c r="G362" s="25" t="s">
        <v>610</v>
      </c>
      <c r="H362" s="25" t="s">
        <v>622</v>
      </c>
      <c r="I362" s="25" t="s">
        <v>627</v>
      </c>
      <c r="J362" s="25" t="s">
        <v>618</v>
      </c>
      <c r="K362" s="25">
        <v>5</v>
      </c>
      <c r="L362" s="25">
        <v>50</v>
      </c>
      <c r="M362" s="25">
        <v>250</v>
      </c>
      <c r="N362" s="25">
        <v>187.5</v>
      </c>
      <c r="O362" s="25">
        <v>62.5</v>
      </c>
      <c r="P362" s="32">
        <v>0.25</v>
      </c>
    </row>
    <row r="363" spans="1:16" x14ac:dyDescent="0.25">
      <c r="A363" s="28" t="s">
        <v>416</v>
      </c>
      <c r="B363" s="24">
        <v>45859</v>
      </c>
      <c r="C363" s="24" t="s">
        <v>83</v>
      </c>
      <c r="D363" s="23">
        <v>2025</v>
      </c>
      <c r="E363" s="23" t="s">
        <v>607</v>
      </c>
      <c r="F363" s="23" t="s">
        <v>42</v>
      </c>
      <c r="G363" s="23" t="s">
        <v>609</v>
      </c>
      <c r="H363" s="23" t="s">
        <v>624</v>
      </c>
      <c r="I363" s="23" t="s">
        <v>630</v>
      </c>
      <c r="J363" s="23" t="s">
        <v>615</v>
      </c>
      <c r="K363" s="23">
        <v>9</v>
      </c>
      <c r="L363" s="23">
        <v>45000</v>
      </c>
      <c r="M363" s="23">
        <v>405000</v>
      </c>
      <c r="N363" s="23">
        <v>303750</v>
      </c>
      <c r="O363" s="23">
        <v>101250</v>
      </c>
      <c r="P363" s="31">
        <v>0.25</v>
      </c>
    </row>
    <row r="364" spans="1:16" x14ac:dyDescent="0.25">
      <c r="A364" s="29" t="s">
        <v>417</v>
      </c>
      <c r="B364" s="26">
        <v>45672</v>
      </c>
      <c r="C364" s="26" t="s">
        <v>59</v>
      </c>
      <c r="D364" s="25">
        <v>2025</v>
      </c>
      <c r="E364" s="25" t="s">
        <v>593</v>
      </c>
      <c r="F364" s="25" t="s">
        <v>41</v>
      </c>
      <c r="G364" s="25" t="s">
        <v>612</v>
      </c>
      <c r="H364" s="25" t="s">
        <v>629</v>
      </c>
      <c r="I364" s="25" t="s">
        <v>645</v>
      </c>
      <c r="J364" s="25" t="s">
        <v>618</v>
      </c>
      <c r="K364" s="25">
        <v>1</v>
      </c>
      <c r="L364" s="25">
        <v>1200</v>
      </c>
      <c r="M364" s="25">
        <v>1200</v>
      </c>
      <c r="N364" s="25">
        <v>924</v>
      </c>
      <c r="O364" s="25">
        <v>276</v>
      </c>
      <c r="P364" s="32">
        <v>0.23</v>
      </c>
    </row>
    <row r="365" spans="1:16" x14ac:dyDescent="0.25">
      <c r="A365" s="28" t="s">
        <v>418</v>
      </c>
      <c r="B365" s="24">
        <v>45950</v>
      </c>
      <c r="C365" s="24" t="s">
        <v>65</v>
      </c>
      <c r="D365" s="23">
        <v>2025</v>
      </c>
      <c r="E365" s="23" t="s">
        <v>596</v>
      </c>
      <c r="F365" s="23" t="s">
        <v>39</v>
      </c>
      <c r="G365" s="23" t="s">
        <v>610</v>
      </c>
      <c r="H365" s="23" t="s">
        <v>622</v>
      </c>
      <c r="I365" s="23" t="s">
        <v>627</v>
      </c>
      <c r="J365" s="23" t="s">
        <v>615</v>
      </c>
      <c r="K365" s="23">
        <v>15</v>
      </c>
      <c r="L365" s="23">
        <v>8000</v>
      </c>
      <c r="M365" s="23">
        <v>120000</v>
      </c>
      <c r="N365" s="23">
        <v>88800</v>
      </c>
      <c r="O365" s="23">
        <v>31200</v>
      </c>
      <c r="P365" s="31">
        <v>0.26</v>
      </c>
    </row>
    <row r="366" spans="1:16" x14ac:dyDescent="0.25">
      <c r="A366" s="29" t="s">
        <v>419</v>
      </c>
      <c r="B366" s="26">
        <v>45713</v>
      </c>
      <c r="C366" s="26" t="s">
        <v>55</v>
      </c>
      <c r="D366" s="25">
        <v>2025</v>
      </c>
      <c r="E366" s="25" t="s">
        <v>605</v>
      </c>
      <c r="F366" s="25" t="s">
        <v>40</v>
      </c>
      <c r="G366" s="25" t="s">
        <v>610</v>
      </c>
      <c r="H366" s="25" t="s">
        <v>629</v>
      </c>
      <c r="I366" s="25" t="s">
        <v>645</v>
      </c>
      <c r="J366" s="25" t="s">
        <v>615</v>
      </c>
      <c r="K366" s="25">
        <v>4</v>
      </c>
      <c r="L366" s="25">
        <v>8000</v>
      </c>
      <c r="M366" s="25">
        <v>32000</v>
      </c>
      <c r="N366" s="25">
        <v>20160</v>
      </c>
      <c r="O366" s="25">
        <v>11840</v>
      </c>
      <c r="P366" s="32">
        <v>0.37</v>
      </c>
    </row>
    <row r="367" spans="1:16" x14ac:dyDescent="0.25">
      <c r="A367" s="28" t="s">
        <v>420</v>
      </c>
      <c r="B367" s="24">
        <v>45702</v>
      </c>
      <c r="C367" s="24" t="s">
        <v>55</v>
      </c>
      <c r="D367" s="23">
        <v>2025</v>
      </c>
      <c r="E367" s="23" t="s">
        <v>594</v>
      </c>
      <c r="F367" s="23" t="s">
        <v>39</v>
      </c>
      <c r="G367" s="23" t="s">
        <v>610</v>
      </c>
      <c r="H367" s="23" t="s">
        <v>622</v>
      </c>
      <c r="I367" s="23" t="s">
        <v>619</v>
      </c>
      <c r="J367" s="23" t="s">
        <v>618</v>
      </c>
      <c r="K367" s="23">
        <v>17</v>
      </c>
      <c r="L367" s="23">
        <v>700</v>
      </c>
      <c r="M367" s="23">
        <v>11900</v>
      </c>
      <c r="N367" s="23">
        <v>9877</v>
      </c>
      <c r="O367" s="23">
        <v>2023</v>
      </c>
      <c r="P367" s="31">
        <v>0.17</v>
      </c>
    </row>
    <row r="368" spans="1:16" x14ac:dyDescent="0.25">
      <c r="A368" s="29" t="s">
        <v>421</v>
      </c>
      <c r="B368" s="26">
        <v>45903</v>
      </c>
      <c r="C368" s="26" t="s">
        <v>53</v>
      </c>
      <c r="D368" s="25">
        <v>2025</v>
      </c>
      <c r="E368" s="25" t="s">
        <v>599</v>
      </c>
      <c r="F368" s="25" t="s">
        <v>39</v>
      </c>
      <c r="G368" s="25" t="s">
        <v>610</v>
      </c>
      <c r="H368" s="25" t="s">
        <v>622</v>
      </c>
      <c r="I368" s="25" t="s">
        <v>631</v>
      </c>
      <c r="J368" s="25" t="s">
        <v>618</v>
      </c>
      <c r="K368" s="25">
        <v>8</v>
      </c>
      <c r="L368" s="25">
        <v>8000</v>
      </c>
      <c r="M368" s="25">
        <v>64000</v>
      </c>
      <c r="N368" s="25">
        <v>40960</v>
      </c>
      <c r="O368" s="25">
        <v>23040</v>
      </c>
      <c r="P368" s="32">
        <v>0.36</v>
      </c>
    </row>
    <row r="369" spans="1:16" x14ac:dyDescent="0.25">
      <c r="A369" s="28" t="s">
        <v>422</v>
      </c>
      <c r="B369" s="24">
        <v>45890</v>
      </c>
      <c r="C369" s="24" t="s">
        <v>50</v>
      </c>
      <c r="D369" s="23">
        <v>2025</v>
      </c>
      <c r="E369" s="23" t="s">
        <v>599</v>
      </c>
      <c r="F369" s="23" t="s">
        <v>39</v>
      </c>
      <c r="G369" s="23" t="s">
        <v>609</v>
      </c>
      <c r="H369" s="23" t="s">
        <v>620</v>
      </c>
      <c r="I369" s="23" t="s">
        <v>614</v>
      </c>
      <c r="J369" s="23" t="s">
        <v>618</v>
      </c>
      <c r="K369" s="23">
        <v>3</v>
      </c>
      <c r="L369" s="23">
        <v>20</v>
      </c>
      <c r="M369" s="23">
        <v>60</v>
      </c>
      <c r="N369" s="23">
        <v>36.6</v>
      </c>
      <c r="O369" s="23">
        <v>23.4</v>
      </c>
      <c r="P369" s="31">
        <v>0.38999999999999996</v>
      </c>
    </row>
    <row r="370" spans="1:16" x14ac:dyDescent="0.25">
      <c r="A370" s="29" t="s">
        <v>423</v>
      </c>
      <c r="B370" s="26">
        <v>45957</v>
      </c>
      <c r="C370" s="26" t="s">
        <v>65</v>
      </c>
      <c r="D370" s="25">
        <v>2025</v>
      </c>
      <c r="E370" s="25" t="s">
        <v>598</v>
      </c>
      <c r="F370" s="25" t="s">
        <v>40</v>
      </c>
      <c r="G370" s="25" t="s">
        <v>612</v>
      </c>
      <c r="H370" s="25" t="s">
        <v>620</v>
      </c>
      <c r="I370" s="25" t="s">
        <v>627</v>
      </c>
      <c r="J370" s="25" t="s">
        <v>615</v>
      </c>
      <c r="K370" s="25">
        <v>19</v>
      </c>
      <c r="L370" s="25">
        <v>300</v>
      </c>
      <c r="M370" s="25">
        <v>5700</v>
      </c>
      <c r="N370" s="25">
        <v>3648</v>
      </c>
      <c r="O370" s="25">
        <v>2052</v>
      </c>
      <c r="P370" s="32">
        <v>0.36</v>
      </c>
    </row>
    <row r="371" spans="1:16" x14ac:dyDescent="0.25">
      <c r="A371" s="28" t="s">
        <v>424</v>
      </c>
      <c r="B371" s="24">
        <v>45771</v>
      </c>
      <c r="C371" s="24" t="s">
        <v>62</v>
      </c>
      <c r="D371" s="23">
        <v>2025</v>
      </c>
      <c r="E371" s="23" t="s">
        <v>598</v>
      </c>
      <c r="F371" s="23" t="s">
        <v>40</v>
      </c>
      <c r="G371" s="23" t="s">
        <v>608</v>
      </c>
      <c r="H371" s="23" t="s">
        <v>620</v>
      </c>
      <c r="I371" s="23" t="s">
        <v>619</v>
      </c>
      <c r="J371" s="23" t="s">
        <v>615</v>
      </c>
      <c r="K371" s="23">
        <v>15</v>
      </c>
      <c r="L371" s="23">
        <v>150</v>
      </c>
      <c r="M371" s="23">
        <v>2250</v>
      </c>
      <c r="N371" s="23">
        <v>1642.5</v>
      </c>
      <c r="O371" s="23">
        <v>607.5</v>
      </c>
      <c r="P371" s="31">
        <v>0.27</v>
      </c>
    </row>
    <row r="372" spans="1:16" x14ac:dyDescent="0.25">
      <c r="A372" s="29" t="s">
        <v>425</v>
      </c>
      <c r="B372" s="26">
        <v>45911</v>
      </c>
      <c r="C372" s="26" t="s">
        <v>53</v>
      </c>
      <c r="D372" s="25">
        <v>2025</v>
      </c>
      <c r="E372" s="25" t="s">
        <v>599</v>
      </c>
      <c r="F372" s="25" t="s">
        <v>39</v>
      </c>
      <c r="G372" s="25" t="s">
        <v>610</v>
      </c>
      <c r="H372" s="25" t="s">
        <v>626</v>
      </c>
      <c r="I372" s="25" t="s">
        <v>627</v>
      </c>
      <c r="J372" s="25" t="s">
        <v>615</v>
      </c>
      <c r="K372" s="25">
        <v>7</v>
      </c>
      <c r="L372" s="25">
        <v>50</v>
      </c>
      <c r="M372" s="25">
        <v>350</v>
      </c>
      <c r="N372" s="25">
        <v>294</v>
      </c>
      <c r="O372" s="25">
        <v>56</v>
      </c>
      <c r="P372" s="32">
        <v>0.16</v>
      </c>
    </row>
    <row r="373" spans="1:16" x14ac:dyDescent="0.25">
      <c r="A373" s="28" t="s">
        <v>426</v>
      </c>
      <c r="B373" s="24">
        <v>46018</v>
      </c>
      <c r="C373" s="24" t="s">
        <v>80</v>
      </c>
      <c r="D373" s="23">
        <v>2025</v>
      </c>
      <c r="E373" s="23" t="s">
        <v>600</v>
      </c>
      <c r="F373" s="23" t="s">
        <v>39</v>
      </c>
      <c r="G373" s="23" t="s">
        <v>610</v>
      </c>
      <c r="H373" s="23" t="s">
        <v>626</v>
      </c>
      <c r="I373" s="23" t="s">
        <v>623</v>
      </c>
      <c r="J373" s="23" t="s">
        <v>618</v>
      </c>
      <c r="K373" s="23">
        <v>14</v>
      </c>
      <c r="L373" s="23">
        <v>700</v>
      </c>
      <c r="M373" s="23">
        <v>9800</v>
      </c>
      <c r="N373" s="23">
        <v>6860</v>
      </c>
      <c r="O373" s="23">
        <v>2940</v>
      </c>
      <c r="P373" s="31">
        <v>0.3</v>
      </c>
    </row>
    <row r="374" spans="1:16" x14ac:dyDescent="0.25">
      <c r="A374" s="29" t="s">
        <v>427</v>
      </c>
      <c r="B374" s="26">
        <v>45778</v>
      </c>
      <c r="C374" s="26" t="s">
        <v>57</v>
      </c>
      <c r="D374" s="25">
        <v>2025</v>
      </c>
      <c r="E374" s="25" t="s">
        <v>606</v>
      </c>
      <c r="F374" s="25" t="s">
        <v>40</v>
      </c>
      <c r="G374" s="25" t="s">
        <v>611</v>
      </c>
      <c r="H374" s="25" t="s">
        <v>613</v>
      </c>
      <c r="I374" s="25" t="s">
        <v>617</v>
      </c>
      <c r="J374" s="25" t="s">
        <v>618</v>
      </c>
      <c r="K374" s="25">
        <v>12</v>
      </c>
      <c r="L374" s="25">
        <v>45000</v>
      </c>
      <c r="M374" s="25">
        <v>540000</v>
      </c>
      <c r="N374" s="25">
        <v>442800</v>
      </c>
      <c r="O374" s="25">
        <v>97200</v>
      </c>
      <c r="P374" s="32">
        <v>0.18</v>
      </c>
    </row>
    <row r="375" spans="1:16" x14ac:dyDescent="0.25">
      <c r="A375" s="28" t="s">
        <v>428</v>
      </c>
      <c r="B375" s="24">
        <v>45675</v>
      </c>
      <c r="C375" s="24" t="s">
        <v>59</v>
      </c>
      <c r="D375" s="23">
        <v>2025</v>
      </c>
      <c r="E375" s="23" t="s">
        <v>604</v>
      </c>
      <c r="F375" s="23" t="s">
        <v>41</v>
      </c>
      <c r="G375" s="23" t="s">
        <v>610</v>
      </c>
      <c r="H375" s="23" t="s">
        <v>626</v>
      </c>
      <c r="I375" s="23" t="s">
        <v>617</v>
      </c>
      <c r="J375" s="23" t="s">
        <v>615</v>
      </c>
      <c r="K375" s="23">
        <v>10</v>
      </c>
      <c r="L375" s="23">
        <v>15000</v>
      </c>
      <c r="M375" s="23">
        <v>150000</v>
      </c>
      <c r="N375" s="23">
        <v>130500</v>
      </c>
      <c r="O375" s="23">
        <v>19500</v>
      </c>
      <c r="P375" s="31">
        <v>0.13</v>
      </c>
    </row>
    <row r="376" spans="1:16" x14ac:dyDescent="0.25">
      <c r="A376" s="29" t="s">
        <v>429</v>
      </c>
      <c r="B376" s="26">
        <v>45944</v>
      </c>
      <c r="C376" s="26" t="s">
        <v>65</v>
      </c>
      <c r="D376" s="25">
        <v>2025</v>
      </c>
      <c r="E376" s="25" t="s">
        <v>601</v>
      </c>
      <c r="F376" s="25" t="s">
        <v>41</v>
      </c>
      <c r="G376" s="25" t="s">
        <v>609</v>
      </c>
      <c r="H376" s="25" t="s">
        <v>613</v>
      </c>
      <c r="I376" s="25" t="s">
        <v>630</v>
      </c>
      <c r="J376" s="25" t="s">
        <v>615</v>
      </c>
      <c r="K376" s="25">
        <v>2</v>
      </c>
      <c r="L376" s="25">
        <v>9000</v>
      </c>
      <c r="M376" s="25">
        <v>18000</v>
      </c>
      <c r="N376" s="25">
        <v>12780</v>
      </c>
      <c r="O376" s="25">
        <v>5220</v>
      </c>
      <c r="P376" s="32">
        <v>0.28999999999999998</v>
      </c>
    </row>
    <row r="377" spans="1:16" x14ac:dyDescent="0.25">
      <c r="A377" s="28" t="s">
        <v>430</v>
      </c>
      <c r="B377" s="24">
        <v>45705</v>
      </c>
      <c r="C377" s="24" t="s">
        <v>55</v>
      </c>
      <c r="D377" s="23">
        <v>2025</v>
      </c>
      <c r="E377" s="23" t="s">
        <v>601</v>
      </c>
      <c r="F377" s="23" t="s">
        <v>41</v>
      </c>
      <c r="G377" s="23" t="s">
        <v>610</v>
      </c>
      <c r="H377" s="23" t="s">
        <v>621</v>
      </c>
      <c r="I377" s="25" t="s">
        <v>645</v>
      </c>
      <c r="J377" s="23" t="s">
        <v>615</v>
      </c>
      <c r="K377" s="23">
        <v>9</v>
      </c>
      <c r="L377" s="23">
        <v>300</v>
      </c>
      <c r="M377" s="23">
        <v>2700</v>
      </c>
      <c r="N377" s="23">
        <v>2133</v>
      </c>
      <c r="O377" s="23">
        <v>567</v>
      </c>
      <c r="P377" s="31">
        <v>0.21</v>
      </c>
    </row>
    <row r="378" spans="1:16" x14ac:dyDescent="0.25">
      <c r="A378" s="29" t="s">
        <v>431</v>
      </c>
      <c r="B378" s="26">
        <v>45792</v>
      </c>
      <c r="C378" s="26" t="s">
        <v>57</v>
      </c>
      <c r="D378" s="25">
        <v>2025</v>
      </c>
      <c r="E378" s="25" t="s">
        <v>598</v>
      </c>
      <c r="F378" s="25" t="s">
        <v>40</v>
      </c>
      <c r="G378" s="25" t="s">
        <v>609</v>
      </c>
      <c r="H378" s="25" t="s">
        <v>628</v>
      </c>
      <c r="I378" s="25" t="s">
        <v>645</v>
      </c>
      <c r="J378" s="25" t="s">
        <v>615</v>
      </c>
      <c r="K378" s="25">
        <v>11</v>
      </c>
      <c r="L378" s="25">
        <v>15000</v>
      </c>
      <c r="M378" s="25">
        <v>165000</v>
      </c>
      <c r="N378" s="25">
        <v>141900</v>
      </c>
      <c r="O378" s="25">
        <v>23100</v>
      </c>
      <c r="P378" s="32">
        <v>0.14000000000000001</v>
      </c>
    </row>
    <row r="379" spans="1:16" x14ac:dyDescent="0.25">
      <c r="A379" s="28" t="s">
        <v>432</v>
      </c>
      <c r="B379" s="24">
        <v>45753</v>
      </c>
      <c r="C379" s="24" t="s">
        <v>62</v>
      </c>
      <c r="D379" s="23">
        <v>2025</v>
      </c>
      <c r="E379" s="23" t="s">
        <v>594</v>
      </c>
      <c r="F379" s="23" t="s">
        <v>39</v>
      </c>
      <c r="G379" s="23" t="s">
        <v>609</v>
      </c>
      <c r="H379" s="23" t="s">
        <v>616</v>
      </c>
      <c r="I379" s="23" t="s">
        <v>623</v>
      </c>
      <c r="J379" s="23" t="s">
        <v>618</v>
      </c>
      <c r="K379" s="23">
        <v>6</v>
      </c>
      <c r="L379" s="23">
        <v>8000</v>
      </c>
      <c r="M379" s="23">
        <v>48000</v>
      </c>
      <c r="N379" s="23">
        <v>38400</v>
      </c>
      <c r="O379" s="23">
        <v>9600</v>
      </c>
      <c r="P379" s="31">
        <v>0.2</v>
      </c>
    </row>
    <row r="380" spans="1:16" x14ac:dyDescent="0.25">
      <c r="A380" s="29" t="s">
        <v>433</v>
      </c>
      <c r="B380" s="26">
        <v>45677</v>
      </c>
      <c r="C380" s="26" t="s">
        <v>59</v>
      </c>
      <c r="D380" s="25">
        <v>2025</v>
      </c>
      <c r="E380" s="25" t="s">
        <v>593</v>
      </c>
      <c r="F380" s="25" t="s">
        <v>41</v>
      </c>
      <c r="G380" s="25" t="s">
        <v>609</v>
      </c>
      <c r="H380" s="25" t="s">
        <v>624</v>
      </c>
      <c r="I380" s="25" t="s">
        <v>617</v>
      </c>
      <c r="J380" s="25" t="s">
        <v>618</v>
      </c>
      <c r="K380" s="25">
        <v>3</v>
      </c>
      <c r="L380" s="25">
        <v>45000</v>
      </c>
      <c r="M380" s="25">
        <v>135000</v>
      </c>
      <c r="N380" s="25">
        <v>97200</v>
      </c>
      <c r="O380" s="25">
        <v>37800</v>
      </c>
      <c r="P380" s="32">
        <v>0.28000000000000003</v>
      </c>
    </row>
    <row r="381" spans="1:16" x14ac:dyDescent="0.25">
      <c r="A381" s="28" t="s">
        <v>434</v>
      </c>
      <c r="B381" s="24">
        <v>45696</v>
      </c>
      <c r="C381" s="24" t="s">
        <v>55</v>
      </c>
      <c r="D381" s="23">
        <v>2025</v>
      </c>
      <c r="E381" s="23" t="s">
        <v>597</v>
      </c>
      <c r="F381" s="23" t="s">
        <v>41</v>
      </c>
      <c r="G381" s="23" t="s">
        <v>612</v>
      </c>
      <c r="H381" s="23" t="s">
        <v>626</v>
      </c>
      <c r="I381" s="23" t="s">
        <v>614</v>
      </c>
      <c r="J381" s="23" t="s">
        <v>615</v>
      </c>
      <c r="K381" s="23">
        <v>16</v>
      </c>
      <c r="L381" s="23">
        <v>8000</v>
      </c>
      <c r="M381" s="23">
        <v>128000</v>
      </c>
      <c r="N381" s="23">
        <v>76800</v>
      </c>
      <c r="O381" s="23">
        <v>51200</v>
      </c>
      <c r="P381" s="31">
        <v>0.4</v>
      </c>
    </row>
    <row r="382" spans="1:16" x14ac:dyDescent="0.25">
      <c r="A382" s="29" t="s">
        <v>435</v>
      </c>
      <c r="B382" s="26">
        <v>45947</v>
      </c>
      <c r="C382" s="26" t="s">
        <v>65</v>
      </c>
      <c r="D382" s="25">
        <v>2025</v>
      </c>
      <c r="E382" s="25" t="s">
        <v>604</v>
      </c>
      <c r="F382" s="25" t="s">
        <v>41</v>
      </c>
      <c r="G382" s="25" t="s">
        <v>609</v>
      </c>
      <c r="H382" s="25" t="s">
        <v>621</v>
      </c>
      <c r="I382" s="25" t="s">
        <v>623</v>
      </c>
      <c r="J382" s="25" t="s">
        <v>618</v>
      </c>
      <c r="K382" s="25">
        <v>7</v>
      </c>
      <c r="L382" s="25">
        <v>700</v>
      </c>
      <c r="M382" s="25">
        <v>4900</v>
      </c>
      <c r="N382" s="25">
        <v>3577</v>
      </c>
      <c r="O382" s="25">
        <v>1323</v>
      </c>
      <c r="P382" s="32">
        <v>0.27</v>
      </c>
    </row>
    <row r="383" spans="1:16" x14ac:dyDescent="0.25">
      <c r="A383" s="28" t="s">
        <v>436</v>
      </c>
      <c r="B383" s="24">
        <v>45926</v>
      </c>
      <c r="C383" s="24" t="s">
        <v>53</v>
      </c>
      <c r="D383" s="23">
        <v>2025</v>
      </c>
      <c r="E383" s="23" t="s">
        <v>604</v>
      </c>
      <c r="F383" s="23" t="s">
        <v>41</v>
      </c>
      <c r="G383" s="23" t="s">
        <v>608</v>
      </c>
      <c r="H383" s="23" t="s">
        <v>616</v>
      </c>
      <c r="I383" s="23" t="s">
        <v>631</v>
      </c>
      <c r="J383" s="23" t="s">
        <v>615</v>
      </c>
      <c r="K383" s="23">
        <v>10</v>
      </c>
      <c r="L383" s="23">
        <v>45000</v>
      </c>
      <c r="M383" s="23">
        <v>450000</v>
      </c>
      <c r="N383" s="23">
        <v>333000</v>
      </c>
      <c r="O383" s="23">
        <v>117000</v>
      </c>
      <c r="P383" s="31">
        <v>0.26</v>
      </c>
    </row>
    <row r="384" spans="1:16" x14ac:dyDescent="0.25">
      <c r="A384" s="29" t="s">
        <v>437</v>
      </c>
      <c r="B384" s="26">
        <v>45817</v>
      </c>
      <c r="C384" s="26" t="s">
        <v>44</v>
      </c>
      <c r="D384" s="25">
        <v>2025</v>
      </c>
      <c r="E384" s="25" t="s">
        <v>603</v>
      </c>
      <c r="F384" s="25" t="s">
        <v>42</v>
      </c>
      <c r="G384" s="25" t="s">
        <v>608</v>
      </c>
      <c r="H384" s="25" t="s">
        <v>628</v>
      </c>
      <c r="I384" s="25" t="s">
        <v>630</v>
      </c>
      <c r="J384" s="25" t="s">
        <v>618</v>
      </c>
      <c r="K384" s="25">
        <v>12</v>
      </c>
      <c r="L384" s="25">
        <v>3500</v>
      </c>
      <c r="M384" s="25">
        <v>42000</v>
      </c>
      <c r="N384" s="25">
        <v>34860</v>
      </c>
      <c r="O384" s="25">
        <v>7140</v>
      </c>
      <c r="P384" s="32">
        <v>0.17</v>
      </c>
    </row>
    <row r="385" spans="1:16" x14ac:dyDescent="0.25">
      <c r="A385" s="28" t="s">
        <v>438</v>
      </c>
      <c r="B385" s="24">
        <v>45672</v>
      </c>
      <c r="C385" s="24" t="s">
        <v>59</v>
      </c>
      <c r="D385" s="23">
        <v>2025</v>
      </c>
      <c r="E385" s="23" t="s">
        <v>607</v>
      </c>
      <c r="F385" s="23" t="s">
        <v>42</v>
      </c>
      <c r="G385" s="23" t="s">
        <v>608</v>
      </c>
      <c r="H385" s="23" t="s">
        <v>616</v>
      </c>
      <c r="I385" s="23" t="s">
        <v>617</v>
      </c>
      <c r="J385" s="23" t="s">
        <v>615</v>
      </c>
      <c r="K385" s="23">
        <v>5</v>
      </c>
      <c r="L385" s="23">
        <v>20</v>
      </c>
      <c r="M385" s="23">
        <v>100</v>
      </c>
      <c r="N385" s="23">
        <v>90</v>
      </c>
      <c r="O385" s="23">
        <v>10</v>
      </c>
      <c r="P385" s="31">
        <v>0.1</v>
      </c>
    </row>
    <row r="386" spans="1:16" x14ac:dyDescent="0.25">
      <c r="A386" s="29" t="s">
        <v>439</v>
      </c>
      <c r="B386" s="26">
        <v>45913</v>
      </c>
      <c r="C386" s="26" t="s">
        <v>53</v>
      </c>
      <c r="D386" s="25">
        <v>2025</v>
      </c>
      <c r="E386" s="25" t="s">
        <v>593</v>
      </c>
      <c r="F386" s="25" t="s">
        <v>41</v>
      </c>
      <c r="G386" s="25" t="s">
        <v>612</v>
      </c>
      <c r="H386" s="25" t="s">
        <v>622</v>
      </c>
      <c r="I386" s="25" t="s">
        <v>627</v>
      </c>
      <c r="J386" s="25" t="s">
        <v>618</v>
      </c>
      <c r="K386" s="25">
        <v>5</v>
      </c>
      <c r="L386" s="25">
        <v>4000</v>
      </c>
      <c r="M386" s="25">
        <v>20000</v>
      </c>
      <c r="N386" s="25">
        <v>14000</v>
      </c>
      <c r="O386" s="25">
        <v>6000</v>
      </c>
      <c r="P386" s="32">
        <v>0.3</v>
      </c>
    </row>
    <row r="387" spans="1:16" x14ac:dyDescent="0.25">
      <c r="A387" s="28" t="s">
        <v>440</v>
      </c>
      <c r="B387" s="24">
        <v>45673</v>
      </c>
      <c r="C387" s="24" t="s">
        <v>59</v>
      </c>
      <c r="D387" s="23">
        <v>2025</v>
      </c>
      <c r="E387" s="23" t="s">
        <v>593</v>
      </c>
      <c r="F387" s="23" t="s">
        <v>41</v>
      </c>
      <c r="G387" s="23" t="s">
        <v>610</v>
      </c>
      <c r="H387" s="23" t="s">
        <v>628</v>
      </c>
      <c r="I387" s="23" t="s">
        <v>617</v>
      </c>
      <c r="J387" s="23" t="s">
        <v>618</v>
      </c>
      <c r="K387" s="23">
        <v>3</v>
      </c>
      <c r="L387" s="23">
        <v>20</v>
      </c>
      <c r="M387" s="23">
        <v>60</v>
      </c>
      <c r="N387" s="23">
        <v>45</v>
      </c>
      <c r="O387" s="23">
        <v>15</v>
      </c>
      <c r="P387" s="31">
        <v>0.25</v>
      </c>
    </row>
    <row r="388" spans="1:16" x14ac:dyDescent="0.25">
      <c r="A388" s="29" t="s">
        <v>441</v>
      </c>
      <c r="B388" s="26">
        <v>45977</v>
      </c>
      <c r="C388" s="26" t="s">
        <v>48</v>
      </c>
      <c r="D388" s="25">
        <v>2025</v>
      </c>
      <c r="E388" s="25" t="s">
        <v>603</v>
      </c>
      <c r="F388" s="25" t="s">
        <v>42</v>
      </c>
      <c r="G388" s="25" t="s">
        <v>608</v>
      </c>
      <c r="H388" s="25" t="s">
        <v>626</v>
      </c>
      <c r="I388" s="25" t="s">
        <v>630</v>
      </c>
      <c r="J388" s="25" t="s">
        <v>615</v>
      </c>
      <c r="K388" s="25">
        <v>19</v>
      </c>
      <c r="L388" s="25">
        <v>8000</v>
      </c>
      <c r="M388" s="25">
        <v>152000</v>
      </c>
      <c r="N388" s="25">
        <v>132240</v>
      </c>
      <c r="O388" s="25">
        <v>19760</v>
      </c>
      <c r="P388" s="32">
        <v>0.13</v>
      </c>
    </row>
    <row r="389" spans="1:16" x14ac:dyDescent="0.25">
      <c r="A389" s="28" t="s">
        <v>442</v>
      </c>
      <c r="B389" s="24">
        <v>45905</v>
      </c>
      <c r="C389" s="24" t="s">
        <v>53</v>
      </c>
      <c r="D389" s="23">
        <v>2025</v>
      </c>
      <c r="E389" s="23" t="s">
        <v>601</v>
      </c>
      <c r="F389" s="23" t="s">
        <v>41</v>
      </c>
      <c r="G389" s="23" t="s">
        <v>611</v>
      </c>
      <c r="H389" s="23" t="s">
        <v>613</v>
      </c>
      <c r="I389" s="23" t="s">
        <v>617</v>
      </c>
      <c r="J389" s="23" t="s">
        <v>615</v>
      </c>
      <c r="K389" s="23">
        <v>4</v>
      </c>
      <c r="L389" s="23">
        <v>300</v>
      </c>
      <c r="M389" s="23">
        <v>1200</v>
      </c>
      <c r="N389" s="23">
        <v>1008</v>
      </c>
      <c r="O389" s="23">
        <v>192</v>
      </c>
      <c r="P389" s="31">
        <v>0.16</v>
      </c>
    </row>
    <row r="390" spans="1:16" x14ac:dyDescent="0.25">
      <c r="A390" s="29" t="s">
        <v>443</v>
      </c>
      <c r="B390" s="26">
        <v>45852</v>
      </c>
      <c r="C390" s="26" t="s">
        <v>83</v>
      </c>
      <c r="D390" s="25">
        <v>2025</v>
      </c>
      <c r="E390" s="25" t="s">
        <v>603</v>
      </c>
      <c r="F390" s="25" t="s">
        <v>42</v>
      </c>
      <c r="G390" s="25" t="s">
        <v>611</v>
      </c>
      <c r="H390" s="25" t="s">
        <v>629</v>
      </c>
      <c r="I390" s="25" t="s">
        <v>645</v>
      </c>
      <c r="J390" s="25" t="s">
        <v>615</v>
      </c>
      <c r="K390" s="25">
        <v>7</v>
      </c>
      <c r="L390" s="25">
        <v>9000</v>
      </c>
      <c r="M390" s="25">
        <v>63000</v>
      </c>
      <c r="N390" s="25">
        <v>46620</v>
      </c>
      <c r="O390" s="25">
        <v>16380</v>
      </c>
      <c r="P390" s="32">
        <v>0.26</v>
      </c>
    </row>
    <row r="391" spans="1:16" x14ac:dyDescent="0.25">
      <c r="A391" s="28" t="s">
        <v>444</v>
      </c>
      <c r="B391" s="24">
        <v>45892</v>
      </c>
      <c r="C391" s="24" t="s">
        <v>50</v>
      </c>
      <c r="D391" s="23">
        <v>2025</v>
      </c>
      <c r="E391" s="23" t="s">
        <v>596</v>
      </c>
      <c r="F391" s="23" t="s">
        <v>39</v>
      </c>
      <c r="G391" s="23" t="s">
        <v>611</v>
      </c>
      <c r="H391" s="23" t="s">
        <v>613</v>
      </c>
      <c r="I391" s="23" t="s">
        <v>631</v>
      </c>
      <c r="J391" s="23" t="s">
        <v>615</v>
      </c>
      <c r="K391" s="23">
        <v>4</v>
      </c>
      <c r="L391" s="23">
        <v>20</v>
      </c>
      <c r="M391" s="23">
        <v>80</v>
      </c>
      <c r="N391" s="23">
        <v>52</v>
      </c>
      <c r="O391" s="23">
        <v>28</v>
      </c>
      <c r="P391" s="31">
        <v>0.35</v>
      </c>
    </row>
    <row r="392" spans="1:16" x14ac:dyDescent="0.25">
      <c r="A392" s="29" t="s">
        <v>445</v>
      </c>
      <c r="B392" s="26">
        <v>45819</v>
      </c>
      <c r="C392" s="26" t="s">
        <v>44</v>
      </c>
      <c r="D392" s="25">
        <v>2025</v>
      </c>
      <c r="E392" s="25" t="s">
        <v>597</v>
      </c>
      <c r="F392" s="25" t="s">
        <v>41</v>
      </c>
      <c r="G392" s="25" t="s">
        <v>610</v>
      </c>
      <c r="H392" s="25" t="s">
        <v>616</v>
      </c>
      <c r="I392" s="25" t="s">
        <v>617</v>
      </c>
      <c r="J392" s="25" t="s">
        <v>618</v>
      </c>
      <c r="K392" s="25">
        <v>17</v>
      </c>
      <c r="L392" s="25">
        <v>4000</v>
      </c>
      <c r="M392" s="25">
        <v>68000</v>
      </c>
      <c r="N392" s="25">
        <v>42160</v>
      </c>
      <c r="O392" s="25">
        <v>25840</v>
      </c>
      <c r="P392" s="32">
        <v>0.38</v>
      </c>
    </row>
    <row r="393" spans="1:16" x14ac:dyDescent="0.25">
      <c r="A393" s="28" t="s">
        <v>446</v>
      </c>
      <c r="B393" s="24">
        <v>45698</v>
      </c>
      <c r="C393" s="24" t="s">
        <v>55</v>
      </c>
      <c r="D393" s="23">
        <v>2025</v>
      </c>
      <c r="E393" s="23" t="s">
        <v>599</v>
      </c>
      <c r="F393" s="23" t="s">
        <v>39</v>
      </c>
      <c r="G393" s="23" t="s">
        <v>610</v>
      </c>
      <c r="H393" s="23" t="s">
        <v>626</v>
      </c>
      <c r="I393" s="23" t="s">
        <v>623</v>
      </c>
      <c r="J393" s="23" t="s">
        <v>618</v>
      </c>
      <c r="K393" s="23">
        <v>12</v>
      </c>
      <c r="L393" s="23">
        <v>3500</v>
      </c>
      <c r="M393" s="23">
        <v>42000</v>
      </c>
      <c r="N393" s="23">
        <v>30660</v>
      </c>
      <c r="O393" s="23">
        <v>11340</v>
      </c>
      <c r="P393" s="31">
        <v>0.27</v>
      </c>
    </row>
    <row r="394" spans="1:16" x14ac:dyDescent="0.25">
      <c r="A394" s="29" t="s">
        <v>447</v>
      </c>
      <c r="B394" s="26">
        <v>45721</v>
      </c>
      <c r="C394" s="26" t="s">
        <v>46</v>
      </c>
      <c r="D394" s="25">
        <v>2025</v>
      </c>
      <c r="E394" s="25" t="s">
        <v>592</v>
      </c>
      <c r="F394" s="25" t="s">
        <v>40</v>
      </c>
      <c r="G394" s="25" t="s">
        <v>608</v>
      </c>
      <c r="H394" s="25" t="s">
        <v>626</v>
      </c>
      <c r="I394" s="25" t="s">
        <v>623</v>
      </c>
      <c r="J394" s="25" t="s">
        <v>618</v>
      </c>
      <c r="K394" s="25">
        <v>1</v>
      </c>
      <c r="L394" s="25">
        <v>9000</v>
      </c>
      <c r="M394" s="25">
        <v>9000</v>
      </c>
      <c r="N394" s="25">
        <v>7110</v>
      </c>
      <c r="O394" s="25">
        <v>1890</v>
      </c>
      <c r="P394" s="32">
        <v>0.21</v>
      </c>
    </row>
    <row r="395" spans="1:16" x14ac:dyDescent="0.25">
      <c r="A395" s="28" t="s">
        <v>448</v>
      </c>
      <c r="B395" s="24">
        <v>45716</v>
      </c>
      <c r="C395" s="24" t="s">
        <v>55</v>
      </c>
      <c r="D395" s="23">
        <v>2025</v>
      </c>
      <c r="E395" s="23" t="s">
        <v>602</v>
      </c>
      <c r="F395" s="23" t="s">
        <v>42</v>
      </c>
      <c r="G395" s="23" t="s">
        <v>610</v>
      </c>
      <c r="H395" s="23" t="s">
        <v>621</v>
      </c>
      <c r="I395" s="23" t="s">
        <v>630</v>
      </c>
      <c r="J395" s="23" t="s">
        <v>615</v>
      </c>
      <c r="K395" s="23">
        <v>18</v>
      </c>
      <c r="L395" s="23">
        <v>25000</v>
      </c>
      <c r="M395" s="23">
        <v>450000</v>
      </c>
      <c r="N395" s="23">
        <v>288000</v>
      </c>
      <c r="O395" s="23">
        <v>162000</v>
      </c>
      <c r="P395" s="31">
        <v>0.36</v>
      </c>
    </row>
    <row r="396" spans="1:16" x14ac:dyDescent="0.25">
      <c r="A396" s="29" t="s">
        <v>449</v>
      </c>
      <c r="B396" s="26">
        <v>45846</v>
      </c>
      <c r="C396" s="26" t="s">
        <v>83</v>
      </c>
      <c r="D396" s="25">
        <v>2025</v>
      </c>
      <c r="E396" s="25" t="s">
        <v>594</v>
      </c>
      <c r="F396" s="25" t="s">
        <v>39</v>
      </c>
      <c r="G396" s="25" t="s">
        <v>610</v>
      </c>
      <c r="H396" s="25" t="s">
        <v>626</v>
      </c>
      <c r="I396" s="25" t="s">
        <v>645</v>
      </c>
      <c r="J396" s="25" t="s">
        <v>618</v>
      </c>
      <c r="K396" s="25">
        <v>2</v>
      </c>
      <c r="L396" s="25">
        <v>20</v>
      </c>
      <c r="M396" s="25">
        <v>40</v>
      </c>
      <c r="N396" s="25">
        <v>27.2</v>
      </c>
      <c r="O396" s="25">
        <v>12.8</v>
      </c>
      <c r="P396" s="32">
        <v>0.32</v>
      </c>
    </row>
    <row r="397" spans="1:16" x14ac:dyDescent="0.25">
      <c r="A397" s="28" t="s">
        <v>450</v>
      </c>
      <c r="B397" s="24">
        <v>45706</v>
      </c>
      <c r="C397" s="24" t="s">
        <v>55</v>
      </c>
      <c r="D397" s="23">
        <v>2025</v>
      </c>
      <c r="E397" s="23" t="s">
        <v>597</v>
      </c>
      <c r="F397" s="23" t="s">
        <v>41</v>
      </c>
      <c r="G397" s="23" t="s">
        <v>608</v>
      </c>
      <c r="H397" s="23" t="s">
        <v>624</v>
      </c>
      <c r="I397" s="23" t="s">
        <v>614</v>
      </c>
      <c r="J397" s="23" t="s">
        <v>618</v>
      </c>
      <c r="K397" s="23">
        <v>9</v>
      </c>
      <c r="L397" s="23">
        <v>20</v>
      </c>
      <c r="M397" s="23">
        <v>180</v>
      </c>
      <c r="N397" s="23">
        <v>109.8</v>
      </c>
      <c r="O397" s="23">
        <v>70.2</v>
      </c>
      <c r="P397" s="31">
        <v>0.39</v>
      </c>
    </row>
    <row r="398" spans="1:16" x14ac:dyDescent="0.25">
      <c r="A398" s="29" t="s">
        <v>451</v>
      </c>
      <c r="B398" s="26">
        <v>45728</v>
      </c>
      <c r="C398" s="26" t="s">
        <v>46</v>
      </c>
      <c r="D398" s="25">
        <v>2025</v>
      </c>
      <c r="E398" s="25" t="s">
        <v>594</v>
      </c>
      <c r="F398" s="25" t="s">
        <v>39</v>
      </c>
      <c r="G398" s="25" t="s">
        <v>611</v>
      </c>
      <c r="H398" s="25" t="s">
        <v>620</v>
      </c>
      <c r="I398" s="25" t="s">
        <v>630</v>
      </c>
      <c r="J398" s="25" t="s">
        <v>615</v>
      </c>
      <c r="K398" s="25">
        <v>14</v>
      </c>
      <c r="L398" s="25">
        <v>8000</v>
      </c>
      <c r="M398" s="25">
        <v>112000</v>
      </c>
      <c r="N398" s="25">
        <v>76160</v>
      </c>
      <c r="O398" s="25">
        <v>35840</v>
      </c>
      <c r="P398" s="32">
        <v>0.32</v>
      </c>
    </row>
    <row r="399" spans="1:16" x14ac:dyDescent="0.25">
      <c r="A399" s="28" t="s">
        <v>452</v>
      </c>
      <c r="B399" s="24">
        <v>45680</v>
      </c>
      <c r="C399" s="24" t="s">
        <v>59</v>
      </c>
      <c r="D399" s="23">
        <v>2025</v>
      </c>
      <c r="E399" s="23" t="s">
        <v>597</v>
      </c>
      <c r="F399" s="23" t="s">
        <v>41</v>
      </c>
      <c r="G399" s="23" t="s">
        <v>612</v>
      </c>
      <c r="H399" s="23" t="s">
        <v>622</v>
      </c>
      <c r="I399" s="25" t="s">
        <v>645</v>
      </c>
      <c r="J399" s="23" t="s">
        <v>618</v>
      </c>
      <c r="K399" s="23">
        <v>8</v>
      </c>
      <c r="L399" s="23">
        <v>20</v>
      </c>
      <c r="M399" s="23">
        <v>160</v>
      </c>
      <c r="N399" s="23">
        <v>115.2</v>
      </c>
      <c r="O399" s="23">
        <v>44.8</v>
      </c>
      <c r="P399" s="31">
        <v>0.27999999999999997</v>
      </c>
    </row>
    <row r="400" spans="1:16" x14ac:dyDescent="0.25">
      <c r="A400" s="29" t="s">
        <v>453</v>
      </c>
      <c r="B400" s="26">
        <v>45999</v>
      </c>
      <c r="C400" s="26" t="s">
        <v>80</v>
      </c>
      <c r="D400" s="25">
        <v>2025</v>
      </c>
      <c r="E400" s="25" t="s">
        <v>597</v>
      </c>
      <c r="F400" s="25" t="s">
        <v>41</v>
      </c>
      <c r="G400" s="25" t="s">
        <v>608</v>
      </c>
      <c r="H400" s="25" t="s">
        <v>620</v>
      </c>
      <c r="I400" s="25" t="s">
        <v>623</v>
      </c>
      <c r="J400" s="25" t="s">
        <v>618</v>
      </c>
      <c r="K400" s="25">
        <v>3</v>
      </c>
      <c r="L400" s="25">
        <v>700</v>
      </c>
      <c r="M400" s="25">
        <v>2100</v>
      </c>
      <c r="N400" s="25">
        <v>1344</v>
      </c>
      <c r="O400" s="25">
        <v>756</v>
      </c>
      <c r="P400" s="32">
        <v>0.36</v>
      </c>
    </row>
    <row r="401" spans="1:16" x14ac:dyDescent="0.25">
      <c r="A401" s="28" t="s">
        <v>454</v>
      </c>
      <c r="B401" s="24">
        <v>45710</v>
      </c>
      <c r="C401" s="24" t="s">
        <v>55</v>
      </c>
      <c r="D401" s="23">
        <v>2025</v>
      </c>
      <c r="E401" s="23" t="s">
        <v>597</v>
      </c>
      <c r="F401" s="23" t="s">
        <v>41</v>
      </c>
      <c r="G401" s="23" t="s">
        <v>608</v>
      </c>
      <c r="H401" s="23" t="s">
        <v>625</v>
      </c>
      <c r="I401" s="23" t="s">
        <v>627</v>
      </c>
      <c r="J401" s="23" t="s">
        <v>615</v>
      </c>
      <c r="K401" s="23">
        <v>4</v>
      </c>
      <c r="L401" s="23">
        <v>9000</v>
      </c>
      <c r="M401" s="23">
        <v>36000</v>
      </c>
      <c r="N401" s="23">
        <v>29160</v>
      </c>
      <c r="O401" s="23">
        <v>6840</v>
      </c>
      <c r="P401" s="31">
        <v>0.19</v>
      </c>
    </row>
    <row r="402" spans="1:16" x14ac:dyDescent="0.25">
      <c r="A402" s="29" t="s">
        <v>455</v>
      </c>
      <c r="B402" s="26">
        <v>45995</v>
      </c>
      <c r="C402" s="26" t="s">
        <v>80</v>
      </c>
      <c r="D402" s="25">
        <v>2025</v>
      </c>
      <c r="E402" s="25" t="s">
        <v>598</v>
      </c>
      <c r="F402" s="25" t="s">
        <v>40</v>
      </c>
      <c r="G402" s="25" t="s">
        <v>612</v>
      </c>
      <c r="H402" s="25" t="s">
        <v>613</v>
      </c>
      <c r="I402" s="25" t="s">
        <v>614</v>
      </c>
      <c r="J402" s="25" t="s">
        <v>618</v>
      </c>
      <c r="K402" s="25">
        <v>5</v>
      </c>
      <c r="L402" s="25">
        <v>4000</v>
      </c>
      <c r="M402" s="25">
        <v>20000</v>
      </c>
      <c r="N402" s="25">
        <v>13200</v>
      </c>
      <c r="O402" s="25">
        <v>6800</v>
      </c>
      <c r="P402" s="32">
        <v>0.34</v>
      </c>
    </row>
    <row r="403" spans="1:16" x14ac:dyDescent="0.25">
      <c r="A403" s="28" t="s">
        <v>456</v>
      </c>
      <c r="B403" s="24">
        <v>45690</v>
      </c>
      <c r="C403" s="24" t="s">
        <v>55</v>
      </c>
      <c r="D403" s="23">
        <v>2025</v>
      </c>
      <c r="E403" s="23" t="s">
        <v>596</v>
      </c>
      <c r="F403" s="23" t="s">
        <v>39</v>
      </c>
      <c r="G403" s="23" t="s">
        <v>610</v>
      </c>
      <c r="H403" s="23" t="s">
        <v>629</v>
      </c>
      <c r="I403" s="23" t="s">
        <v>623</v>
      </c>
      <c r="J403" s="23" t="s">
        <v>615</v>
      </c>
      <c r="K403" s="23">
        <v>13</v>
      </c>
      <c r="L403" s="23">
        <v>55000</v>
      </c>
      <c r="M403" s="23">
        <v>715000</v>
      </c>
      <c r="N403" s="23">
        <v>579150</v>
      </c>
      <c r="O403" s="23">
        <v>135850</v>
      </c>
      <c r="P403" s="31">
        <v>0.19</v>
      </c>
    </row>
    <row r="404" spans="1:16" x14ac:dyDescent="0.25">
      <c r="A404" s="29" t="s">
        <v>457</v>
      </c>
      <c r="B404" s="26">
        <v>45860</v>
      </c>
      <c r="C404" s="26" t="s">
        <v>83</v>
      </c>
      <c r="D404" s="25">
        <v>2025</v>
      </c>
      <c r="E404" s="25" t="s">
        <v>596</v>
      </c>
      <c r="F404" s="25" t="s">
        <v>39</v>
      </c>
      <c r="G404" s="25" t="s">
        <v>608</v>
      </c>
      <c r="H404" s="25" t="s">
        <v>616</v>
      </c>
      <c r="I404" s="25" t="s">
        <v>623</v>
      </c>
      <c r="J404" s="25" t="s">
        <v>615</v>
      </c>
      <c r="K404" s="25">
        <v>6</v>
      </c>
      <c r="L404" s="25">
        <v>8000</v>
      </c>
      <c r="M404" s="25">
        <v>48000</v>
      </c>
      <c r="N404" s="25">
        <v>39360</v>
      </c>
      <c r="O404" s="25">
        <v>8640</v>
      </c>
      <c r="P404" s="32">
        <v>0.18</v>
      </c>
    </row>
    <row r="405" spans="1:16" x14ac:dyDescent="0.25">
      <c r="A405" s="28" t="s">
        <v>458</v>
      </c>
      <c r="B405" s="24">
        <v>45827</v>
      </c>
      <c r="C405" s="24" t="s">
        <v>44</v>
      </c>
      <c r="D405" s="23">
        <v>2025</v>
      </c>
      <c r="E405" s="23" t="s">
        <v>604</v>
      </c>
      <c r="F405" s="23" t="s">
        <v>41</v>
      </c>
      <c r="G405" s="23" t="s">
        <v>608</v>
      </c>
      <c r="H405" s="23" t="s">
        <v>629</v>
      </c>
      <c r="I405" s="23" t="s">
        <v>627</v>
      </c>
      <c r="J405" s="23" t="s">
        <v>618</v>
      </c>
      <c r="K405" s="23">
        <v>18</v>
      </c>
      <c r="L405" s="23">
        <v>15000</v>
      </c>
      <c r="M405" s="23">
        <v>270000</v>
      </c>
      <c r="N405" s="23">
        <v>216000</v>
      </c>
      <c r="O405" s="23">
        <v>54000</v>
      </c>
      <c r="P405" s="31">
        <v>0.2</v>
      </c>
    </row>
    <row r="406" spans="1:16" x14ac:dyDescent="0.25">
      <c r="A406" s="29" t="s">
        <v>459</v>
      </c>
      <c r="B406" s="26">
        <v>45823</v>
      </c>
      <c r="C406" s="26" t="s">
        <v>44</v>
      </c>
      <c r="D406" s="25">
        <v>2025</v>
      </c>
      <c r="E406" s="25" t="s">
        <v>601</v>
      </c>
      <c r="F406" s="25" t="s">
        <v>41</v>
      </c>
      <c r="G406" s="25" t="s">
        <v>610</v>
      </c>
      <c r="H406" s="25" t="s">
        <v>624</v>
      </c>
      <c r="I406" s="25" t="s">
        <v>617</v>
      </c>
      <c r="J406" s="25" t="s">
        <v>618</v>
      </c>
      <c r="K406" s="25">
        <v>15</v>
      </c>
      <c r="L406" s="25">
        <v>12000</v>
      </c>
      <c r="M406" s="25">
        <v>180000</v>
      </c>
      <c r="N406" s="25">
        <v>120600</v>
      </c>
      <c r="O406" s="25">
        <v>59400</v>
      </c>
      <c r="P406" s="32">
        <v>0.33</v>
      </c>
    </row>
    <row r="407" spans="1:16" x14ac:dyDescent="0.25">
      <c r="A407" s="28" t="s">
        <v>460</v>
      </c>
      <c r="B407" s="24">
        <v>45826</v>
      </c>
      <c r="C407" s="24" t="s">
        <v>44</v>
      </c>
      <c r="D407" s="23">
        <v>2025</v>
      </c>
      <c r="E407" s="23" t="s">
        <v>603</v>
      </c>
      <c r="F407" s="23" t="s">
        <v>42</v>
      </c>
      <c r="G407" s="23" t="s">
        <v>612</v>
      </c>
      <c r="H407" s="23" t="s">
        <v>613</v>
      </c>
      <c r="I407" s="25" t="s">
        <v>645</v>
      </c>
      <c r="J407" s="23" t="s">
        <v>615</v>
      </c>
      <c r="K407" s="23">
        <v>12</v>
      </c>
      <c r="L407" s="23">
        <v>25000</v>
      </c>
      <c r="M407" s="23">
        <v>300000</v>
      </c>
      <c r="N407" s="23">
        <v>204000</v>
      </c>
      <c r="O407" s="23">
        <v>96000</v>
      </c>
      <c r="P407" s="31">
        <v>0.32</v>
      </c>
    </row>
    <row r="408" spans="1:16" x14ac:dyDescent="0.25">
      <c r="A408" s="29" t="s">
        <v>461</v>
      </c>
      <c r="B408" s="26">
        <v>45863</v>
      </c>
      <c r="C408" s="26" t="s">
        <v>83</v>
      </c>
      <c r="D408" s="25">
        <v>2025</v>
      </c>
      <c r="E408" s="25" t="s">
        <v>606</v>
      </c>
      <c r="F408" s="25" t="s">
        <v>40</v>
      </c>
      <c r="G408" s="25" t="s">
        <v>608</v>
      </c>
      <c r="H408" s="25" t="s">
        <v>629</v>
      </c>
      <c r="I408" s="25" t="s">
        <v>614</v>
      </c>
      <c r="J408" s="25" t="s">
        <v>618</v>
      </c>
      <c r="K408" s="25">
        <v>4</v>
      </c>
      <c r="L408" s="25">
        <v>7000</v>
      </c>
      <c r="M408" s="25">
        <v>28000</v>
      </c>
      <c r="N408" s="25">
        <v>24920</v>
      </c>
      <c r="O408" s="25">
        <v>3080</v>
      </c>
      <c r="P408" s="32">
        <v>0.11</v>
      </c>
    </row>
    <row r="409" spans="1:16" x14ac:dyDescent="0.25">
      <c r="A409" s="28" t="s">
        <v>462</v>
      </c>
      <c r="B409" s="24">
        <v>45955</v>
      </c>
      <c r="C409" s="24" t="s">
        <v>65</v>
      </c>
      <c r="D409" s="23">
        <v>2025</v>
      </c>
      <c r="E409" s="23" t="s">
        <v>594</v>
      </c>
      <c r="F409" s="23" t="s">
        <v>39</v>
      </c>
      <c r="G409" s="23" t="s">
        <v>608</v>
      </c>
      <c r="H409" s="23" t="s">
        <v>621</v>
      </c>
      <c r="I409" s="23" t="s">
        <v>614</v>
      </c>
      <c r="J409" s="23" t="s">
        <v>618</v>
      </c>
      <c r="K409" s="23">
        <v>13</v>
      </c>
      <c r="L409" s="23">
        <v>8000</v>
      </c>
      <c r="M409" s="23">
        <v>104000</v>
      </c>
      <c r="N409" s="23">
        <v>76960</v>
      </c>
      <c r="O409" s="23">
        <v>27040</v>
      </c>
      <c r="P409" s="31">
        <v>0.26</v>
      </c>
    </row>
    <row r="410" spans="1:16" x14ac:dyDescent="0.25">
      <c r="A410" s="29" t="s">
        <v>463</v>
      </c>
      <c r="B410" s="26">
        <v>45714</v>
      </c>
      <c r="C410" s="26" t="s">
        <v>55</v>
      </c>
      <c r="D410" s="25">
        <v>2025</v>
      </c>
      <c r="E410" s="25" t="s">
        <v>600</v>
      </c>
      <c r="F410" s="25" t="s">
        <v>39</v>
      </c>
      <c r="G410" s="25" t="s">
        <v>609</v>
      </c>
      <c r="H410" s="25" t="s">
        <v>624</v>
      </c>
      <c r="I410" s="25" t="s">
        <v>630</v>
      </c>
      <c r="J410" s="25" t="s">
        <v>615</v>
      </c>
      <c r="K410" s="25">
        <v>7</v>
      </c>
      <c r="L410" s="25">
        <v>700</v>
      </c>
      <c r="M410" s="25">
        <v>4900</v>
      </c>
      <c r="N410" s="25">
        <v>4214</v>
      </c>
      <c r="O410" s="25">
        <v>686</v>
      </c>
      <c r="P410" s="32">
        <v>0.14000000000000001</v>
      </c>
    </row>
    <row r="411" spans="1:16" x14ac:dyDescent="0.25">
      <c r="A411" s="28" t="s">
        <v>464</v>
      </c>
      <c r="B411" s="24">
        <v>45790</v>
      </c>
      <c r="C411" s="24" t="s">
        <v>57</v>
      </c>
      <c r="D411" s="23">
        <v>2025</v>
      </c>
      <c r="E411" s="23" t="s">
        <v>600</v>
      </c>
      <c r="F411" s="23" t="s">
        <v>39</v>
      </c>
      <c r="G411" s="23" t="s">
        <v>612</v>
      </c>
      <c r="H411" s="23" t="s">
        <v>624</v>
      </c>
      <c r="I411" s="23" t="s">
        <v>617</v>
      </c>
      <c r="J411" s="23" t="s">
        <v>618</v>
      </c>
      <c r="K411" s="23">
        <v>1</v>
      </c>
      <c r="L411" s="23">
        <v>700</v>
      </c>
      <c r="M411" s="23">
        <v>700</v>
      </c>
      <c r="N411" s="23">
        <v>581</v>
      </c>
      <c r="O411" s="23">
        <v>119</v>
      </c>
      <c r="P411" s="31">
        <v>0.17</v>
      </c>
    </row>
    <row r="412" spans="1:16" x14ac:dyDescent="0.25">
      <c r="A412" s="29" t="s">
        <v>465</v>
      </c>
      <c r="B412" s="26">
        <v>45667</v>
      </c>
      <c r="C412" s="26" t="s">
        <v>59</v>
      </c>
      <c r="D412" s="25">
        <v>2025</v>
      </c>
      <c r="E412" s="25" t="s">
        <v>598</v>
      </c>
      <c r="F412" s="25" t="s">
        <v>40</v>
      </c>
      <c r="G412" s="25" t="s">
        <v>612</v>
      </c>
      <c r="H412" s="25" t="s">
        <v>620</v>
      </c>
      <c r="I412" s="25" t="s">
        <v>627</v>
      </c>
      <c r="J412" s="25" t="s">
        <v>615</v>
      </c>
      <c r="K412" s="25">
        <v>9</v>
      </c>
      <c r="L412" s="25">
        <v>50</v>
      </c>
      <c r="M412" s="25">
        <v>450</v>
      </c>
      <c r="N412" s="25">
        <v>319.5</v>
      </c>
      <c r="O412" s="25">
        <v>130.5</v>
      </c>
      <c r="P412" s="32">
        <v>0.28999999999999998</v>
      </c>
    </row>
    <row r="413" spans="1:16" x14ac:dyDescent="0.25">
      <c r="A413" s="28" t="s">
        <v>466</v>
      </c>
      <c r="B413" s="24">
        <v>45693</v>
      </c>
      <c r="C413" s="24" t="s">
        <v>55</v>
      </c>
      <c r="D413" s="23">
        <v>2025</v>
      </c>
      <c r="E413" s="23" t="s">
        <v>595</v>
      </c>
      <c r="F413" s="23" t="s">
        <v>39</v>
      </c>
      <c r="G413" s="23" t="s">
        <v>609</v>
      </c>
      <c r="H413" s="23" t="s">
        <v>626</v>
      </c>
      <c r="I413" s="23" t="s">
        <v>617</v>
      </c>
      <c r="J413" s="23" t="s">
        <v>618</v>
      </c>
      <c r="K413" s="23">
        <v>1</v>
      </c>
      <c r="L413" s="23">
        <v>25000</v>
      </c>
      <c r="M413" s="23">
        <v>25000</v>
      </c>
      <c r="N413" s="23">
        <v>15500</v>
      </c>
      <c r="O413" s="23">
        <v>9500</v>
      </c>
      <c r="P413" s="31">
        <v>0.38</v>
      </c>
    </row>
    <row r="414" spans="1:16" x14ac:dyDescent="0.25">
      <c r="A414" s="29" t="s">
        <v>467</v>
      </c>
      <c r="B414" s="26">
        <v>45789</v>
      </c>
      <c r="C414" s="26" t="s">
        <v>57</v>
      </c>
      <c r="D414" s="25">
        <v>2025</v>
      </c>
      <c r="E414" s="25" t="s">
        <v>602</v>
      </c>
      <c r="F414" s="25" t="s">
        <v>42</v>
      </c>
      <c r="G414" s="25" t="s">
        <v>610</v>
      </c>
      <c r="H414" s="25" t="s">
        <v>622</v>
      </c>
      <c r="I414" s="25" t="s">
        <v>631</v>
      </c>
      <c r="J414" s="25" t="s">
        <v>618</v>
      </c>
      <c r="K414" s="25">
        <v>13</v>
      </c>
      <c r="L414" s="25">
        <v>150</v>
      </c>
      <c r="M414" s="25">
        <v>1950</v>
      </c>
      <c r="N414" s="25">
        <v>1618.5</v>
      </c>
      <c r="O414" s="25">
        <v>331.5</v>
      </c>
      <c r="P414" s="32">
        <v>0.17</v>
      </c>
    </row>
    <row r="415" spans="1:16" x14ac:dyDescent="0.25">
      <c r="A415" s="28" t="s">
        <v>468</v>
      </c>
      <c r="B415" s="24">
        <v>45681</v>
      </c>
      <c r="C415" s="24" t="s">
        <v>59</v>
      </c>
      <c r="D415" s="23">
        <v>2025</v>
      </c>
      <c r="E415" s="23" t="s">
        <v>607</v>
      </c>
      <c r="F415" s="23" t="s">
        <v>42</v>
      </c>
      <c r="G415" s="23" t="s">
        <v>608</v>
      </c>
      <c r="H415" s="23" t="s">
        <v>621</v>
      </c>
      <c r="I415" s="23" t="s">
        <v>630</v>
      </c>
      <c r="J415" s="23" t="s">
        <v>618</v>
      </c>
      <c r="K415" s="23">
        <v>3</v>
      </c>
      <c r="L415" s="23">
        <v>20</v>
      </c>
      <c r="M415" s="23">
        <v>60</v>
      </c>
      <c r="N415" s="23">
        <v>49.8</v>
      </c>
      <c r="O415" s="23">
        <v>10.200000000000003</v>
      </c>
      <c r="P415" s="31">
        <v>0.17000000000000004</v>
      </c>
    </row>
    <row r="416" spans="1:16" x14ac:dyDescent="0.25">
      <c r="A416" s="29" t="s">
        <v>469</v>
      </c>
      <c r="B416" s="26">
        <v>45889</v>
      </c>
      <c r="C416" s="26" t="s">
        <v>50</v>
      </c>
      <c r="D416" s="25">
        <v>2025</v>
      </c>
      <c r="E416" s="25" t="s">
        <v>607</v>
      </c>
      <c r="F416" s="25" t="s">
        <v>42</v>
      </c>
      <c r="G416" s="25" t="s">
        <v>610</v>
      </c>
      <c r="H416" s="25" t="s">
        <v>613</v>
      </c>
      <c r="I416" s="25" t="s">
        <v>623</v>
      </c>
      <c r="J416" s="25" t="s">
        <v>618</v>
      </c>
      <c r="K416" s="25">
        <v>2</v>
      </c>
      <c r="L416" s="25">
        <v>20</v>
      </c>
      <c r="M416" s="25">
        <v>40</v>
      </c>
      <c r="N416" s="25">
        <v>34.799999999999997</v>
      </c>
      <c r="O416" s="25">
        <v>5.2000000000000028</v>
      </c>
      <c r="P416" s="32">
        <v>0.13000000000000006</v>
      </c>
    </row>
    <row r="417" spans="1:16" x14ac:dyDescent="0.25">
      <c r="A417" s="28" t="s">
        <v>470</v>
      </c>
      <c r="B417" s="24">
        <v>45859</v>
      </c>
      <c r="C417" s="24" t="s">
        <v>83</v>
      </c>
      <c r="D417" s="23">
        <v>2025</v>
      </c>
      <c r="E417" s="23" t="s">
        <v>597</v>
      </c>
      <c r="F417" s="23" t="s">
        <v>41</v>
      </c>
      <c r="G417" s="23" t="s">
        <v>610</v>
      </c>
      <c r="H417" s="23" t="s">
        <v>629</v>
      </c>
      <c r="I417" s="23" t="s">
        <v>619</v>
      </c>
      <c r="J417" s="23" t="s">
        <v>615</v>
      </c>
      <c r="K417" s="23">
        <v>19</v>
      </c>
      <c r="L417" s="23">
        <v>1200</v>
      </c>
      <c r="M417" s="23">
        <v>22800</v>
      </c>
      <c r="N417" s="23">
        <v>14136</v>
      </c>
      <c r="O417" s="23">
        <v>8664</v>
      </c>
      <c r="P417" s="31">
        <v>0.38</v>
      </c>
    </row>
    <row r="418" spans="1:16" x14ac:dyDescent="0.25">
      <c r="A418" s="29" t="s">
        <v>471</v>
      </c>
      <c r="B418" s="26">
        <v>45734</v>
      </c>
      <c r="C418" s="26" t="s">
        <v>46</v>
      </c>
      <c r="D418" s="25">
        <v>2025</v>
      </c>
      <c r="E418" s="25" t="s">
        <v>606</v>
      </c>
      <c r="F418" s="25" t="s">
        <v>40</v>
      </c>
      <c r="G418" s="25" t="s">
        <v>608</v>
      </c>
      <c r="H418" s="25" t="s">
        <v>616</v>
      </c>
      <c r="I418" s="25" t="s">
        <v>614</v>
      </c>
      <c r="J418" s="25" t="s">
        <v>615</v>
      </c>
      <c r="K418" s="25">
        <v>10</v>
      </c>
      <c r="L418" s="25">
        <v>12000</v>
      </c>
      <c r="M418" s="25">
        <v>120000</v>
      </c>
      <c r="N418" s="25">
        <v>92400</v>
      </c>
      <c r="O418" s="25">
        <v>27600</v>
      </c>
      <c r="P418" s="32">
        <v>0.23</v>
      </c>
    </row>
    <row r="419" spans="1:16" x14ac:dyDescent="0.25">
      <c r="A419" s="28" t="s">
        <v>472</v>
      </c>
      <c r="B419" s="24">
        <v>46002</v>
      </c>
      <c r="C419" s="24" t="s">
        <v>80</v>
      </c>
      <c r="D419" s="23">
        <v>2025</v>
      </c>
      <c r="E419" s="23" t="s">
        <v>594</v>
      </c>
      <c r="F419" s="23" t="s">
        <v>39</v>
      </c>
      <c r="G419" s="23" t="s">
        <v>612</v>
      </c>
      <c r="H419" s="23" t="s">
        <v>621</v>
      </c>
      <c r="I419" s="23" t="s">
        <v>630</v>
      </c>
      <c r="J419" s="23" t="s">
        <v>618</v>
      </c>
      <c r="K419" s="23">
        <v>19</v>
      </c>
      <c r="L419" s="23">
        <v>7000</v>
      </c>
      <c r="M419" s="23">
        <v>133000</v>
      </c>
      <c r="N419" s="23">
        <v>107730</v>
      </c>
      <c r="O419" s="23">
        <v>25270</v>
      </c>
      <c r="P419" s="31">
        <v>0.19</v>
      </c>
    </row>
    <row r="420" spans="1:16" x14ac:dyDescent="0.25">
      <c r="A420" s="29" t="s">
        <v>473</v>
      </c>
      <c r="B420" s="26">
        <v>45919</v>
      </c>
      <c r="C420" s="26" t="s">
        <v>53</v>
      </c>
      <c r="D420" s="25">
        <v>2025</v>
      </c>
      <c r="E420" s="25" t="s">
        <v>603</v>
      </c>
      <c r="F420" s="25" t="s">
        <v>42</v>
      </c>
      <c r="G420" s="25" t="s">
        <v>611</v>
      </c>
      <c r="H420" s="25" t="s">
        <v>620</v>
      </c>
      <c r="I420" s="25" t="s">
        <v>630</v>
      </c>
      <c r="J420" s="25" t="s">
        <v>615</v>
      </c>
      <c r="K420" s="25">
        <v>1</v>
      </c>
      <c r="L420" s="25">
        <v>55000</v>
      </c>
      <c r="M420" s="25">
        <v>55000</v>
      </c>
      <c r="N420" s="25">
        <v>37950</v>
      </c>
      <c r="O420" s="25">
        <v>17050</v>
      </c>
      <c r="P420" s="32">
        <v>0.31</v>
      </c>
    </row>
    <row r="421" spans="1:16" x14ac:dyDescent="0.25">
      <c r="A421" s="28" t="s">
        <v>474</v>
      </c>
      <c r="B421" s="24">
        <v>45684</v>
      </c>
      <c r="C421" s="24" t="s">
        <v>59</v>
      </c>
      <c r="D421" s="23">
        <v>2025</v>
      </c>
      <c r="E421" s="23" t="s">
        <v>602</v>
      </c>
      <c r="F421" s="23" t="s">
        <v>42</v>
      </c>
      <c r="G421" s="23" t="s">
        <v>612</v>
      </c>
      <c r="H421" s="23" t="s">
        <v>624</v>
      </c>
      <c r="I421" s="23" t="s">
        <v>617</v>
      </c>
      <c r="J421" s="23" t="s">
        <v>615</v>
      </c>
      <c r="K421" s="23">
        <v>8</v>
      </c>
      <c r="L421" s="23">
        <v>150</v>
      </c>
      <c r="M421" s="23">
        <v>1200</v>
      </c>
      <c r="N421" s="23">
        <v>744</v>
      </c>
      <c r="O421" s="23">
        <v>456</v>
      </c>
      <c r="P421" s="31">
        <v>0.38</v>
      </c>
    </row>
    <row r="422" spans="1:16" x14ac:dyDescent="0.25">
      <c r="A422" s="29" t="s">
        <v>475</v>
      </c>
      <c r="B422" s="26">
        <v>45928</v>
      </c>
      <c r="C422" s="26" t="s">
        <v>53</v>
      </c>
      <c r="D422" s="25">
        <v>2025</v>
      </c>
      <c r="E422" s="25" t="s">
        <v>599</v>
      </c>
      <c r="F422" s="25" t="s">
        <v>39</v>
      </c>
      <c r="G422" s="25" t="s">
        <v>612</v>
      </c>
      <c r="H422" s="25" t="s">
        <v>621</v>
      </c>
      <c r="I422" s="25" t="s">
        <v>614</v>
      </c>
      <c r="J422" s="25" t="s">
        <v>615</v>
      </c>
      <c r="K422" s="25">
        <v>19</v>
      </c>
      <c r="L422" s="25">
        <v>150</v>
      </c>
      <c r="M422" s="25">
        <v>2850</v>
      </c>
      <c r="N422" s="25">
        <v>2194.5</v>
      </c>
      <c r="O422" s="25">
        <v>655.5</v>
      </c>
      <c r="P422" s="32">
        <v>0.23</v>
      </c>
    </row>
    <row r="423" spans="1:16" x14ac:dyDescent="0.25">
      <c r="A423" s="28" t="s">
        <v>476</v>
      </c>
      <c r="B423" s="24">
        <v>45803</v>
      </c>
      <c r="C423" s="24" t="s">
        <v>57</v>
      </c>
      <c r="D423" s="23">
        <v>2025</v>
      </c>
      <c r="E423" s="23" t="s">
        <v>593</v>
      </c>
      <c r="F423" s="23" t="s">
        <v>41</v>
      </c>
      <c r="G423" s="23" t="s">
        <v>609</v>
      </c>
      <c r="H423" s="23" t="s">
        <v>625</v>
      </c>
      <c r="I423" s="23" t="s">
        <v>627</v>
      </c>
      <c r="J423" s="23" t="s">
        <v>615</v>
      </c>
      <c r="K423" s="23">
        <v>10</v>
      </c>
      <c r="L423" s="23">
        <v>1200</v>
      </c>
      <c r="M423" s="23">
        <v>12000</v>
      </c>
      <c r="N423" s="23">
        <v>8040</v>
      </c>
      <c r="O423" s="23">
        <v>3960</v>
      </c>
      <c r="P423" s="31">
        <v>0.33</v>
      </c>
    </row>
    <row r="424" spans="1:16" x14ac:dyDescent="0.25">
      <c r="A424" s="29" t="s">
        <v>477</v>
      </c>
      <c r="B424" s="26">
        <v>45964</v>
      </c>
      <c r="C424" s="26" t="s">
        <v>48</v>
      </c>
      <c r="D424" s="25">
        <v>2025</v>
      </c>
      <c r="E424" s="25" t="s">
        <v>596</v>
      </c>
      <c r="F424" s="25" t="s">
        <v>39</v>
      </c>
      <c r="G424" s="25" t="s">
        <v>608</v>
      </c>
      <c r="H424" s="25" t="s">
        <v>613</v>
      </c>
      <c r="I424" s="25" t="s">
        <v>619</v>
      </c>
      <c r="J424" s="25" t="s">
        <v>615</v>
      </c>
      <c r="K424" s="25">
        <v>11</v>
      </c>
      <c r="L424" s="25">
        <v>700</v>
      </c>
      <c r="M424" s="25">
        <v>7700</v>
      </c>
      <c r="N424" s="25">
        <v>5082</v>
      </c>
      <c r="O424" s="25">
        <v>2618</v>
      </c>
      <c r="P424" s="32">
        <v>0.34</v>
      </c>
    </row>
    <row r="425" spans="1:16" x14ac:dyDescent="0.25">
      <c r="A425" s="28" t="s">
        <v>478</v>
      </c>
      <c r="B425" s="24">
        <v>45784</v>
      </c>
      <c r="C425" s="24" t="s">
        <v>57</v>
      </c>
      <c r="D425" s="23">
        <v>2025</v>
      </c>
      <c r="E425" s="23" t="s">
        <v>592</v>
      </c>
      <c r="F425" s="23" t="s">
        <v>40</v>
      </c>
      <c r="G425" s="23" t="s">
        <v>612</v>
      </c>
      <c r="H425" s="23" t="s">
        <v>628</v>
      </c>
      <c r="I425" s="23" t="s">
        <v>630</v>
      </c>
      <c r="J425" s="23" t="s">
        <v>618</v>
      </c>
      <c r="K425" s="23">
        <v>6</v>
      </c>
      <c r="L425" s="23">
        <v>150</v>
      </c>
      <c r="M425" s="23">
        <v>900</v>
      </c>
      <c r="N425" s="23">
        <v>675</v>
      </c>
      <c r="O425" s="23">
        <v>225</v>
      </c>
      <c r="P425" s="31">
        <v>0.25</v>
      </c>
    </row>
    <row r="426" spans="1:16" x14ac:dyDescent="0.25">
      <c r="A426" s="29" t="s">
        <v>479</v>
      </c>
      <c r="B426" s="26">
        <v>45802</v>
      </c>
      <c r="C426" s="26" t="s">
        <v>57</v>
      </c>
      <c r="D426" s="25">
        <v>2025</v>
      </c>
      <c r="E426" s="25" t="s">
        <v>605</v>
      </c>
      <c r="F426" s="25" t="s">
        <v>40</v>
      </c>
      <c r="G426" s="25" t="s">
        <v>610</v>
      </c>
      <c r="H426" s="25" t="s">
        <v>629</v>
      </c>
      <c r="I426" s="25" t="s">
        <v>645</v>
      </c>
      <c r="J426" s="25" t="s">
        <v>615</v>
      </c>
      <c r="K426" s="25">
        <v>10</v>
      </c>
      <c r="L426" s="25">
        <v>45000</v>
      </c>
      <c r="M426" s="25">
        <v>450000</v>
      </c>
      <c r="N426" s="25">
        <v>373500</v>
      </c>
      <c r="O426" s="25">
        <v>76500</v>
      </c>
      <c r="P426" s="32">
        <v>0.17</v>
      </c>
    </row>
    <row r="427" spans="1:16" x14ac:dyDescent="0.25">
      <c r="A427" s="28" t="s">
        <v>480</v>
      </c>
      <c r="B427" s="24">
        <v>45738</v>
      </c>
      <c r="C427" s="24" t="s">
        <v>46</v>
      </c>
      <c r="D427" s="23">
        <v>2025</v>
      </c>
      <c r="E427" s="23" t="s">
        <v>602</v>
      </c>
      <c r="F427" s="23" t="s">
        <v>42</v>
      </c>
      <c r="G427" s="23" t="s">
        <v>612</v>
      </c>
      <c r="H427" s="23" t="s">
        <v>628</v>
      </c>
      <c r="I427" s="25" t="s">
        <v>645</v>
      </c>
      <c r="J427" s="23" t="s">
        <v>618</v>
      </c>
      <c r="K427" s="23">
        <v>14</v>
      </c>
      <c r="L427" s="23">
        <v>700</v>
      </c>
      <c r="M427" s="23">
        <v>9800</v>
      </c>
      <c r="N427" s="23">
        <v>7252</v>
      </c>
      <c r="O427" s="23">
        <v>2548</v>
      </c>
      <c r="P427" s="31">
        <v>0.26</v>
      </c>
    </row>
    <row r="428" spans="1:16" x14ac:dyDescent="0.25">
      <c r="A428" s="29" t="s">
        <v>481</v>
      </c>
      <c r="B428" s="26">
        <v>45908</v>
      </c>
      <c r="C428" s="26" t="s">
        <v>53</v>
      </c>
      <c r="D428" s="25">
        <v>2025</v>
      </c>
      <c r="E428" s="25" t="s">
        <v>600</v>
      </c>
      <c r="F428" s="25" t="s">
        <v>39</v>
      </c>
      <c r="G428" s="25" t="s">
        <v>608</v>
      </c>
      <c r="H428" s="25" t="s">
        <v>622</v>
      </c>
      <c r="I428" s="25" t="s">
        <v>630</v>
      </c>
      <c r="J428" s="25" t="s">
        <v>618</v>
      </c>
      <c r="K428" s="25">
        <v>3</v>
      </c>
      <c r="L428" s="25">
        <v>45000</v>
      </c>
      <c r="M428" s="25">
        <v>135000</v>
      </c>
      <c r="N428" s="25">
        <v>85050</v>
      </c>
      <c r="O428" s="25">
        <v>49950</v>
      </c>
      <c r="P428" s="32">
        <v>0.37</v>
      </c>
    </row>
    <row r="429" spans="1:16" x14ac:dyDescent="0.25">
      <c r="A429" s="28" t="s">
        <v>482</v>
      </c>
      <c r="B429" s="24">
        <v>45889</v>
      </c>
      <c r="C429" s="24" t="s">
        <v>50</v>
      </c>
      <c r="D429" s="23">
        <v>2025</v>
      </c>
      <c r="E429" s="23" t="s">
        <v>605</v>
      </c>
      <c r="F429" s="23" t="s">
        <v>40</v>
      </c>
      <c r="G429" s="23" t="s">
        <v>610</v>
      </c>
      <c r="H429" s="23" t="s">
        <v>613</v>
      </c>
      <c r="I429" s="23" t="s">
        <v>623</v>
      </c>
      <c r="J429" s="23" t="s">
        <v>615</v>
      </c>
      <c r="K429" s="23">
        <v>16</v>
      </c>
      <c r="L429" s="23">
        <v>1200</v>
      </c>
      <c r="M429" s="23">
        <v>19200</v>
      </c>
      <c r="N429" s="23">
        <v>15552</v>
      </c>
      <c r="O429" s="23">
        <v>3648</v>
      </c>
      <c r="P429" s="31">
        <v>0.19</v>
      </c>
    </row>
    <row r="430" spans="1:16" x14ac:dyDescent="0.25">
      <c r="A430" s="29" t="s">
        <v>483</v>
      </c>
      <c r="B430" s="26">
        <v>45797</v>
      </c>
      <c r="C430" s="26" t="s">
        <v>57</v>
      </c>
      <c r="D430" s="25">
        <v>2025</v>
      </c>
      <c r="E430" s="25" t="s">
        <v>602</v>
      </c>
      <c r="F430" s="25" t="s">
        <v>42</v>
      </c>
      <c r="G430" s="25" t="s">
        <v>608</v>
      </c>
      <c r="H430" s="25" t="s">
        <v>620</v>
      </c>
      <c r="I430" s="25" t="s">
        <v>630</v>
      </c>
      <c r="J430" s="25" t="s">
        <v>618</v>
      </c>
      <c r="K430" s="25">
        <v>6</v>
      </c>
      <c r="L430" s="25">
        <v>700</v>
      </c>
      <c r="M430" s="25">
        <v>4200</v>
      </c>
      <c r="N430" s="25">
        <v>3318</v>
      </c>
      <c r="O430" s="25">
        <v>882</v>
      </c>
      <c r="P430" s="32">
        <v>0.21</v>
      </c>
    </row>
    <row r="431" spans="1:16" x14ac:dyDescent="0.25">
      <c r="A431" s="28" t="s">
        <v>484</v>
      </c>
      <c r="B431" s="24">
        <v>46002</v>
      </c>
      <c r="C431" s="24" t="s">
        <v>80</v>
      </c>
      <c r="D431" s="23">
        <v>2025</v>
      </c>
      <c r="E431" s="23" t="s">
        <v>605</v>
      </c>
      <c r="F431" s="23" t="s">
        <v>40</v>
      </c>
      <c r="G431" s="23" t="s">
        <v>609</v>
      </c>
      <c r="H431" s="23" t="s">
        <v>626</v>
      </c>
      <c r="I431" s="23" t="s">
        <v>614</v>
      </c>
      <c r="J431" s="23" t="s">
        <v>615</v>
      </c>
      <c r="K431" s="23">
        <v>4</v>
      </c>
      <c r="L431" s="23">
        <v>1200</v>
      </c>
      <c r="M431" s="23">
        <v>4800</v>
      </c>
      <c r="N431" s="23">
        <v>3168</v>
      </c>
      <c r="O431" s="23">
        <v>1632</v>
      </c>
      <c r="P431" s="31">
        <v>0.34</v>
      </c>
    </row>
    <row r="432" spans="1:16" x14ac:dyDescent="0.25">
      <c r="A432" s="29" t="s">
        <v>485</v>
      </c>
      <c r="B432" s="26">
        <v>45917</v>
      </c>
      <c r="C432" s="26" t="s">
        <v>53</v>
      </c>
      <c r="D432" s="25">
        <v>2025</v>
      </c>
      <c r="E432" s="25" t="s">
        <v>601</v>
      </c>
      <c r="F432" s="25" t="s">
        <v>41</v>
      </c>
      <c r="G432" s="25" t="s">
        <v>609</v>
      </c>
      <c r="H432" s="25" t="s">
        <v>628</v>
      </c>
      <c r="I432" s="25" t="s">
        <v>630</v>
      </c>
      <c r="J432" s="25" t="s">
        <v>618</v>
      </c>
      <c r="K432" s="25">
        <v>10</v>
      </c>
      <c r="L432" s="25">
        <v>300</v>
      </c>
      <c r="M432" s="25">
        <v>3000</v>
      </c>
      <c r="N432" s="25">
        <v>2490</v>
      </c>
      <c r="O432" s="25">
        <v>510</v>
      </c>
      <c r="P432" s="32">
        <v>0.17</v>
      </c>
    </row>
    <row r="433" spans="1:16" x14ac:dyDescent="0.25">
      <c r="A433" s="28" t="s">
        <v>486</v>
      </c>
      <c r="B433" s="24">
        <v>45834</v>
      </c>
      <c r="C433" s="24" t="s">
        <v>44</v>
      </c>
      <c r="D433" s="23">
        <v>2025</v>
      </c>
      <c r="E433" s="23" t="s">
        <v>598</v>
      </c>
      <c r="F433" s="23" t="s">
        <v>40</v>
      </c>
      <c r="G433" s="23" t="s">
        <v>610</v>
      </c>
      <c r="H433" s="23" t="s">
        <v>620</v>
      </c>
      <c r="I433" s="23" t="s">
        <v>630</v>
      </c>
      <c r="J433" s="23" t="s">
        <v>615</v>
      </c>
      <c r="K433" s="23">
        <v>13</v>
      </c>
      <c r="L433" s="23">
        <v>9000</v>
      </c>
      <c r="M433" s="23">
        <v>117000</v>
      </c>
      <c r="N433" s="23">
        <v>83070</v>
      </c>
      <c r="O433" s="23">
        <v>33930</v>
      </c>
      <c r="P433" s="31">
        <v>0.28999999999999998</v>
      </c>
    </row>
    <row r="434" spans="1:16" x14ac:dyDescent="0.25">
      <c r="A434" s="29" t="s">
        <v>487</v>
      </c>
      <c r="B434" s="26">
        <v>45666</v>
      </c>
      <c r="C434" s="26" t="s">
        <v>59</v>
      </c>
      <c r="D434" s="25">
        <v>2025</v>
      </c>
      <c r="E434" s="25" t="s">
        <v>594</v>
      </c>
      <c r="F434" s="25" t="s">
        <v>39</v>
      </c>
      <c r="G434" s="25" t="s">
        <v>612</v>
      </c>
      <c r="H434" s="25" t="s">
        <v>616</v>
      </c>
      <c r="I434" s="25" t="s">
        <v>619</v>
      </c>
      <c r="J434" s="25" t="s">
        <v>618</v>
      </c>
      <c r="K434" s="25">
        <v>2</v>
      </c>
      <c r="L434" s="25">
        <v>700</v>
      </c>
      <c r="M434" s="25">
        <v>1400</v>
      </c>
      <c r="N434" s="25">
        <v>854</v>
      </c>
      <c r="O434" s="25">
        <v>546</v>
      </c>
      <c r="P434" s="32">
        <v>0.39</v>
      </c>
    </row>
    <row r="435" spans="1:16" x14ac:dyDescent="0.25">
      <c r="A435" s="28" t="s">
        <v>488</v>
      </c>
      <c r="B435" s="24">
        <v>45941</v>
      </c>
      <c r="C435" s="24" t="s">
        <v>65</v>
      </c>
      <c r="D435" s="23">
        <v>2025</v>
      </c>
      <c r="E435" s="23" t="s">
        <v>601</v>
      </c>
      <c r="F435" s="23" t="s">
        <v>41</v>
      </c>
      <c r="G435" s="23" t="s">
        <v>609</v>
      </c>
      <c r="H435" s="23" t="s">
        <v>620</v>
      </c>
      <c r="I435" s="23" t="s">
        <v>617</v>
      </c>
      <c r="J435" s="23" t="s">
        <v>615</v>
      </c>
      <c r="K435" s="23">
        <v>7</v>
      </c>
      <c r="L435" s="23">
        <v>1200</v>
      </c>
      <c r="M435" s="23">
        <v>8400</v>
      </c>
      <c r="N435" s="23">
        <v>5544</v>
      </c>
      <c r="O435" s="23">
        <v>2856</v>
      </c>
      <c r="P435" s="31">
        <v>0.34</v>
      </c>
    </row>
    <row r="436" spans="1:16" x14ac:dyDescent="0.25">
      <c r="A436" s="29" t="s">
        <v>489</v>
      </c>
      <c r="B436" s="26">
        <v>45707</v>
      </c>
      <c r="C436" s="26" t="s">
        <v>55</v>
      </c>
      <c r="D436" s="25">
        <v>2025</v>
      </c>
      <c r="E436" s="25" t="s">
        <v>606</v>
      </c>
      <c r="F436" s="25" t="s">
        <v>40</v>
      </c>
      <c r="G436" s="25" t="s">
        <v>612</v>
      </c>
      <c r="H436" s="25" t="s">
        <v>625</v>
      </c>
      <c r="I436" s="25" t="s">
        <v>645</v>
      </c>
      <c r="J436" s="25" t="s">
        <v>618</v>
      </c>
      <c r="K436" s="25">
        <v>3</v>
      </c>
      <c r="L436" s="25">
        <v>55000</v>
      </c>
      <c r="M436" s="25">
        <v>165000</v>
      </c>
      <c r="N436" s="25">
        <v>117150</v>
      </c>
      <c r="O436" s="25">
        <v>47850</v>
      </c>
      <c r="P436" s="32">
        <v>0.28999999999999998</v>
      </c>
    </row>
    <row r="437" spans="1:16" x14ac:dyDescent="0.25">
      <c r="A437" s="28" t="s">
        <v>490</v>
      </c>
      <c r="B437" s="24">
        <v>45936</v>
      </c>
      <c r="C437" s="24" t="s">
        <v>65</v>
      </c>
      <c r="D437" s="23">
        <v>2025</v>
      </c>
      <c r="E437" s="23" t="s">
        <v>600</v>
      </c>
      <c r="F437" s="23" t="s">
        <v>39</v>
      </c>
      <c r="G437" s="23" t="s">
        <v>610</v>
      </c>
      <c r="H437" s="23" t="s">
        <v>625</v>
      </c>
      <c r="I437" s="23" t="s">
        <v>627</v>
      </c>
      <c r="J437" s="23" t="s">
        <v>615</v>
      </c>
      <c r="K437" s="23">
        <v>17</v>
      </c>
      <c r="L437" s="23">
        <v>8000</v>
      </c>
      <c r="M437" s="23">
        <v>136000</v>
      </c>
      <c r="N437" s="23">
        <v>82960</v>
      </c>
      <c r="O437" s="23">
        <v>53040</v>
      </c>
      <c r="P437" s="31">
        <v>0.39</v>
      </c>
    </row>
    <row r="438" spans="1:16" x14ac:dyDescent="0.25">
      <c r="A438" s="29" t="s">
        <v>491</v>
      </c>
      <c r="B438" s="26">
        <v>45984</v>
      </c>
      <c r="C438" s="26" t="s">
        <v>48</v>
      </c>
      <c r="D438" s="25">
        <v>2025</v>
      </c>
      <c r="E438" s="25" t="s">
        <v>593</v>
      </c>
      <c r="F438" s="25" t="s">
        <v>41</v>
      </c>
      <c r="G438" s="25" t="s">
        <v>610</v>
      </c>
      <c r="H438" s="25" t="s">
        <v>626</v>
      </c>
      <c r="I438" s="25" t="s">
        <v>627</v>
      </c>
      <c r="J438" s="25" t="s">
        <v>615</v>
      </c>
      <c r="K438" s="25">
        <v>4</v>
      </c>
      <c r="L438" s="25">
        <v>45000</v>
      </c>
      <c r="M438" s="25">
        <v>180000</v>
      </c>
      <c r="N438" s="25">
        <v>156600</v>
      </c>
      <c r="O438" s="25">
        <v>23400</v>
      </c>
      <c r="P438" s="32">
        <v>0.13</v>
      </c>
    </row>
    <row r="439" spans="1:16" x14ac:dyDescent="0.25">
      <c r="A439" s="28" t="s">
        <v>492</v>
      </c>
      <c r="B439" s="24">
        <v>45997</v>
      </c>
      <c r="C439" s="24" t="s">
        <v>80</v>
      </c>
      <c r="D439" s="23">
        <v>2025</v>
      </c>
      <c r="E439" s="23" t="s">
        <v>598</v>
      </c>
      <c r="F439" s="23" t="s">
        <v>40</v>
      </c>
      <c r="G439" s="23" t="s">
        <v>610</v>
      </c>
      <c r="H439" s="23" t="s">
        <v>628</v>
      </c>
      <c r="I439" s="23" t="s">
        <v>617</v>
      </c>
      <c r="J439" s="23" t="s">
        <v>618</v>
      </c>
      <c r="K439" s="23">
        <v>14</v>
      </c>
      <c r="L439" s="23">
        <v>9000</v>
      </c>
      <c r="M439" s="23">
        <v>126000</v>
      </c>
      <c r="N439" s="23">
        <v>88200</v>
      </c>
      <c r="O439" s="23">
        <v>37800</v>
      </c>
      <c r="P439" s="31">
        <v>0.3</v>
      </c>
    </row>
    <row r="440" spans="1:16" x14ac:dyDescent="0.25">
      <c r="A440" s="29" t="s">
        <v>493</v>
      </c>
      <c r="B440" s="26">
        <v>45967</v>
      </c>
      <c r="C440" s="26" t="s">
        <v>48</v>
      </c>
      <c r="D440" s="25">
        <v>2025</v>
      </c>
      <c r="E440" s="25" t="s">
        <v>600</v>
      </c>
      <c r="F440" s="25" t="s">
        <v>39</v>
      </c>
      <c r="G440" s="25" t="s">
        <v>608</v>
      </c>
      <c r="H440" s="25" t="s">
        <v>613</v>
      </c>
      <c r="I440" s="25" t="s">
        <v>645</v>
      </c>
      <c r="J440" s="25" t="s">
        <v>618</v>
      </c>
      <c r="K440" s="25">
        <v>9</v>
      </c>
      <c r="L440" s="25">
        <v>3500</v>
      </c>
      <c r="M440" s="25">
        <v>31500</v>
      </c>
      <c r="N440" s="25">
        <v>27720</v>
      </c>
      <c r="O440" s="25">
        <v>3780</v>
      </c>
      <c r="P440" s="32">
        <v>0.12</v>
      </c>
    </row>
    <row r="441" spans="1:16" x14ac:dyDescent="0.25">
      <c r="A441" s="28" t="s">
        <v>494</v>
      </c>
      <c r="B441" s="24">
        <v>45761</v>
      </c>
      <c r="C441" s="24" t="s">
        <v>62</v>
      </c>
      <c r="D441" s="23">
        <v>2025</v>
      </c>
      <c r="E441" s="23" t="s">
        <v>599</v>
      </c>
      <c r="F441" s="23" t="s">
        <v>39</v>
      </c>
      <c r="G441" s="23" t="s">
        <v>612</v>
      </c>
      <c r="H441" s="23" t="s">
        <v>624</v>
      </c>
      <c r="I441" s="23" t="s">
        <v>631</v>
      </c>
      <c r="J441" s="23" t="s">
        <v>615</v>
      </c>
      <c r="K441" s="23">
        <v>7</v>
      </c>
      <c r="L441" s="23">
        <v>300</v>
      </c>
      <c r="M441" s="23">
        <v>2100</v>
      </c>
      <c r="N441" s="23">
        <v>1701</v>
      </c>
      <c r="O441" s="23">
        <v>399</v>
      </c>
      <c r="P441" s="31">
        <v>0.19</v>
      </c>
    </row>
    <row r="442" spans="1:16" x14ac:dyDescent="0.25">
      <c r="A442" s="29" t="s">
        <v>495</v>
      </c>
      <c r="B442" s="26">
        <v>45851</v>
      </c>
      <c r="C442" s="26" t="s">
        <v>83</v>
      </c>
      <c r="D442" s="25">
        <v>2025</v>
      </c>
      <c r="E442" s="25" t="s">
        <v>598</v>
      </c>
      <c r="F442" s="25" t="s">
        <v>40</v>
      </c>
      <c r="G442" s="25" t="s">
        <v>612</v>
      </c>
      <c r="H442" s="25" t="s">
        <v>626</v>
      </c>
      <c r="I442" s="25" t="s">
        <v>614</v>
      </c>
      <c r="J442" s="25" t="s">
        <v>618</v>
      </c>
      <c r="K442" s="25">
        <v>16</v>
      </c>
      <c r="L442" s="25">
        <v>3500</v>
      </c>
      <c r="M442" s="25">
        <v>56000</v>
      </c>
      <c r="N442" s="25">
        <v>38080</v>
      </c>
      <c r="O442" s="25">
        <v>17920</v>
      </c>
      <c r="P442" s="32">
        <v>0.32</v>
      </c>
    </row>
    <row r="443" spans="1:16" x14ac:dyDescent="0.25">
      <c r="A443" s="28" t="s">
        <v>496</v>
      </c>
      <c r="B443" s="24">
        <v>45921</v>
      </c>
      <c r="C443" s="24" t="s">
        <v>53</v>
      </c>
      <c r="D443" s="23">
        <v>2025</v>
      </c>
      <c r="E443" s="23" t="s">
        <v>603</v>
      </c>
      <c r="F443" s="23" t="s">
        <v>42</v>
      </c>
      <c r="G443" s="23" t="s">
        <v>611</v>
      </c>
      <c r="H443" s="23" t="s">
        <v>621</v>
      </c>
      <c r="I443" s="23" t="s">
        <v>614</v>
      </c>
      <c r="J443" s="23" t="s">
        <v>615</v>
      </c>
      <c r="K443" s="23">
        <v>4</v>
      </c>
      <c r="L443" s="23">
        <v>55000</v>
      </c>
      <c r="M443" s="23">
        <v>220000</v>
      </c>
      <c r="N443" s="23">
        <v>176000</v>
      </c>
      <c r="O443" s="23">
        <v>44000</v>
      </c>
      <c r="P443" s="31">
        <v>0.2</v>
      </c>
    </row>
    <row r="444" spans="1:16" x14ac:dyDescent="0.25">
      <c r="A444" s="29" t="s">
        <v>497</v>
      </c>
      <c r="B444" s="26">
        <v>45779</v>
      </c>
      <c r="C444" s="26" t="s">
        <v>57</v>
      </c>
      <c r="D444" s="25">
        <v>2025</v>
      </c>
      <c r="E444" s="25" t="s">
        <v>607</v>
      </c>
      <c r="F444" s="25" t="s">
        <v>42</v>
      </c>
      <c r="G444" s="25" t="s">
        <v>610</v>
      </c>
      <c r="H444" s="25" t="s">
        <v>622</v>
      </c>
      <c r="I444" s="25" t="s">
        <v>627</v>
      </c>
      <c r="J444" s="25" t="s">
        <v>615</v>
      </c>
      <c r="K444" s="25">
        <v>7</v>
      </c>
      <c r="L444" s="25">
        <v>20</v>
      </c>
      <c r="M444" s="25">
        <v>140</v>
      </c>
      <c r="N444" s="25">
        <v>91</v>
      </c>
      <c r="O444" s="25">
        <v>49</v>
      </c>
      <c r="P444" s="32">
        <v>0.35</v>
      </c>
    </row>
    <row r="445" spans="1:16" x14ac:dyDescent="0.25">
      <c r="A445" s="28" t="s">
        <v>498</v>
      </c>
      <c r="B445" s="24">
        <v>45734</v>
      </c>
      <c r="C445" s="24" t="s">
        <v>46</v>
      </c>
      <c r="D445" s="23">
        <v>2025</v>
      </c>
      <c r="E445" s="23" t="s">
        <v>597</v>
      </c>
      <c r="F445" s="23" t="s">
        <v>41</v>
      </c>
      <c r="G445" s="23" t="s">
        <v>612</v>
      </c>
      <c r="H445" s="23" t="s">
        <v>628</v>
      </c>
      <c r="I445" s="23" t="s">
        <v>619</v>
      </c>
      <c r="J445" s="23" t="s">
        <v>615</v>
      </c>
      <c r="K445" s="23">
        <v>5</v>
      </c>
      <c r="L445" s="23">
        <v>4000</v>
      </c>
      <c r="M445" s="23">
        <v>20000</v>
      </c>
      <c r="N445" s="23">
        <v>15600</v>
      </c>
      <c r="O445" s="23">
        <v>4400</v>
      </c>
      <c r="P445" s="31">
        <v>0.22</v>
      </c>
    </row>
    <row r="446" spans="1:16" x14ac:dyDescent="0.25">
      <c r="A446" s="29" t="s">
        <v>499</v>
      </c>
      <c r="B446" s="26">
        <v>45816</v>
      </c>
      <c r="C446" s="26" t="s">
        <v>44</v>
      </c>
      <c r="D446" s="25">
        <v>2025</v>
      </c>
      <c r="E446" s="25" t="s">
        <v>592</v>
      </c>
      <c r="F446" s="25" t="s">
        <v>40</v>
      </c>
      <c r="G446" s="25" t="s">
        <v>612</v>
      </c>
      <c r="H446" s="25" t="s">
        <v>622</v>
      </c>
      <c r="I446" s="25" t="s">
        <v>645</v>
      </c>
      <c r="J446" s="25" t="s">
        <v>618</v>
      </c>
      <c r="K446" s="25">
        <v>12</v>
      </c>
      <c r="L446" s="25">
        <v>3500</v>
      </c>
      <c r="M446" s="25">
        <v>42000</v>
      </c>
      <c r="N446" s="25">
        <v>26040</v>
      </c>
      <c r="O446" s="25">
        <v>15960</v>
      </c>
      <c r="P446" s="32">
        <v>0.38</v>
      </c>
    </row>
    <row r="447" spans="1:16" x14ac:dyDescent="0.25">
      <c r="A447" s="28" t="s">
        <v>500</v>
      </c>
      <c r="B447" s="24">
        <v>45916</v>
      </c>
      <c r="C447" s="24" t="s">
        <v>53</v>
      </c>
      <c r="D447" s="23">
        <v>2025</v>
      </c>
      <c r="E447" s="23" t="s">
        <v>602</v>
      </c>
      <c r="F447" s="23" t="s">
        <v>42</v>
      </c>
      <c r="G447" s="23" t="s">
        <v>611</v>
      </c>
      <c r="H447" s="23" t="s">
        <v>622</v>
      </c>
      <c r="I447" s="23" t="s">
        <v>617</v>
      </c>
      <c r="J447" s="23" t="s">
        <v>618</v>
      </c>
      <c r="K447" s="23">
        <v>15</v>
      </c>
      <c r="L447" s="23">
        <v>8000</v>
      </c>
      <c r="M447" s="23">
        <v>120000</v>
      </c>
      <c r="N447" s="23">
        <v>85200</v>
      </c>
      <c r="O447" s="23">
        <v>34800</v>
      </c>
      <c r="P447" s="31">
        <v>0.28999999999999998</v>
      </c>
    </row>
    <row r="448" spans="1:16" x14ac:dyDescent="0.25">
      <c r="A448" s="29" t="s">
        <v>501</v>
      </c>
      <c r="B448" s="26">
        <v>45992</v>
      </c>
      <c r="C448" s="26" t="s">
        <v>80</v>
      </c>
      <c r="D448" s="25">
        <v>2025</v>
      </c>
      <c r="E448" s="25" t="s">
        <v>593</v>
      </c>
      <c r="F448" s="25" t="s">
        <v>41</v>
      </c>
      <c r="G448" s="25" t="s">
        <v>609</v>
      </c>
      <c r="H448" s="25" t="s">
        <v>621</v>
      </c>
      <c r="I448" s="25" t="s">
        <v>614</v>
      </c>
      <c r="J448" s="25" t="s">
        <v>615</v>
      </c>
      <c r="K448" s="25">
        <v>17</v>
      </c>
      <c r="L448" s="25">
        <v>20</v>
      </c>
      <c r="M448" s="25">
        <v>340</v>
      </c>
      <c r="N448" s="25">
        <v>241.4</v>
      </c>
      <c r="O448" s="25">
        <v>98.6</v>
      </c>
      <c r="P448" s="32">
        <v>0.28999999999999998</v>
      </c>
    </row>
    <row r="449" spans="1:16" x14ac:dyDescent="0.25">
      <c r="A449" s="28" t="s">
        <v>502</v>
      </c>
      <c r="B449" s="24">
        <v>45744</v>
      </c>
      <c r="C449" s="24" t="s">
        <v>46</v>
      </c>
      <c r="D449" s="23">
        <v>2025</v>
      </c>
      <c r="E449" s="23" t="s">
        <v>597</v>
      </c>
      <c r="F449" s="23" t="s">
        <v>41</v>
      </c>
      <c r="G449" s="23" t="s">
        <v>610</v>
      </c>
      <c r="H449" s="23" t="s">
        <v>620</v>
      </c>
      <c r="I449" s="25" t="s">
        <v>645</v>
      </c>
      <c r="J449" s="23" t="s">
        <v>615</v>
      </c>
      <c r="K449" s="23">
        <v>2</v>
      </c>
      <c r="L449" s="23">
        <v>50</v>
      </c>
      <c r="M449" s="23">
        <v>100</v>
      </c>
      <c r="N449" s="23">
        <v>80</v>
      </c>
      <c r="O449" s="23">
        <v>20</v>
      </c>
      <c r="P449" s="31">
        <v>0.2</v>
      </c>
    </row>
    <row r="450" spans="1:16" x14ac:dyDescent="0.25">
      <c r="A450" s="29" t="s">
        <v>503</v>
      </c>
      <c r="B450" s="26">
        <v>45853</v>
      </c>
      <c r="C450" s="26" t="s">
        <v>83</v>
      </c>
      <c r="D450" s="25">
        <v>2025</v>
      </c>
      <c r="E450" s="25" t="s">
        <v>601</v>
      </c>
      <c r="F450" s="25" t="s">
        <v>41</v>
      </c>
      <c r="G450" s="25" t="s">
        <v>611</v>
      </c>
      <c r="H450" s="25" t="s">
        <v>629</v>
      </c>
      <c r="I450" s="25" t="s">
        <v>630</v>
      </c>
      <c r="J450" s="25" t="s">
        <v>615</v>
      </c>
      <c r="K450" s="25">
        <v>9</v>
      </c>
      <c r="L450" s="25">
        <v>12000</v>
      </c>
      <c r="M450" s="25">
        <v>108000</v>
      </c>
      <c r="N450" s="25">
        <v>77760</v>
      </c>
      <c r="O450" s="25">
        <v>30240</v>
      </c>
      <c r="P450" s="32">
        <v>0.28000000000000003</v>
      </c>
    </row>
    <row r="451" spans="1:16" x14ac:dyDescent="0.25">
      <c r="A451" s="28" t="s">
        <v>504</v>
      </c>
      <c r="B451" s="24">
        <v>45989</v>
      </c>
      <c r="C451" s="24" t="s">
        <v>48</v>
      </c>
      <c r="D451" s="23">
        <v>2025</v>
      </c>
      <c r="E451" s="23" t="s">
        <v>593</v>
      </c>
      <c r="F451" s="23" t="s">
        <v>41</v>
      </c>
      <c r="G451" s="23" t="s">
        <v>611</v>
      </c>
      <c r="H451" s="23" t="s">
        <v>629</v>
      </c>
      <c r="I451" s="23" t="s">
        <v>619</v>
      </c>
      <c r="J451" s="23" t="s">
        <v>615</v>
      </c>
      <c r="K451" s="23">
        <v>13</v>
      </c>
      <c r="L451" s="23">
        <v>1200</v>
      </c>
      <c r="M451" s="23">
        <v>15600</v>
      </c>
      <c r="N451" s="23">
        <v>12324</v>
      </c>
      <c r="O451" s="23">
        <v>3276</v>
      </c>
      <c r="P451" s="31">
        <v>0.21</v>
      </c>
    </row>
    <row r="452" spans="1:16" x14ac:dyDescent="0.25">
      <c r="A452" s="29" t="s">
        <v>505</v>
      </c>
      <c r="B452" s="26">
        <v>45906</v>
      </c>
      <c r="C452" s="26" t="s">
        <v>53</v>
      </c>
      <c r="D452" s="25">
        <v>2025</v>
      </c>
      <c r="E452" s="25" t="s">
        <v>597</v>
      </c>
      <c r="F452" s="25" t="s">
        <v>41</v>
      </c>
      <c r="G452" s="25" t="s">
        <v>609</v>
      </c>
      <c r="H452" s="25" t="s">
        <v>622</v>
      </c>
      <c r="I452" s="25" t="s">
        <v>617</v>
      </c>
      <c r="J452" s="25" t="s">
        <v>618</v>
      </c>
      <c r="K452" s="25">
        <v>13</v>
      </c>
      <c r="L452" s="25">
        <v>45000</v>
      </c>
      <c r="M452" s="25">
        <v>585000</v>
      </c>
      <c r="N452" s="25">
        <v>520650</v>
      </c>
      <c r="O452" s="25">
        <v>64350</v>
      </c>
      <c r="P452" s="32">
        <v>0.11</v>
      </c>
    </row>
    <row r="453" spans="1:16" x14ac:dyDescent="0.25">
      <c r="A453" s="28" t="s">
        <v>506</v>
      </c>
      <c r="B453" s="24">
        <v>45731</v>
      </c>
      <c r="C453" s="24" t="s">
        <v>46</v>
      </c>
      <c r="D453" s="23">
        <v>2025</v>
      </c>
      <c r="E453" s="23" t="s">
        <v>605</v>
      </c>
      <c r="F453" s="23" t="s">
        <v>40</v>
      </c>
      <c r="G453" s="23" t="s">
        <v>611</v>
      </c>
      <c r="H453" s="23" t="s">
        <v>624</v>
      </c>
      <c r="I453" s="23" t="s">
        <v>619</v>
      </c>
      <c r="J453" s="23" t="s">
        <v>615</v>
      </c>
      <c r="K453" s="23">
        <v>14</v>
      </c>
      <c r="L453" s="23">
        <v>9000</v>
      </c>
      <c r="M453" s="23">
        <v>126000</v>
      </c>
      <c r="N453" s="23">
        <v>93240</v>
      </c>
      <c r="O453" s="23">
        <v>32760</v>
      </c>
      <c r="P453" s="31">
        <v>0.26</v>
      </c>
    </row>
    <row r="454" spans="1:16" x14ac:dyDescent="0.25">
      <c r="A454" s="29" t="s">
        <v>507</v>
      </c>
      <c r="B454" s="26">
        <v>45982</v>
      </c>
      <c r="C454" s="26" t="s">
        <v>48</v>
      </c>
      <c r="D454" s="25">
        <v>2025</v>
      </c>
      <c r="E454" s="25" t="s">
        <v>606</v>
      </c>
      <c r="F454" s="25" t="s">
        <v>40</v>
      </c>
      <c r="G454" s="25" t="s">
        <v>611</v>
      </c>
      <c r="H454" s="25" t="s">
        <v>628</v>
      </c>
      <c r="I454" s="25" t="s">
        <v>617</v>
      </c>
      <c r="J454" s="25" t="s">
        <v>615</v>
      </c>
      <c r="K454" s="25">
        <v>10</v>
      </c>
      <c r="L454" s="25">
        <v>3500</v>
      </c>
      <c r="M454" s="25">
        <v>35000</v>
      </c>
      <c r="N454" s="25">
        <v>21000</v>
      </c>
      <c r="O454" s="25">
        <v>14000</v>
      </c>
      <c r="P454" s="32">
        <v>0.4</v>
      </c>
    </row>
    <row r="455" spans="1:16" x14ac:dyDescent="0.25">
      <c r="A455" s="28" t="s">
        <v>508</v>
      </c>
      <c r="B455" s="24">
        <v>45713</v>
      </c>
      <c r="C455" s="24" t="s">
        <v>55</v>
      </c>
      <c r="D455" s="23">
        <v>2025</v>
      </c>
      <c r="E455" s="23" t="s">
        <v>606</v>
      </c>
      <c r="F455" s="23" t="s">
        <v>40</v>
      </c>
      <c r="G455" s="23" t="s">
        <v>609</v>
      </c>
      <c r="H455" s="23" t="s">
        <v>624</v>
      </c>
      <c r="I455" s="23" t="s">
        <v>630</v>
      </c>
      <c r="J455" s="23" t="s">
        <v>615</v>
      </c>
      <c r="K455" s="23">
        <v>16</v>
      </c>
      <c r="L455" s="23">
        <v>150</v>
      </c>
      <c r="M455" s="23">
        <v>2400</v>
      </c>
      <c r="N455" s="23">
        <v>1704</v>
      </c>
      <c r="O455" s="23">
        <v>696</v>
      </c>
      <c r="P455" s="31">
        <v>0.28999999999999998</v>
      </c>
    </row>
    <row r="456" spans="1:16" x14ac:dyDescent="0.25">
      <c r="A456" s="29" t="s">
        <v>509</v>
      </c>
      <c r="B456" s="26">
        <v>45673</v>
      </c>
      <c r="C456" s="26" t="s">
        <v>59</v>
      </c>
      <c r="D456" s="25">
        <v>2025</v>
      </c>
      <c r="E456" s="25" t="s">
        <v>605</v>
      </c>
      <c r="F456" s="25" t="s">
        <v>40</v>
      </c>
      <c r="G456" s="25" t="s">
        <v>610</v>
      </c>
      <c r="H456" s="25" t="s">
        <v>621</v>
      </c>
      <c r="I456" s="25" t="s">
        <v>627</v>
      </c>
      <c r="J456" s="25" t="s">
        <v>618</v>
      </c>
      <c r="K456" s="25">
        <v>12</v>
      </c>
      <c r="L456" s="25">
        <v>25000</v>
      </c>
      <c r="M456" s="25">
        <v>300000</v>
      </c>
      <c r="N456" s="25">
        <v>213000</v>
      </c>
      <c r="O456" s="25">
        <v>87000</v>
      </c>
      <c r="P456" s="32">
        <v>0.28999999999999998</v>
      </c>
    </row>
    <row r="457" spans="1:16" x14ac:dyDescent="0.25">
      <c r="A457" s="28" t="s">
        <v>510</v>
      </c>
      <c r="B457" s="24">
        <v>45956</v>
      </c>
      <c r="C457" s="24" t="s">
        <v>65</v>
      </c>
      <c r="D457" s="23">
        <v>2025</v>
      </c>
      <c r="E457" s="23" t="s">
        <v>607</v>
      </c>
      <c r="F457" s="23" t="s">
        <v>42</v>
      </c>
      <c r="G457" s="23" t="s">
        <v>612</v>
      </c>
      <c r="H457" s="23" t="s">
        <v>624</v>
      </c>
      <c r="I457" s="25" t="s">
        <v>645</v>
      </c>
      <c r="J457" s="23" t="s">
        <v>615</v>
      </c>
      <c r="K457" s="23">
        <v>14</v>
      </c>
      <c r="L457" s="23">
        <v>4000</v>
      </c>
      <c r="M457" s="23">
        <v>56000</v>
      </c>
      <c r="N457" s="23">
        <v>49840</v>
      </c>
      <c r="O457" s="23">
        <v>6160</v>
      </c>
      <c r="P457" s="31">
        <v>0.11</v>
      </c>
    </row>
    <row r="458" spans="1:16" x14ac:dyDescent="0.25">
      <c r="A458" s="29" t="s">
        <v>511</v>
      </c>
      <c r="B458" s="26">
        <v>45872</v>
      </c>
      <c r="C458" s="26" t="s">
        <v>50</v>
      </c>
      <c r="D458" s="25">
        <v>2025</v>
      </c>
      <c r="E458" s="25" t="s">
        <v>595</v>
      </c>
      <c r="F458" s="25" t="s">
        <v>39</v>
      </c>
      <c r="G458" s="25" t="s">
        <v>612</v>
      </c>
      <c r="H458" s="25" t="s">
        <v>616</v>
      </c>
      <c r="I458" s="25" t="s">
        <v>623</v>
      </c>
      <c r="J458" s="25" t="s">
        <v>618</v>
      </c>
      <c r="K458" s="25">
        <v>1</v>
      </c>
      <c r="L458" s="25">
        <v>20</v>
      </c>
      <c r="M458" s="25">
        <v>20</v>
      </c>
      <c r="N458" s="25">
        <v>15.6</v>
      </c>
      <c r="O458" s="25">
        <v>4.4000000000000004</v>
      </c>
      <c r="P458" s="32">
        <v>0.22000000000000003</v>
      </c>
    </row>
    <row r="459" spans="1:16" x14ac:dyDescent="0.25">
      <c r="A459" s="28" t="s">
        <v>512</v>
      </c>
      <c r="B459" s="24">
        <v>45855</v>
      </c>
      <c r="C459" s="24" t="s">
        <v>83</v>
      </c>
      <c r="D459" s="23">
        <v>2025</v>
      </c>
      <c r="E459" s="23" t="s">
        <v>596</v>
      </c>
      <c r="F459" s="23" t="s">
        <v>39</v>
      </c>
      <c r="G459" s="23" t="s">
        <v>612</v>
      </c>
      <c r="H459" s="23" t="s">
        <v>616</v>
      </c>
      <c r="I459" s="23" t="s">
        <v>619</v>
      </c>
      <c r="J459" s="23" t="s">
        <v>618</v>
      </c>
      <c r="K459" s="23">
        <v>12</v>
      </c>
      <c r="L459" s="23">
        <v>4000</v>
      </c>
      <c r="M459" s="23">
        <v>48000</v>
      </c>
      <c r="N459" s="23">
        <v>40320</v>
      </c>
      <c r="O459" s="23">
        <v>7680</v>
      </c>
      <c r="P459" s="31">
        <v>0.16</v>
      </c>
    </row>
    <row r="460" spans="1:16" x14ac:dyDescent="0.25">
      <c r="A460" s="29" t="s">
        <v>513</v>
      </c>
      <c r="B460" s="26">
        <v>45821</v>
      </c>
      <c r="C460" s="26" t="s">
        <v>44</v>
      </c>
      <c r="D460" s="25">
        <v>2025</v>
      </c>
      <c r="E460" s="25" t="s">
        <v>607</v>
      </c>
      <c r="F460" s="25" t="s">
        <v>42</v>
      </c>
      <c r="G460" s="25" t="s">
        <v>608</v>
      </c>
      <c r="H460" s="25" t="s">
        <v>613</v>
      </c>
      <c r="I460" s="25" t="s">
        <v>645</v>
      </c>
      <c r="J460" s="25" t="s">
        <v>615</v>
      </c>
      <c r="K460" s="25">
        <v>3</v>
      </c>
      <c r="L460" s="25">
        <v>700</v>
      </c>
      <c r="M460" s="25">
        <v>2100</v>
      </c>
      <c r="N460" s="25">
        <v>1344</v>
      </c>
      <c r="O460" s="25">
        <v>756</v>
      </c>
      <c r="P460" s="32">
        <v>0.36</v>
      </c>
    </row>
    <row r="461" spans="1:16" x14ac:dyDescent="0.25">
      <c r="A461" s="28" t="s">
        <v>514</v>
      </c>
      <c r="B461" s="24">
        <v>45885</v>
      </c>
      <c r="C461" s="24" t="s">
        <v>50</v>
      </c>
      <c r="D461" s="23">
        <v>2025</v>
      </c>
      <c r="E461" s="23" t="s">
        <v>594</v>
      </c>
      <c r="F461" s="23" t="s">
        <v>39</v>
      </c>
      <c r="G461" s="23" t="s">
        <v>609</v>
      </c>
      <c r="H461" s="23" t="s">
        <v>620</v>
      </c>
      <c r="I461" s="23" t="s">
        <v>619</v>
      </c>
      <c r="J461" s="23" t="s">
        <v>618</v>
      </c>
      <c r="K461" s="23">
        <v>5</v>
      </c>
      <c r="L461" s="23">
        <v>12000</v>
      </c>
      <c r="M461" s="23">
        <v>60000</v>
      </c>
      <c r="N461" s="23">
        <v>38400</v>
      </c>
      <c r="O461" s="23">
        <v>21600</v>
      </c>
      <c r="P461" s="31">
        <v>0.36</v>
      </c>
    </row>
    <row r="462" spans="1:16" x14ac:dyDescent="0.25">
      <c r="A462" s="29" t="s">
        <v>515</v>
      </c>
      <c r="B462" s="26">
        <v>45731</v>
      </c>
      <c r="C462" s="26" t="s">
        <v>46</v>
      </c>
      <c r="D462" s="25">
        <v>2025</v>
      </c>
      <c r="E462" s="25" t="s">
        <v>602</v>
      </c>
      <c r="F462" s="25" t="s">
        <v>42</v>
      </c>
      <c r="G462" s="25" t="s">
        <v>608</v>
      </c>
      <c r="H462" s="25" t="s">
        <v>613</v>
      </c>
      <c r="I462" s="25" t="s">
        <v>631</v>
      </c>
      <c r="J462" s="25" t="s">
        <v>618</v>
      </c>
      <c r="K462" s="25">
        <v>8</v>
      </c>
      <c r="L462" s="25">
        <v>700</v>
      </c>
      <c r="M462" s="25">
        <v>5600</v>
      </c>
      <c r="N462" s="25">
        <v>4536</v>
      </c>
      <c r="O462" s="25">
        <v>1064</v>
      </c>
      <c r="P462" s="32">
        <v>0.19</v>
      </c>
    </row>
    <row r="463" spans="1:16" x14ac:dyDescent="0.25">
      <c r="A463" s="28" t="s">
        <v>516</v>
      </c>
      <c r="B463" s="24">
        <v>45976</v>
      </c>
      <c r="C463" s="24" t="s">
        <v>48</v>
      </c>
      <c r="D463" s="23">
        <v>2025</v>
      </c>
      <c r="E463" s="23" t="s">
        <v>605</v>
      </c>
      <c r="F463" s="23" t="s">
        <v>40</v>
      </c>
      <c r="G463" s="23" t="s">
        <v>610</v>
      </c>
      <c r="H463" s="23" t="s">
        <v>628</v>
      </c>
      <c r="I463" s="25" t="s">
        <v>645</v>
      </c>
      <c r="J463" s="23" t="s">
        <v>618</v>
      </c>
      <c r="K463" s="23">
        <v>2</v>
      </c>
      <c r="L463" s="23">
        <v>12000</v>
      </c>
      <c r="M463" s="23">
        <v>24000</v>
      </c>
      <c r="N463" s="23">
        <v>21120</v>
      </c>
      <c r="O463" s="23">
        <v>2880</v>
      </c>
      <c r="P463" s="31">
        <v>0.12</v>
      </c>
    </row>
    <row r="464" spans="1:16" x14ac:dyDescent="0.25">
      <c r="A464" s="29" t="s">
        <v>517</v>
      </c>
      <c r="B464" s="26">
        <v>45942</v>
      </c>
      <c r="C464" s="26" t="s">
        <v>65</v>
      </c>
      <c r="D464" s="25">
        <v>2025</v>
      </c>
      <c r="E464" s="25" t="s">
        <v>606</v>
      </c>
      <c r="F464" s="25" t="s">
        <v>40</v>
      </c>
      <c r="G464" s="25" t="s">
        <v>609</v>
      </c>
      <c r="H464" s="25" t="s">
        <v>624</v>
      </c>
      <c r="I464" s="25" t="s">
        <v>623</v>
      </c>
      <c r="J464" s="25" t="s">
        <v>615</v>
      </c>
      <c r="K464" s="25">
        <v>9</v>
      </c>
      <c r="L464" s="25">
        <v>8000</v>
      </c>
      <c r="M464" s="25">
        <v>72000</v>
      </c>
      <c r="N464" s="25">
        <v>61920</v>
      </c>
      <c r="O464" s="25">
        <v>10080</v>
      </c>
      <c r="P464" s="32">
        <v>0.14000000000000001</v>
      </c>
    </row>
    <row r="465" spans="1:16" x14ac:dyDescent="0.25">
      <c r="A465" s="28" t="s">
        <v>518</v>
      </c>
      <c r="B465" s="24">
        <v>45770</v>
      </c>
      <c r="C465" s="24" t="s">
        <v>62</v>
      </c>
      <c r="D465" s="23">
        <v>2025</v>
      </c>
      <c r="E465" s="23" t="s">
        <v>594</v>
      </c>
      <c r="F465" s="23" t="s">
        <v>39</v>
      </c>
      <c r="G465" s="23" t="s">
        <v>608</v>
      </c>
      <c r="H465" s="23" t="s">
        <v>613</v>
      </c>
      <c r="I465" s="25" t="s">
        <v>645</v>
      </c>
      <c r="J465" s="23" t="s">
        <v>618</v>
      </c>
      <c r="K465" s="23">
        <v>9</v>
      </c>
      <c r="L465" s="23">
        <v>45000</v>
      </c>
      <c r="M465" s="23">
        <v>405000</v>
      </c>
      <c r="N465" s="23">
        <v>275400</v>
      </c>
      <c r="O465" s="23">
        <v>129600</v>
      </c>
      <c r="P465" s="31">
        <v>0.32</v>
      </c>
    </row>
    <row r="466" spans="1:16" x14ac:dyDescent="0.25">
      <c r="A466" s="29" t="s">
        <v>519</v>
      </c>
      <c r="B466" s="26">
        <v>45951</v>
      </c>
      <c r="C466" s="26" t="s">
        <v>65</v>
      </c>
      <c r="D466" s="25">
        <v>2025</v>
      </c>
      <c r="E466" s="25" t="s">
        <v>607</v>
      </c>
      <c r="F466" s="25" t="s">
        <v>42</v>
      </c>
      <c r="G466" s="25" t="s">
        <v>609</v>
      </c>
      <c r="H466" s="25" t="s">
        <v>629</v>
      </c>
      <c r="I466" s="25" t="s">
        <v>623</v>
      </c>
      <c r="J466" s="25" t="s">
        <v>615</v>
      </c>
      <c r="K466" s="25">
        <v>7</v>
      </c>
      <c r="L466" s="25">
        <v>1200</v>
      </c>
      <c r="M466" s="25">
        <v>8400</v>
      </c>
      <c r="N466" s="25">
        <v>6972</v>
      </c>
      <c r="O466" s="25">
        <v>1428</v>
      </c>
      <c r="P466" s="32">
        <v>0.17</v>
      </c>
    </row>
    <row r="467" spans="1:16" x14ac:dyDescent="0.25">
      <c r="A467" s="28" t="s">
        <v>520</v>
      </c>
      <c r="B467" s="24">
        <v>45902</v>
      </c>
      <c r="C467" s="24" t="s">
        <v>53</v>
      </c>
      <c r="D467" s="23">
        <v>2025</v>
      </c>
      <c r="E467" s="23" t="s">
        <v>607</v>
      </c>
      <c r="F467" s="23" t="s">
        <v>42</v>
      </c>
      <c r="G467" s="23" t="s">
        <v>612</v>
      </c>
      <c r="H467" s="23" t="s">
        <v>625</v>
      </c>
      <c r="I467" s="23" t="s">
        <v>631</v>
      </c>
      <c r="J467" s="23" t="s">
        <v>618</v>
      </c>
      <c r="K467" s="23">
        <v>17</v>
      </c>
      <c r="L467" s="23">
        <v>300</v>
      </c>
      <c r="M467" s="23">
        <v>5100</v>
      </c>
      <c r="N467" s="23">
        <v>3723</v>
      </c>
      <c r="O467" s="23">
        <v>1377</v>
      </c>
      <c r="P467" s="31">
        <v>0.27</v>
      </c>
    </row>
    <row r="468" spans="1:16" x14ac:dyDescent="0.25">
      <c r="A468" s="29" t="s">
        <v>521</v>
      </c>
      <c r="B468" s="26">
        <v>45913</v>
      </c>
      <c r="C468" s="26" t="s">
        <v>53</v>
      </c>
      <c r="D468" s="25">
        <v>2025</v>
      </c>
      <c r="E468" s="25" t="s">
        <v>603</v>
      </c>
      <c r="F468" s="25" t="s">
        <v>42</v>
      </c>
      <c r="G468" s="25" t="s">
        <v>608</v>
      </c>
      <c r="H468" s="25" t="s">
        <v>629</v>
      </c>
      <c r="I468" s="25" t="s">
        <v>627</v>
      </c>
      <c r="J468" s="25" t="s">
        <v>615</v>
      </c>
      <c r="K468" s="25">
        <v>13</v>
      </c>
      <c r="L468" s="25">
        <v>4000</v>
      </c>
      <c r="M468" s="25">
        <v>52000</v>
      </c>
      <c r="N468" s="25">
        <v>45760</v>
      </c>
      <c r="O468" s="25">
        <v>6240</v>
      </c>
      <c r="P468" s="32">
        <v>0.12</v>
      </c>
    </row>
    <row r="469" spans="1:16" x14ac:dyDescent="0.25">
      <c r="A469" s="28" t="s">
        <v>522</v>
      </c>
      <c r="B469" s="24">
        <v>45987</v>
      </c>
      <c r="C469" s="24" t="s">
        <v>48</v>
      </c>
      <c r="D469" s="23">
        <v>2025</v>
      </c>
      <c r="E469" s="23" t="s">
        <v>606</v>
      </c>
      <c r="F469" s="23" t="s">
        <v>40</v>
      </c>
      <c r="G469" s="23" t="s">
        <v>612</v>
      </c>
      <c r="H469" s="23" t="s">
        <v>621</v>
      </c>
      <c r="I469" s="23" t="s">
        <v>619</v>
      </c>
      <c r="J469" s="23" t="s">
        <v>618</v>
      </c>
      <c r="K469" s="23">
        <v>15</v>
      </c>
      <c r="L469" s="23">
        <v>20</v>
      </c>
      <c r="M469" s="23">
        <v>300</v>
      </c>
      <c r="N469" s="23">
        <v>228</v>
      </c>
      <c r="O469" s="23">
        <v>72</v>
      </c>
      <c r="P469" s="31">
        <v>0.24</v>
      </c>
    </row>
    <row r="470" spans="1:16" x14ac:dyDescent="0.25">
      <c r="A470" s="29" t="s">
        <v>523</v>
      </c>
      <c r="B470" s="26">
        <v>45885</v>
      </c>
      <c r="C470" s="26" t="s">
        <v>50</v>
      </c>
      <c r="D470" s="25">
        <v>2025</v>
      </c>
      <c r="E470" s="25" t="s">
        <v>598</v>
      </c>
      <c r="F470" s="25" t="s">
        <v>40</v>
      </c>
      <c r="G470" s="25" t="s">
        <v>608</v>
      </c>
      <c r="H470" s="25" t="s">
        <v>625</v>
      </c>
      <c r="I470" s="25" t="s">
        <v>627</v>
      </c>
      <c r="J470" s="25" t="s">
        <v>615</v>
      </c>
      <c r="K470" s="25">
        <v>13</v>
      </c>
      <c r="L470" s="25">
        <v>700</v>
      </c>
      <c r="M470" s="25">
        <v>9100</v>
      </c>
      <c r="N470" s="25">
        <v>7007</v>
      </c>
      <c r="O470" s="25">
        <v>2093</v>
      </c>
      <c r="P470" s="32">
        <v>0.23</v>
      </c>
    </row>
    <row r="471" spans="1:16" x14ac:dyDescent="0.25">
      <c r="A471" s="28" t="s">
        <v>524</v>
      </c>
      <c r="B471" s="24">
        <v>46014</v>
      </c>
      <c r="C471" s="24" t="s">
        <v>80</v>
      </c>
      <c r="D471" s="23">
        <v>2025</v>
      </c>
      <c r="E471" s="23" t="s">
        <v>604</v>
      </c>
      <c r="F471" s="23" t="s">
        <v>41</v>
      </c>
      <c r="G471" s="23" t="s">
        <v>612</v>
      </c>
      <c r="H471" s="23" t="s">
        <v>620</v>
      </c>
      <c r="I471" s="23" t="s">
        <v>623</v>
      </c>
      <c r="J471" s="23" t="s">
        <v>618</v>
      </c>
      <c r="K471" s="23">
        <v>13</v>
      </c>
      <c r="L471" s="23">
        <v>12000</v>
      </c>
      <c r="M471" s="23">
        <v>156000</v>
      </c>
      <c r="N471" s="23">
        <v>95160</v>
      </c>
      <c r="O471" s="23">
        <v>60840</v>
      </c>
      <c r="P471" s="31">
        <v>0.39</v>
      </c>
    </row>
    <row r="472" spans="1:16" x14ac:dyDescent="0.25">
      <c r="A472" s="29" t="s">
        <v>525</v>
      </c>
      <c r="B472" s="26">
        <v>45885</v>
      </c>
      <c r="C472" s="26" t="s">
        <v>50</v>
      </c>
      <c r="D472" s="25">
        <v>2025</v>
      </c>
      <c r="E472" s="25" t="s">
        <v>605</v>
      </c>
      <c r="F472" s="25" t="s">
        <v>40</v>
      </c>
      <c r="G472" s="25" t="s">
        <v>609</v>
      </c>
      <c r="H472" s="25" t="s">
        <v>628</v>
      </c>
      <c r="I472" s="25" t="s">
        <v>619</v>
      </c>
      <c r="J472" s="25" t="s">
        <v>615</v>
      </c>
      <c r="K472" s="25">
        <v>4</v>
      </c>
      <c r="L472" s="25">
        <v>300</v>
      </c>
      <c r="M472" s="25">
        <v>1200</v>
      </c>
      <c r="N472" s="25">
        <v>768</v>
      </c>
      <c r="O472" s="25">
        <v>432</v>
      </c>
      <c r="P472" s="32">
        <v>0.36</v>
      </c>
    </row>
    <row r="473" spans="1:16" x14ac:dyDescent="0.25">
      <c r="A473" s="28" t="s">
        <v>526</v>
      </c>
      <c r="B473" s="24">
        <v>45786</v>
      </c>
      <c r="C473" s="24" t="s">
        <v>57</v>
      </c>
      <c r="D473" s="23">
        <v>2025</v>
      </c>
      <c r="E473" s="23" t="s">
        <v>606</v>
      </c>
      <c r="F473" s="23" t="s">
        <v>40</v>
      </c>
      <c r="G473" s="23" t="s">
        <v>612</v>
      </c>
      <c r="H473" s="23" t="s">
        <v>625</v>
      </c>
      <c r="I473" s="23" t="s">
        <v>627</v>
      </c>
      <c r="J473" s="23" t="s">
        <v>615</v>
      </c>
      <c r="K473" s="23">
        <v>8</v>
      </c>
      <c r="L473" s="23">
        <v>15000</v>
      </c>
      <c r="M473" s="23">
        <v>120000</v>
      </c>
      <c r="N473" s="23">
        <v>108000</v>
      </c>
      <c r="O473" s="23">
        <v>12000</v>
      </c>
      <c r="P473" s="31">
        <v>0.1</v>
      </c>
    </row>
    <row r="474" spans="1:16" x14ac:dyDescent="0.25">
      <c r="A474" s="29" t="s">
        <v>527</v>
      </c>
      <c r="B474" s="26">
        <v>45847</v>
      </c>
      <c r="C474" s="26" t="s">
        <v>83</v>
      </c>
      <c r="D474" s="25">
        <v>2025</v>
      </c>
      <c r="E474" s="25" t="s">
        <v>605</v>
      </c>
      <c r="F474" s="25" t="s">
        <v>40</v>
      </c>
      <c r="G474" s="25" t="s">
        <v>608</v>
      </c>
      <c r="H474" s="25" t="s">
        <v>616</v>
      </c>
      <c r="I474" s="25" t="s">
        <v>627</v>
      </c>
      <c r="J474" s="25" t="s">
        <v>618</v>
      </c>
      <c r="K474" s="25">
        <v>2</v>
      </c>
      <c r="L474" s="25">
        <v>3500</v>
      </c>
      <c r="M474" s="25">
        <v>7000</v>
      </c>
      <c r="N474" s="25">
        <v>5600</v>
      </c>
      <c r="O474" s="25">
        <v>1400</v>
      </c>
      <c r="P474" s="32">
        <v>0.2</v>
      </c>
    </row>
    <row r="475" spans="1:16" x14ac:dyDescent="0.25">
      <c r="A475" s="28" t="s">
        <v>528</v>
      </c>
      <c r="B475" s="24">
        <v>45760</v>
      </c>
      <c r="C475" s="24" t="s">
        <v>62</v>
      </c>
      <c r="D475" s="23">
        <v>2025</v>
      </c>
      <c r="E475" s="23" t="s">
        <v>593</v>
      </c>
      <c r="F475" s="23" t="s">
        <v>41</v>
      </c>
      <c r="G475" s="23" t="s">
        <v>611</v>
      </c>
      <c r="H475" s="23" t="s">
        <v>616</v>
      </c>
      <c r="I475" s="23" t="s">
        <v>631</v>
      </c>
      <c r="J475" s="23" t="s">
        <v>618</v>
      </c>
      <c r="K475" s="23">
        <v>15</v>
      </c>
      <c r="L475" s="23">
        <v>12000</v>
      </c>
      <c r="M475" s="23">
        <v>180000</v>
      </c>
      <c r="N475" s="23">
        <v>115200</v>
      </c>
      <c r="O475" s="23">
        <v>64800</v>
      </c>
      <c r="P475" s="31">
        <v>0.36</v>
      </c>
    </row>
    <row r="476" spans="1:16" x14ac:dyDescent="0.25">
      <c r="A476" s="29" t="s">
        <v>529</v>
      </c>
      <c r="B476" s="26">
        <v>45725</v>
      </c>
      <c r="C476" s="26" t="s">
        <v>46</v>
      </c>
      <c r="D476" s="25">
        <v>2025</v>
      </c>
      <c r="E476" s="25" t="s">
        <v>593</v>
      </c>
      <c r="F476" s="25" t="s">
        <v>41</v>
      </c>
      <c r="G476" s="25" t="s">
        <v>612</v>
      </c>
      <c r="H476" s="25" t="s">
        <v>616</v>
      </c>
      <c r="I476" s="25" t="s">
        <v>631</v>
      </c>
      <c r="J476" s="25" t="s">
        <v>618</v>
      </c>
      <c r="K476" s="25">
        <v>13</v>
      </c>
      <c r="L476" s="25">
        <v>1200</v>
      </c>
      <c r="M476" s="25">
        <v>15600</v>
      </c>
      <c r="N476" s="25">
        <v>13416</v>
      </c>
      <c r="O476" s="25">
        <v>2184</v>
      </c>
      <c r="P476" s="32">
        <v>0.14000000000000001</v>
      </c>
    </row>
    <row r="477" spans="1:16" x14ac:dyDescent="0.25">
      <c r="A477" s="28" t="s">
        <v>530</v>
      </c>
      <c r="B477" s="24">
        <v>45919</v>
      </c>
      <c r="C477" s="24" t="s">
        <v>53</v>
      </c>
      <c r="D477" s="23">
        <v>2025</v>
      </c>
      <c r="E477" s="23" t="s">
        <v>595</v>
      </c>
      <c r="F477" s="23" t="s">
        <v>39</v>
      </c>
      <c r="G477" s="23" t="s">
        <v>612</v>
      </c>
      <c r="H477" s="23" t="s">
        <v>613</v>
      </c>
      <c r="I477" s="23" t="s">
        <v>623</v>
      </c>
      <c r="J477" s="23" t="s">
        <v>618</v>
      </c>
      <c r="K477" s="23">
        <v>18</v>
      </c>
      <c r="L477" s="23">
        <v>50</v>
      </c>
      <c r="M477" s="23">
        <v>900</v>
      </c>
      <c r="N477" s="23">
        <v>594</v>
      </c>
      <c r="O477" s="23">
        <v>306</v>
      </c>
      <c r="P477" s="31">
        <v>0.34</v>
      </c>
    </row>
    <row r="478" spans="1:16" x14ac:dyDescent="0.25">
      <c r="A478" s="29" t="s">
        <v>531</v>
      </c>
      <c r="B478" s="26">
        <v>45689</v>
      </c>
      <c r="C478" s="26" t="s">
        <v>55</v>
      </c>
      <c r="D478" s="25">
        <v>2025</v>
      </c>
      <c r="E478" s="25" t="s">
        <v>603</v>
      </c>
      <c r="F478" s="25" t="s">
        <v>42</v>
      </c>
      <c r="G478" s="25" t="s">
        <v>612</v>
      </c>
      <c r="H478" s="25" t="s">
        <v>613</v>
      </c>
      <c r="I478" s="25" t="s">
        <v>614</v>
      </c>
      <c r="J478" s="25" t="s">
        <v>615</v>
      </c>
      <c r="K478" s="25">
        <v>9</v>
      </c>
      <c r="L478" s="25">
        <v>700</v>
      </c>
      <c r="M478" s="25">
        <v>6300</v>
      </c>
      <c r="N478" s="25">
        <v>5103</v>
      </c>
      <c r="O478" s="25">
        <v>1197</v>
      </c>
      <c r="P478" s="32">
        <v>0.19</v>
      </c>
    </row>
    <row r="479" spans="1:16" x14ac:dyDescent="0.25">
      <c r="A479" s="28" t="s">
        <v>532</v>
      </c>
      <c r="B479" s="24">
        <v>45706</v>
      </c>
      <c r="C479" s="24" t="s">
        <v>55</v>
      </c>
      <c r="D479" s="23">
        <v>2025</v>
      </c>
      <c r="E479" s="23" t="s">
        <v>601</v>
      </c>
      <c r="F479" s="23" t="s">
        <v>41</v>
      </c>
      <c r="G479" s="23" t="s">
        <v>612</v>
      </c>
      <c r="H479" s="23" t="s">
        <v>628</v>
      </c>
      <c r="I479" s="23" t="s">
        <v>619</v>
      </c>
      <c r="J479" s="23" t="s">
        <v>618</v>
      </c>
      <c r="K479" s="23">
        <v>5</v>
      </c>
      <c r="L479" s="23">
        <v>4000</v>
      </c>
      <c r="M479" s="23">
        <v>20000</v>
      </c>
      <c r="N479" s="23">
        <v>13600</v>
      </c>
      <c r="O479" s="23">
        <v>6400</v>
      </c>
      <c r="P479" s="31">
        <v>0.32</v>
      </c>
    </row>
    <row r="480" spans="1:16" x14ac:dyDescent="0.25">
      <c r="A480" s="29" t="s">
        <v>533</v>
      </c>
      <c r="B480" s="26">
        <v>45907</v>
      </c>
      <c r="C480" s="26" t="s">
        <v>53</v>
      </c>
      <c r="D480" s="25">
        <v>2025</v>
      </c>
      <c r="E480" s="25" t="s">
        <v>592</v>
      </c>
      <c r="F480" s="25" t="s">
        <v>40</v>
      </c>
      <c r="G480" s="25" t="s">
        <v>611</v>
      </c>
      <c r="H480" s="25" t="s">
        <v>620</v>
      </c>
      <c r="I480" s="25" t="s">
        <v>627</v>
      </c>
      <c r="J480" s="25" t="s">
        <v>618</v>
      </c>
      <c r="K480" s="25">
        <v>12</v>
      </c>
      <c r="L480" s="25">
        <v>150</v>
      </c>
      <c r="M480" s="25">
        <v>1800</v>
      </c>
      <c r="N480" s="25">
        <v>1206</v>
      </c>
      <c r="O480" s="25">
        <v>594</v>
      </c>
      <c r="P480" s="32">
        <v>0.33</v>
      </c>
    </row>
    <row r="481" spans="1:16" x14ac:dyDescent="0.25">
      <c r="A481" s="28" t="s">
        <v>534</v>
      </c>
      <c r="B481" s="24">
        <v>45672</v>
      </c>
      <c r="C481" s="24" t="s">
        <v>59</v>
      </c>
      <c r="D481" s="23">
        <v>2025</v>
      </c>
      <c r="E481" s="23" t="s">
        <v>595</v>
      </c>
      <c r="F481" s="23" t="s">
        <v>39</v>
      </c>
      <c r="G481" s="23" t="s">
        <v>609</v>
      </c>
      <c r="H481" s="23" t="s">
        <v>629</v>
      </c>
      <c r="I481" s="25" t="s">
        <v>645</v>
      </c>
      <c r="J481" s="23" t="s">
        <v>615</v>
      </c>
      <c r="K481" s="23">
        <v>3</v>
      </c>
      <c r="L481" s="23">
        <v>7000</v>
      </c>
      <c r="M481" s="23">
        <v>21000</v>
      </c>
      <c r="N481" s="23">
        <v>15750</v>
      </c>
      <c r="O481" s="23">
        <v>5250</v>
      </c>
      <c r="P481" s="31">
        <v>0.25</v>
      </c>
    </row>
    <row r="482" spans="1:16" x14ac:dyDescent="0.25">
      <c r="A482" s="29" t="s">
        <v>535</v>
      </c>
      <c r="B482" s="26">
        <v>45849</v>
      </c>
      <c r="C482" s="26" t="s">
        <v>83</v>
      </c>
      <c r="D482" s="25">
        <v>2025</v>
      </c>
      <c r="E482" s="25" t="s">
        <v>602</v>
      </c>
      <c r="F482" s="25" t="s">
        <v>42</v>
      </c>
      <c r="G482" s="25" t="s">
        <v>610</v>
      </c>
      <c r="H482" s="25" t="s">
        <v>624</v>
      </c>
      <c r="I482" s="25" t="s">
        <v>617</v>
      </c>
      <c r="J482" s="25" t="s">
        <v>615</v>
      </c>
      <c r="K482" s="25">
        <v>14</v>
      </c>
      <c r="L482" s="25">
        <v>55000</v>
      </c>
      <c r="M482" s="25">
        <v>770000</v>
      </c>
      <c r="N482" s="25">
        <v>654500</v>
      </c>
      <c r="O482" s="25">
        <v>115500</v>
      </c>
      <c r="P482" s="32">
        <v>0.15</v>
      </c>
    </row>
    <row r="483" spans="1:16" x14ac:dyDescent="0.25">
      <c r="A483" s="28" t="s">
        <v>536</v>
      </c>
      <c r="B483" s="24">
        <v>45693</v>
      </c>
      <c r="C483" s="24" t="s">
        <v>55</v>
      </c>
      <c r="D483" s="23">
        <v>2025</v>
      </c>
      <c r="E483" s="23" t="s">
        <v>599</v>
      </c>
      <c r="F483" s="23" t="s">
        <v>39</v>
      </c>
      <c r="G483" s="23" t="s">
        <v>609</v>
      </c>
      <c r="H483" s="23" t="s">
        <v>628</v>
      </c>
      <c r="I483" s="23" t="s">
        <v>631</v>
      </c>
      <c r="J483" s="23" t="s">
        <v>615</v>
      </c>
      <c r="K483" s="23">
        <v>20</v>
      </c>
      <c r="L483" s="23">
        <v>4000</v>
      </c>
      <c r="M483" s="23">
        <v>80000</v>
      </c>
      <c r="N483" s="23">
        <v>66400</v>
      </c>
      <c r="O483" s="23">
        <v>13600</v>
      </c>
      <c r="P483" s="31">
        <v>0.17</v>
      </c>
    </row>
    <row r="484" spans="1:16" x14ac:dyDescent="0.25">
      <c r="A484" s="29" t="s">
        <v>537</v>
      </c>
      <c r="B484" s="26">
        <v>45982</v>
      </c>
      <c r="C484" s="26" t="s">
        <v>48</v>
      </c>
      <c r="D484" s="25">
        <v>2025</v>
      </c>
      <c r="E484" s="25" t="s">
        <v>603</v>
      </c>
      <c r="F484" s="25" t="s">
        <v>42</v>
      </c>
      <c r="G484" s="25" t="s">
        <v>611</v>
      </c>
      <c r="H484" s="25" t="s">
        <v>625</v>
      </c>
      <c r="I484" s="25" t="s">
        <v>617</v>
      </c>
      <c r="J484" s="25" t="s">
        <v>615</v>
      </c>
      <c r="K484" s="25">
        <v>11</v>
      </c>
      <c r="L484" s="25">
        <v>1200</v>
      </c>
      <c r="M484" s="25">
        <v>13200</v>
      </c>
      <c r="N484" s="25">
        <v>9636</v>
      </c>
      <c r="O484" s="25">
        <v>3564</v>
      </c>
      <c r="P484" s="32">
        <v>0.27</v>
      </c>
    </row>
    <row r="485" spans="1:16" x14ac:dyDescent="0.25">
      <c r="A485" s="28" t="s">
        <v>538</v>
      </c>
      <c r="B485" s="24">
        <v>45781</v>
      </c>
      <c r="C485" s="24" t="s">
        <v>57</v>
      </c>
      <c r="D485" s="23">
        <v>2025</v>
      </c>
      <c r="E485" s="23" t="s">
        <v>607</v>
      </c>
      <c r="F485" s="23" t="s">
        <v>42</v>
      </c>
      <c r="G485" s="23" t="s">
        <v>611</v>
      </c>
      <c r="H485" s="23" t="s">
        <v>620</v>
      </c>
      <c r="I485" s="23" t="s">
        <v>614</v>
      </c>
      <c r="J485" s="23" t="s">
        <v>615</v>
      </c>
      <c r="K485" s="23">
        <v>12</v>
      </c>
      <c r="L485" s="23">
        <v>55000</v>
      </c>
      <c r="M485" s="23">
        <v>660000</v>
      </c>
      <c r="N485" s="23">
        <v>448800</v>
      </c>
      <c r="O485" s="23">
        <v>211200</v>
      </c>
      <c r="P485" s="31">
        <v>0.32</v>
      </c>
    </row>
    <row r="486" spans="1:16" x14ac:dyDescent="0.25">
      <c r="A486" s="29" t="s">
        <v>539</v>
      </c>
      <c r="B486" s="26">
        <v>45976</v>
      </c>
      <c r="C486" s="26" t="s">
        <v>48</v>
      </c>
      <c r="D486" s="25">
        <v>2025</v>
      </c>
      <c r="E486" s="25" t="s">
        <v>598</v>
      </c>
      <c r="F486" s="25" t="s">
        <v>40</v>
      </c>
      <c r="G486" s="25" t="s">
        <v>612</v>
      </c>
      <c r="H486" s="25" t="s">
        <v>616</v>
      </c>
      <c r="I486" s="25" t="s">
        <v>617</v>
      </c>
      <c r="J486" s="25" t="s">
        <v>615</v>
      </c>
      <c r="K486" s="25">
        <v>19</v>
      </c>
      <c r="L486" s="25">
        <v>8000</v>
      </c>
      <c r="M486" s="25">
        <v>152000</v>
      </c>
      <c r="N486" s="25">
        <v>120080</v>
      </c>
      <c r="O486" s="25">
        <v>31920</v>
      </c>
      <c r="P486" s="32">
        <v>0.21</v>
      </c>
    </row>
    <row r="487" spans="1:16" x14ac:dyDescent="0.25">
      <c r="A487" s="28" t="s">
        <v>540</v>
      </c>
      <c r="B487" s="24">
        <v>45995</v>
      </c>
      <c r="C487" s="24" t="s">
        <v>80</v>
      </c>
      <c r="D487" s="23">
        <v>2025</v>
      </c>
      <c r="E487" s="23" t="s">
        <v>602</v>
      </c>
      <c r="F487" s="23" t="s">
        <v>42</v>
      </c>
      <c r="G487" s="23" t="s">
        <v>611</v>
      </c>
      <c r="H487" s="23" t="s">
        <v>624</v>
      </c>
      <c r="I487" s="23" t="s">
        <v>631</v>
      </c>
      <c r="J487" s="23" t="s">
        <v>618</v>
      </c>
      <c r="K487" s="23">
        <v>13</v>
      </c>
      <c r="L487" s="23">
        <v>55000</v>
      </c>
      <c r="M487" s="23">
        <v>715000</v>
      </c>
      <c r="N487" s="23">
        <v>457600</v>
      </c>
      <c r="O487" s="23">
        <v>257400</v>
      </c>
      <c r="P487" s="31">
        <v>0.36</v>
      </c>
    </row>
    <row r="488" spans="1:16" x14ac:dyDescent="0.25">
      <c r="A488" s="29" t="s">
        <v>541</v>
      </c>
      <c r="B488" s="26">
        <v>45825</v>
      </c>
      <c r="C488" s="26" t="s">
        <v>44</v>
      </c>
      <c r="D488" s="25">
        <v>2025</v>
      </c>
      <c r="E488" s="25" t="s">
        <v>603</v>
      </c>
      <c r="F488" s="25" t="s">
        <v>42</v>
      </c>
      <c r="G488" s="25" t="s">
        <v>611</v>
      </c>
      <c r="H488" s="25" t="s">
        <v>622</v>
      </c>
      <c r="I488" s="25" t="s">
        <v>619</v>
      </c>
      <c r="J488" s="25" t="s">
        <v>618</v>
      </c>
      <c r="K488" s="25">
        <v>15</v>
      </c>
      <c r="L488" s="25">
        <v>700</v>
      </c>
      <c r="M488" s="25">
        <v>10500</v>
      </c>
      <c r="N488" s="25">
        <v>8820</v>
      </c>
      <c r="O488" s="25">
        <v>1680</v>
      </c>
      <c r="P488" s="32">
        <v>0.16</v>
      </c>
    </row>
    <row r="489" spans="1:16" x14ac:dyDescent="0.25">
      <c r="A489" s="28" t="s">
        <v>542</v>
      </c>
      <c r="B489" s="24">
        <v>45999</v>
      </c>
      <c r="C489" s="24" t="s">
        <v>80</v>
      </c>
      <c r="D489" s="23">
        <v>2025</v>
      </c>
      <c r="E489" s="23" t="s">
        <v>598</v>
      </c>
      <c r="F489" s="23" t="s">
        <v>40</v>
      </c>
      <c r="G489" s="23" t="s">
        <v>610</v>
      </c>
      <c r="H489" s="23" t="s">
        <v>625</v>
      </c>
      <c r="I489" s="23" t="s">
        <v>630</v>
      </c>
      <c r="J489" s="23" t="s">
        <v>615</v>
      </c>
      <c r="K489" s="23">
        <v>13</v>
      </c>
      <c r="L489" s="23">
        <v>25000</v>
      </c>
      <c r="M489" s="23">
        <v>325000</v>
      </c>
      <c r="N489" s="23">
        <v>243750</v>
      </c>
      <c r="O489" s="23">
        <v>81250</v>
      </c>
      <c r="P489" s="31">
        <v>0.25</v>
      </c>
    </row>
    <row r="490" spans="1:16" x14ac:dyDescent="0.25">
      <c r="A490" s="29" t="s">
        <v>543</v>
      </c>
      <c r="B490" s="26">
        <v>45771</v>
      </c>
      <c r="C490" s="26" t="s">
        <v>62</v>
      </c>
      <c r="D490" s="25">
        <v>2025</v>
      </c>
      <c r="E490" s="25" t="s">
        <v>603</v>
      </c>
      <c r="F490" s="25" t="s">
        <v>42</v>
      </c>
      <c r="G490" s="25" t="s">
        <v>608</v>
      </c>
      <c r="H490" s="25" t="s">
        <v>626</v>
      </c>
      <c r="I490" s="25" t="s">
        <v>645</v>
      </c>
      <c r="J490" s="25" t="s">
        <v>615</v>
      </c>
      <c r="K490" s="25">
        <v>17</v>
      </c>
      <c r="L490" s="25">
        <v>8000</v>
      </c>
      <c r="M490" s="25">
        <v>136000</v>
      </c>
      <c r="N490" s="25">
        <v>97920</v>
      </c>
      <c r="O490" s="25">
        <v>38080</v>
      </c>
      <c r="P490" s="32">
        <v>0.28000000000000003</v>
      </c>
    </row>
    <row r="491" spans="1:16" x14ac:dyDescent="0.25">
      <c r="A491" s="28" t="s">
        <v>544</v>
      </c>
      <c r="B491" s="24">
        <v>45932</v>
      </c>
      <c r="C491" s="24" t="s">
        <v>65</v>
      </c>
      <c r="D491" s="23">
        <v>2025</v>
      </c>
      <c r="E491" s="23" t="s">
        <v>605</v>
      </c>
      <c r="F491" s="23" t="s">
        <v>40</v>
      </c>
      <c r="G491" s="23" t="s">
        <v>610</v>
      </c>
      <c r="H491" s="23" t="s">
        <v>628</v>
      </c>
      <c r="I491" s="23" t="s">
        <v>631</v>
      </c>
      <c r="J491" s="23" t="s">
        <v>618</v>
      </c>
      <c r="K491" s="23">
        <v>8</v>
      </c>
      <c r="L491" s="23">
        <v>20</v>
      </c>
      <c r="M491" s="23">
        <v>160</v>
      </c>
      <c r="N491" s="23">
        <v>132.80000000000001</v>
      </c>
      <c r="O491" s="23">
        <v>27.199999999999989</v>
      </c>
      <c r="P491" s="31">
        <v>0.16999999999999993</v>
      </c>
    </row>
    <row r="492" spans="1:16" x14ac:dyDescent="0.25">
      <c r="A492" s="29" t="s">
        <v>545</v>
      </c>
      <c r="B492" s="26">
        <v>45804</v>
      </c>
      <c r="C492" s="26" t="s">
        <v>57</v>
      </c>
      <c r="D492" s="25">
        <v>2025</v>
      </c>
      <c r="E492" s="25" t="s">
        <v>605</v>
      </c>
      <c r="F492" s="25" t="s">
        <v>40</v>
      </c>
      <c r="G492" s="25" t="s">
        <v>608</v>
      </c>
      <c r="H492" s="25" t="s">
        <v>626</v>
      </c>
      <c r="I492" s="25" t="s">
        <v>623</v>
      </c>
      <c r="J492" s="25" t="s">
        <v>615</v>
      </c>
      <c r="K492" s="25">
        <v>11</v>
      </c>
      <c r="L492" s="25">
        <v>8000</v>
      </c>
      <c r="M492" s="25">
        <v>88000</v>
      </c>
      <c r="N492" s="25">
        <v>56320</v>
      </c>
      <c r="O492" s="25">
        <v>31680</v>
      </c>
      <c r="P492" s="32">
        <v>0.36</v>
      </c>
    </row>
    <row r="493" spans="1:16" x14ac:dyDescent="0.25">
      <c r="A493" s="28" t="s">
        <v>546</v>
      </c>
      <c r="B493" s="24">
        <v>45818</v>
      </c>
      <c r="C493" s="24" t="s">
        <v>44</v>
      </c>
      <c r="D493" s="23">
        <v>2025</v>
      </c>
      <c r="E493" s="23" t="s">
        <v>601</v>
      </c>
      <c r="F493" s="23" t="s">
        <v>41</v>
      </c>
      <c r="G493" s="23" t="s">
        <v>610</v>
      </c>
      <c r="H493" s="23" t="s">
        <v>629</v>
      </c>
      <c r="I493" s="23" t="s">
        <v>627</v>
      </c>
      <c r="J493" s="23" t="s">
        <v>615</v>
      </c>
      <c r="K493" s="23">
        <v>20</v>
      </c>
      <c r="L493" s="23">
        <v>20</v>
      </c>
      <c r="M493" s="23">
        <v>400</v>
      </c>
      <c r="N493" s="23">
        <v>276</v>
      </c>
      <c r="O493" s="23">
        <v>124</v>
      </c>
      <c r="P493" s="31">
        <v>0.31</v>
      </c>
    </row>
    <row r="494" spans="1:16" x14ac:dyDescent="0.25">
      <c r="A494" s="29" t="s">
        <v>547</v>
      </c>
      <c r="B494" s="26">
        <v>45839</v>
      </c>
      <c r="C494" s="26" t="s">
        <v>83</v>
      </c>
      <c r="D494" s="25">
        <v>2025</v>
      </c>
      <c r="E494" s="25" t="s">
        <v>597</v>
      </c>
      <c r="F494" s="25" t="s">
        <v>41</v>
      </c>
      <c r="G494" s="25" t="s">
        <v>611</v>
      </c>
      <c r="H494" s="25" t="s">
        <v>624</v>
      </c>
      <c r="I494" s="25" t="s">
        <v>645</v>
      </c>
      <c r="J494" s="25" t="s">
        <v>618</v>
      </c>
      <c r="K494" s="25">
        <v>12</v>
      </c>
      <c r="L494" s="25">
        <v>4000</v>
      </c>
      <c r="M494" s="25">
        <v>48000</v>
      </c>
      <c r="N494" s="25">
        <v>34560</v>
      </c>
      <c r="O494" s="25">
        <v>13440</v>
      </c>
      <c r="P494" s="32">
        <v>0.28000000000000003</v>
      </c>
    </row>
    <row r="495" spans="1:16" x14ac:dyDescent="0.25">
      <c r="A495" s="28" t="s">
        <v>548</v>
      </c>
      <c r="B495" s="24">
        <v>45781</v>
      </c>
      <c r="C495" s="24" t="s">
        <v>57</v>
      </c>
      <c r="D495" s="23">
        <v>2025</v>
      </c>
      <c r="E495" s="23" t="s">
        <v>593</v>
      </c>
      <c r="F495" s="23" t="s">
        <v>41</v>
      </c>
      <c r="G495" s="23" t="s">
        <v>611</v>
      </c>
      <c r="H495" s="23" t="s">
        <v>622</v>
      </c>
      <c r="I495" s="23" t="s">
        <v>631</v>
      </c>
      <c r="J495" s="23" t="s">
        <v>618</v>
      </c>
      <c r="K495" s="23">
        <v>18</v>
      </c>
      <c r="L495" s="23">
        <v>8000</v>
      </c>
      <c r="M495" s="23">
        <v>144000</v>
      </c>
      <c r="N495" s="23">
        <v>99360</v>
      </c>
      <c r="O495" s="23">
        <v>44640</v>
      </c>
      <c r="P495" s="31">
        <v>0.31</v>
      </c>
    </row>
    <row r="496" spans="1:16" x14ac:dyDescent="0.25">
      <c r="A496" s="29" t="s">
        <v>549</v>
      </c>
      <c r="B496" s="26">
        <v>46016</v>
      </c>
      <c r="C496" s="26" t="s">
        <v>80</v>
      </c>
      <c r="D496" s="25">
        <v>2025</v>
      </c>
      <c r="E496" s="25" t="s">
        <v>599</v>
      </c>
      <c r="F496" s="25" t="s">
        <v>39</v>
      </c>
      <c r="G496" s="25" t="s">
        <v>612</v>
      </c>
      <c r="H496" s="25" t="s">
        <v>625</v>
      </c>
      <c r="I496" s="25" t="s">
        <v>631</v>
      </c>
      <c r="J496" s="25" t="s">
        <v>618</v>
      </c>
      <c r="K496" s="25">
        <v>9</v>
      </c>
      <c r="L496" s="25">
        <v>7000</v>
      </c>
      <c r="M496" s="25">
        <v>63000</v>
      </c>
      <c r="N496" s="25">
        <v>49140</v>
      </c>
      <c r="O496" s="25">
        <v>13860</v>
      </c>
      <c r="P496" s="32">
        <v>0.22</v>
      </c>
    </row>
    <row r="497" spans="1:16" x14ac:dyDescent="0.25">
      <c r="A497" s="28" t="s">
        <v>550</v>
      </c>
      <c r="B497" s="24">
        <v>45862</v>
      </c>
      <c r="C497" s="24" t="s">
        <v>83</v>
      </c>
      <c r="D497" s="23">
        <v>2025</v>
      </c>
      <c r="E497" s="23" t="s">
        <v>599</v>
      </c>
      <c r="F497" s="23" t="s">
        <v>39</v>
      </c>
      <c r="G497" s="23" t="s">
        <v>612</v>
      </c>
      <c r="H497" s="23" t="s">
        <v>622</v>
      </c>
      <c r="I497" s="23" t="s">
        <v>614</v>
      </c>
      <c r="J497" s="23" t="s">
        <v>615</v>
      </c>
      <c r="K497" s="23">
        <v>17</v>
      </c>
      <c r="L497" s="23">
        <v>55000</v>
      </c>
      <c r="M497" s="23">
        <v>935000</v>
      </c>
      <c r="N497" s="23">
        <v>673200</v>
      </c>
      <c r="O497" s="23">
        <v>261800</v>
      </c>
      <c r="P497" s="31">
        <v>0.28000000000000003</v>
      </c>
    </row>
    <row r="498" spans="1:16" x14ac:dyDescent="0.25">
      <c r="A498" s="29" t="s">
        <v>551</v>
      </c>
      <c r="B498" s="26">
        <v>45861</v>
      </c>
      <c r="C498" s="26" t="s">
        <v>83</v>
      </c>
      <c r="D498" s="25">
        <v>2025</v>
      </c>
      <c r="E498" s="25" t="s">
        <v>606</v>
      </c>
      <c r="F498" s="25" t="s">
        <v>40</v>
      </c>
      <c r="G498" s="25" t="s">
        <v>610</v>
      </c>
      <c r="H498" s="25" t="s">
        <v>624</v>
      </c>
      <c r="I498" s="25" t="s">
        <v>614</v>
      </c>
      <c r="J498" s="25" t="s">
        <v>618</v>
      </c>
      <c r="K498" s="25">
        <v>9</v>
      </c>
      <c r="L498" s="25">
        <v>55000</v>
      </c>
      <c r="M498" s="25">
        <v>495000</v>
      </c>
      <c r="N498" s="25">
        <v>297000</v>
      </c>
      <c r="O498" s="25">
        <v>198000</v>
      </c>
      <c r="P498" s="32">
        <v>0.4</v>
      </c>
    </row>
    <row r="499" spans="1:16" x14ac:dyDescent="0.25">
      <c r="A499" s="28" t="s">
        <v>552</v>
      </c>
      <c r="B499" s="24">
        <v>45904</v>
      </c>
      <c r="C499" s="24" t="s">
        <v>53</v>
      </c>
      <c r="D499" s="23">
        <v>2025</v>
      </c>
      <c r="E499" s="23" t="s">
        <v>592</v>
      </c>
      <c r="F499" s="23" t="s">
        <v>40</v>
      </c>
      <c r="G499" s="23" t="s">
        <v>611</v>
      </c>
      <c r="H499" s="23" t="s">
        <v>624</v>
      </c>
      <c r="I499" s="23" t="s">
        <v>617</v>
      </c>
      <c r="J499" s="23" t="s">
        <v>618</v>
      </c>
      <c r="K499" s="23">
        <v>2</v>
      </c>
      <c r="L499" s="23">
        <v>8000</v>
      </c>
      <c r="M499" s="23">
        <v>16000</v>
      </c>
      <c r="N499" s="23">
        <v>12480</v>
      </c>
      <c r="O499" s="23">
        <v>3520</v>
      </c>
      <c r="P499" s="31">
        <v>0.22</v>
      </c>
    </row>
    <row r="500" spans="1:16" x14ac:dyDescent="0.25">
      <c r="A500" s="29" t="s">
        <v>553</v>
      </c>
      <c r="B500" s="26">
        <v>45987</v>
      </c>
      <c r="C500" s="26" t="s">
        <v>48</v>
      </c>
      <c r="D500" s="25">
        <v>2025</v>
      </c>
      <c r="E500" s="25" t="s">
        <v>602</v>
      </c>
      <c r="F500" s="25" t="s">
        <v>42</v>
      </c>
      <c r="G500" s="25" t="s">
        <v>608</v>
      </c>
      <c r="H500" s="25" t="s">
        <v>625</v>
      </c>
      <c r="I500" s="25" t="s">
        <v>645</v>
      </c>
      <c r="J500" s="25" t="s">
        <v>618</v>
      </c>
      <c r="K500" s="25">
        <v>5</v>
      </c>
      <c r="L500" s="25">
        <v>9000</v>
      </c>
      <c r="M500" s="25">
        <v>45000</v>
      </c>
      <c r="N500" s="25">
        <v>30150</v>
      </c>
      <c r="O500" s="25">
        <v>14850</v>
      </c>
      <c r="P500" s="32">
        <v>0.33</v>
      </c>
    </row>
    <row r="501" spans="1:16" x14ac:dyDescent="0.25">
      <c r="A501" s="28" t="s">
        <v>554</v>
      </c>
      <c r="B501" s="24">
        <v>45704</v>
      </c>
      <c r="C501" s="24" t="s">
        <v>55</v>
      </c>
      <c r="D501" s="23">
        <v>2025</v>
      </c>
      <c r="E501" s="23" t="s">
        <v>598</v>
      </c>
      <c r="F501" s="23" t="s">
        <v>40</v>
      </c>
      <c r="G501" s="23" t="s">
        <v>611</v>
      </c>
      <c r="H501" s="23" t="s">
        <v>625</v>
      </c>
      <c r="I501" s="23" t="s">
        <v>617</v>
      </c>
      <c r="J501" s="23" t="s">
        <v>618</v>
      </c>
      <c r="K501" s="23">
        <v>1</v>
      </c>
      <c r="L501" s="23">
        <v>3500</v>
      </c>
      <c r="M501" s="23">
        <v>3500</v>
      </c>
      <c r="N501" s="23">
        <v>2380</v>
      </c>
      <c r="O501" s="23">
        <v>1120</v>
      </c>
      <c r="P501" s="31">
        <v>0.32</v>
      </c>
    </row>
    <row r="502" spans="1:16" x14ac:dyDescent="0.25">
      <c r="A502" s="29" t="s">
        <v>555</v>
      </c>
      <c r="B502" s="26">
        <v>45840</v>
      </c>
      <c r="C502" s="26" t="s">
        <v>83</v>
      </c>
      <c r="D502" s="25">
        <v>2025</v>
      </c>
      <c r="E502" s="25" t="s">
        <v>594</v>
      </c>
      <c r="F502" s="25" t="s">
        <v>39</v>
      </c>
      <c r="G502" s="25" t="s">
        <v>609</v>
      </c>
      <c r="H502" s="25" t="s">
        <v>616</v>
      </c>
      <c r="I502" s="25" t="s">
        <v>623</v>
      </c>
      <c r="J502" s="25" t="s">
        <v>618</v>
      </c>
      <c r="K502" s="25">
        <v>5</v>
      </c>
      <c r="L502" s="25">
        <v>3500</v>
      </c>
      <c r="M502" s="25">
        <v>17500</v>
      </c>
      <c r="N502" s="25">
        <v>15225</v>
      </c>
      <c r="O502" s="25">
        <v>2275</v>
      </c>
      <c r="P502" s="32">
        <v>0.13</v>
      </c>
    </row>
    <row r="503" spans="1:16" x14ac:dyDescent="0.25">
      <c r="A503" s="28" t="s">
        <v>556</v>
      </c>
      <c r="B503" s="24">
        <v>45778</v>
      </c>
      <c r="C503" s="24" t="s">
        <v>57</v>
      </c>
      <c r="D503" s="23">
        <v>2025</v>
      </c>
      <c r="E503" s="23" t="s">
        <v>592</v>
      </c>
      <c r="F503" s="23" t="s">
        <v>40</v>
      </c>
      <c r="G503" s="23" t="s">
        <v>609</v>
      </c>
      <c r="H503" s="23" t="s">
        <v>613</v>
      </c>
      <c r="I503" s="25" t="s">
        <v>645</v>
      </c>
      <c r="J503" s="23" t="s">
        <v>618</v>
      </c>
      <c r="K503" s="23">
        <v>10</v>
      </c>
      <c r="L503" s="23">
        <v>150</v>
      </c>
      <c r="M503" s="23">
        <v>1500</v>
      </c>
      <c r="N503" s="23">
        <v>1110</v>
      </c>
      <c r="O503" s="23">
        <v>390</v>
      </c>
      <c r="P503" s="31">
        <v>0.26</v>
      </c>
    </row>
    <row r="504" spans="1:16" x14ac:dyDescent="0.25">
      <c r="A504" s="29" t="s">
        <v>557</v>
      </c>
      <c r="B504" s="26">
        <v>45954</v>
      </c>
      <c r="C504" s="26" t="s">
        <v>65</v>
      </c>
      <c r="D504" s="25">
        <v>2025</v>
      </c>
      <c r="E504" s="25" t="s">
        <v>593</v>
      </c>
      <c r="F504" s="25" t="s">
        <v>41</v>
      </c>
      <c r="G504" s="25" t="s">
        <v>611</v>
      </c>
      <c r="H504" s="25" t="s">
        <v>626</v>
      </c>
      <c r="I504" s="25" t="s">
        <v>617</v>
      </c>
      <c r="J504" s="25" t="s">
        <v>615</v>
      </c>
      <c r="K504" s="25">
        <v>17</v>
      </c>
      <c r="L504" s="25">
        <v>3500</v>
      </c>
      <c r="M504" s="25">
        <v>59500</v>
      </c>
      <c r="N504" s="25">
        <v>47600</v>
      </c>
      <c r="O504" s="25">
        <v>11900</v>
      </c>
      <c r="P504" s="32">
        <v>0.2</v>
      </c>
    </row>
    <row r="505" spans="1:16" x14ac:dyDescent="0.25">
      <c r="A505" s="28" t="s">
        <v>558</v>
      </c>
      <c r="B505" s="24">
        <v>45755</v>
      </c>
      <c r="C505" s="24" t="s">
        <v>62</v>
      </c>
      <c r="D505" s="23">
        <v>2025</v>
      </c>
      <c r="E505" s="23" t="s">
        <v>599</v>
      </c>
      <c r="F505" s="23" t="s">
        <v>39</v>
      </c>
      <c r="G505" s="23" t="s">
        <v>612</v>
      </c>
      <c r="H505" s="23" t="s">
        <v>620</v>
      </c>
      <c r="I505" s="23" t="s">
        <v>614</v>
      </c>
      <c r="J505" s="23" t="s">
        <v>618</v>
      </c>
      <c r="K505" s="23">
        <v>4</v>
      </c>
      <c r="L505" s="23">
        <v>4000</v>
      </c>
      <c r="M505" s="23">
        <v>16000</v>
      </c>
      <c r="N505" s="23">
        <v>13120</v>
      </c>
      <c r="O505" s="23">
        <v>2880</v>
      </c>
      <c r="P505" s="31">
        <v>0.18</v>
      </c>
    </row>
    <row r="506" spans="1:16" x14ac:dyDescent="0.25">
      <c r="A506" s="29" t="s">
        <v>559</v>
      </c>
      <c r="B506" s="26">
        <v>45762</v>
      </c>
      <c r="C506" s="26" t="s">
        <v>62</v>
      </c>
      <c r="D506" s="25">
        <v>2025</v>
      </c>
      <c r="E506" s="25" t="s">
        <v>598</v>
      </c>
      <c r="F506" s="25" t="s">
        <v>40</v>
      </c>
      <c r="G506" s="25" t="s">
        <v>610</v>
      </c>
      <c r="H506" s="25" t="s">
        <v>620</v>
      </c>
      <c r="I506" s="25" t="s">
        <v>630</v>
      </c>
      <c r="J506" s="25" t="s">
        <v>615</v>
      </c>
      <c r="K506" s="25">
        <v>5</v>
      </c>
      <c r="L506" s="25">
        <v>7000</v>
      </c>
      <c r="M506" s="25">
        <v>35000</v>
      </c>
      <c r="N506" s="25">
        <v>30800</v>
      </c>
      <c r="O506" s="25">
        <v>4200</v>
      </c>
      <c r="P506" s="32">
        <v>0.12</v>
      </c>
    </row>
    <row r="507" spans="1:16" x14ac:dyDescent="0.25">
      <c r="A507" s="28" t="s">
        <v>560</v>
      </c>
      <c r="B507" s="24">
        <v>46009</v>
      </c>
      <c r="C507" s="24" t="s">
        <v>80</v>
      </c>
      <c r="D507" s="23">
        <v>2025</v>
      </c>
      <c r="E507" s="23" t="s">
        <v>604</v>
      </c>
      <c r="F507" s="23" t="s">
        <v>41</v>
      </c>
      <c r="G507" s="23" t="s">
        <v>612</v>
      </c>
      <c r="H507" s="23" t="s">
        <v>626</v>
      </c>
      <c r="I507" s="23" t="s">
        <v>627</v>
      </c>
      <c r="J507" s="23" t="s">
        <v>618</v>
      </c>
      <c r="K507" s="23">
        <v>19</v>
      </c>
      <c r="L507" s="23">
        <v>3500</v>
      </c>
      <c r="M507" s="23">
        <v>66500</v>
      </c>
      <c r="N507" s="23">
        <v>53865</v>
      </c>
      <c r="O507" s="23">
        <v>12635</v>
      </c>
      <c r="P507" s="31">
        <v>0.19</v>
      </c>
    </row>
    <row r="508" spans="1:16" x14ac:dyDescent="0.25">
      <c r="A508" s="29" t="s">
        <v>561</v>
      </c>
      <c r="B508" s="26">
        <v>45889</v>
      </c>
      <c r="C508" s="26" t="s">
        <v>50</v>
      </c>
      <c r="D508" s="25">
        <v>2025</v>
      </c>
      <c r="E508" s="25" t="s">
        <v>597</v>
      </c>
      <c r="F508" s="25" t="s">
        <v>41</v>
      </c>
      <c r="G508" s="25" t="s">
        <v>608</v>
      </c>
      <c r="H508" s="25" t="s">
        <v>613</v>
      </c>
      <c r="I508" s="25" t="s">
        <v>619</v>
      </c>
      <c r="J508" s="25" t="s">
        <v>615</v>
      </c>
      <c r="K508" s="25">
        <v>12</v>
      </c>
      <c r="L508" s="25">
        <v>50</v>
      </c>
      <c r="M508" s="25">
        <v>600</v>
      </c>
      <c r="N508" s="25">
        <v>414</v>
      </c>
      <c r="O508" s="25">
        <v>186</v>
      </c>
      <c r="P508" s="32">
        <v>0.31</v>
      </c>
    </row>
    <row r="509" spans="1:16" x14ac:dyDescent="0.25">
      <c r="A509" s="28" t="s">
        <v>562</v>
      </c>
      <c r="B509" s="24">
        <v>45733</v>
      </c>
      <c r="C509" s="24" t="s">
        <v>46</v>
      </c>
      <c r="D509" s="23">
        <v>2025</v>
      </c>
      <c r="E509" s="23" t="s">
        <v>606</v>
      </c>
      <c r="F509" s="23" t="s">
        <v>40</v>
      </c>
      <c r="G509" s="23" t="s">
        <v>612</v>
      </c>
      <c r="H509" s="23" t="s">
        <v>625</v>
      </c>
      <c r="I509" s="23" t="s">
        <v>627</v>
      </c>
      <c r="J509" s="23" t="s">
        <v>615</v>
      </c>
      <c r="K509" s="23">
        <v>1</v>
      </c>
      <c r="L509" s="23">
        <v>4000</v>
      </c>
      <c r="M509" s="23">
        <v>4000</v>
      </c>
      <c r="N509" s="23">
        <v>3440</v>
      </c>
      <c r="O509" s="23">
        <v>560</v>
      </c>
      <c r="P509" s="31">
        <v>0.14000000000000001</v>
      </c>
    </row>
    <row r="510" spans="1:16" x14ac:dyDescent="0.25">
      <c r="A510" s="29" t="s">
        <v>563</v>
      </c>
      <c r="B510" s="26">
        <v>45762</v>
      </c>
      <c r="C510" s="26" t="s">
        <v>62</v>
      </c>
      <c r="D510" s="25">
        <v>2025</v>
      </c>
      <c r="E510" s="25" t="s">
        <v>594</v>
      </c>
      <c r="F510" s="25" t="s">
        <v>39</v>
      </c>
      <c r="G510" s="25" t="s">
        <v>610</v>
      </c>
      <c r="H510" s="25" t="s">
        <v>628</v>
      </c>
      <c r="I510" s="25" t="s">
        <v>617</v>
      </c>
      <c r="J510" s="25" t="s">
        <v>618</v>
      </c>
      <c r="K510" s="25">
        <v>8</v>
      </c>
      <c r="L510" s="25">
        <v>8000</v>
      </c>
      <c r="M510" s="25">
        <v>64000</v>
      </c>
      <c r="N510" s="25">
        <v>40960</v>
      </c>
      <c r="O510" s="25">
        <v>23040</v>
      </c>
      <c r="P510" s="32">
        <v>0.36</v>
      </c>
    </row>
    <row r="511" spans="1:16" x14ac:dyDescent="0.25">
      <c r="A511" s="28" t="s">
        <v>564</v>
      </c>
      <c r="B511" s="24">
        <v>45931</v>
      </c>
      <c r="C511" s="24" t="s">
        <v>65</v>
      </c>
      <c r="D511" s="23">
        <v>2025</v>
      </c>
      <c r="E511" s="23" t="s">
        <v>601</v>
      </c>
      <c r="F511" s="23" t="s">
        <v>41</v>
      </c>
      <c r="G511" s="23" t="s">
        <v>609</v>
      </c>
      <c r="H511" s="23" t="s">
        <v>622</v>
      </c>
      <c r="I511" s="23" t="s">
        <v>623</v>
      </c>
      <c r="J511" s="23" t="s">
        <v>618</v>
      </c>
      <c r="K511" s="23">
        <v>17</v>
      </c>
      <c r="L511" s="23">
        <v>7000</v>
      </c>
      <c r="M511" s="23">
        <v>119000</v>
      </c>
      <c r="N511" s="23">
        <v>82110</v>
      </c>
      <c r="O511" s="23">
        <v>36890</v>
      </c>
      <c r="P511" s="31">
        <v>0.31</v>
      </c>
    </row>
    <row r="512" spans="1:16" x14ac:dyDescent="0.25">
      <c r="A512" s="29" t="s">
        <v>565</v>
      </c>
      <c r="B512" s="26">
        <v>45996</v>
      </c>
      <c r="C512" s="26" t="s">
        <v>80</v>
      </c>
      <c r="D512" s="25">
        <v>2025</v>
      </c>
      <c r="E512" s="25" t="s">
        <v>594</v>
      </c>
      <c r="F512" s="25" t="s">
        <v>39</v>
      </c>
      <c r="G512" s="25" t="s">
        <v>610</v>
      </c>
      <c r="H512" s="25" t="s">
        <v>622</v>
      </c>
      <c r="I512" s="25" t="s">
        <v>630</v>
      </c>
      <c r="J512" s="25" t="s">
        <v>615</v>
      </c>
      <c r="K512" s="25">
        <v>3</v>
      </c>
      <c r="L512" s="25">
        <v>9000</v>
      </c>
      <c r="M512" s="25">
        <v>27000</v>
      </c>
      <c r="N512" s="25">
        <v>21870</v>
      </c>
      <c r="O512" s="25">
        <v>5130</v>
      </c>
      <c r="P512" s="32">
        <v>0.19</v>
      </c>
    </row>
    <row r="513" spans="1:16" x14ac:dyDescent="0.25">
      <c r="A513" s="28" t="s">
        <v>566</v>
      </c>
      <c r="B513" s="24">
        <v>45891</v>
      </c>
      <c r="C513" s="24" t="s">
        <v>50</v>
      </c>
      <c r="D513" s="23">
        <v>2025</v>
      </c>
      <c r="E513" s="23" t="s">
        <v>603</v>
      </c>
      <c r="F513" s="23" t="s">
        <v>42</v>
      </c>
      <c r="G513" s="23" t="s">
        <v>610</v>
      </c>
      <c r="H513" s="23" t="s">
        <v>626</v>
      </c>
      <c r="I513" s="23" t="s">
        <v>627</v>
      </c>
      <c r="J513" s="23" t="s">
        <v>615</v>
      </c>
      <c r="K513" s="23">
        <v>7</v>
      </c>
      <c r="L513" s="23">
        <v>25000</v>
      </c>
      <c r="M513" s="23">
        <v>175000</v>
      </c>
      <c r="N513" s="23">
        <v>143500</v>
      </c>
      <c r="O513" s="23">
        <v>31500</v>
      </c>
      <c r="P513" s="31">
        <v>0.18</v>
      </c>
    </row>
    <row r="514" spans="1:16" x14ac:dyDescent="0.25">
      <c r="A514" s="29" t="s">
        <v>567</v>
      </c>
      <c r="B514" s="26">
        <v>45947</v>
      </c>
      <c r="C514" s="26" t="s">
        <v>65</v>
      </c>
      <c r="D514" s="25">
        <v>2025</v>
      </c>
      <c r="E514" s="25" t="s">
        <v>603</v>
      </c>
      <c r="F514" s="25" t="s">
        <v>42</v>
      </c>
      <c r="G514" s="25" t="s">
        <v>611</v>
      </c>
      <c r="H514" s="25" t="s">
        <v>613</v>
      </c>
      <c r="I514" s="25" t="s">
        <v>614</v>
      </c>
      <c r="J514" s="25" t="s">
        <v>615</v>
      </c>
      <c r="K514" s="25">
        <v>2</v>
      </c>
      <c r="L514" s="25">
        <v>9000</v>
      </c>
      <c r="M514" s="25">
        <v>18000</v>
      </c>
      <c r="N514" s="25">
        <v>14400</v>
      </c>
      <c r="O514" s="25">
        <v>3600</v>
      </c>
      <c r="P514" s="32">
        <v>0.2</v>
      </c>
    </row>
    <row r="515" spans="1:16" x14ac:dyDescent="0.25">
      <c r="A515" s="28" t="s">
        <v>568</v>
      </c>
      <c r="B515" s="24">
        <v>45755</v>
      </c>
      <c r="C515" s="24" t="s">
        <v>62</v>
      </c>
      <c r="D515" s="23">
        <v>2025</v>
      </c>
      <c r="E515" s="23" t="s">
        <v>599</v>
      </c>
      <c r="F515" s="23" t="s">
        <v>39</v>
      </c>
      <c r="G515" s="23" t="s">
        <v>611</v>
      </c>
      <c r="H515" s="23" t="s">
        <v>626</v>
      </c>
      <c r="I515" s="23" t="s">
        <v>630</v>
      </c>
      <c r="J515" s="23" t="s">
        <v>615</v>
      </c>
      <c r="K515" s="23">
        <v>7</v>
      </c>
      <c r="L515" s="23">
        <v>300</v>
      </c>
      <c r="M515" s="23">
        <v>2100</v>
      </c>
      <c r="N515" s="23">
        <v>1743</v>
      </c>
      <c r="O515" s="23">
        <v>357</v>
      </c>
      <c r="P515" s="31">
        <v>0.17</v>
      </c>
    </row>
    <row r="516" spans="1:16" x14ac:dyDescent="0.25">
      <c r="A516" s="29" t="s">
        <v>569</v>
      </c>
      <c r="B516" s="26">
        <v>45760</v>
      </c>
      <c r="C516" s="26" t="s">
        <v>62</v>
      </c>
      <c r="D516" s="25">
        <v>2025</v>
      </c>
      <c r="E516" s="25" t="s">
        <v>602</v>
      </c>
      <c r="F516" s="25" t="s">
        <v>42</v>
      </c>
      <c r="G516" s="25" t="s">
        <v>610</v>
      </c>
      <c r="H516" s="25" t="s">
        <v>616</v>
      </c>
      <c r="I516" s="25" t="s">
        <v>631</v>
      </c>
      <c r="J516" s="25" t="s">
        <v>615</v>
      </c>
      <c r="K516" s="25">
        <v>4</v>
      </c>
      <c r="L516" s="25">
        <v>150</v>
      </c>
      <c r="M516" s="25">
        <v>600</v>
      </c>
      <c r="N516" s="25">
        <v>402</v>
      </c>
      <c r="O516" s="25">
        <v>198</v>
      </c>
      <c r="P516" s="32">
        <v>0.33</v>
      </c>
    </row>
    <row r="517" spans="1:16" x14ac:dyDescent="0.25">
      <c r="A517" s="28" t="s">
        <v>570</v>
      </c>
      <c r="B517" s="24">
        <v>45822</v>
      </c>
      <c r="C517" s="24" t="s">
        <v>44</v>
      </c>
      <c r="D517" s="23">
        <v>2025</v>
      </c>
      <c r="E517" s="23" t="s">
        <v>594</v>
      </c>
      <c r="F517" s="23" t="s">
        <v>39</v>
      </c>
      <c r="G517" s="23" t="s">
        <v>608</v>
      </c>
      <c r="H517" s="23" t="s">
        <v>625</v>
      </c>
      <c r="I517" s="23" t="s">
        <v>619</v>
      </c>
      <c r="J517" s="23" t="s">
        <v>618</v>
      </c>
      <c r="K517" s="23">
        <v>17</v>
      </c>
      <c r="L517" s="23">
        <v>20</v>
      </c>
      <c r="M517" s="23">
        <v>340</v>
      </c>
      <c r="N517" s="23">
        <v>204</v>
      </c>
      <c r="O517" s="23">
        <v>136</v>
      </c>
      <c r="P517" s="31">
        <v>0.4</v>
      </c>
    </row>
    <row r="518" spans="1:16" x14ac:dyDescent="0.25">
      <c r="A518" s="29" t="s">
        <v>571</v>
      </c>
      <c r="B518" s="26">
        <v>45952</v>
      </c>
      <c r="C518" s="26" t="s">
        <v>65</v>
      </c>
      <c r="D518" s="25">
        <v>2025</v>
      </c>
      <c r="E518" s="25" t="s">
        <v>596</v>
      </c>
      <c r="F518" s="25" t="s">
        <v>39</v>
      </c>
      <c r="G518" s="25" t="s">
        <v>611</v>
      </c>
      <c r="H518" s="25" t="s">
        <v>629</v>
      </c>
      <c r="I518" s="25" t="s">
        <v>627</v>
      </c>
      <c r="J518" s="25" t="s">
        <v>618</v>
      </c>
      <c r="K518" s="25">
        <v>19</v>
      </c>
      <c r="L518" s="25">
        <v>1200</v>
      </c>
      <c r="M518" s="25">
        <v>22800</v>
      </c>
      <c r="N518" s="25">
        <v>20520</v>
      </c>
      <c r="O518" s="25">
        <v>2280</v>
      </c>
      <c r="P518" s="32">
        <v>0.1</v>
      </c>
    </row>
    <row r="519" spans="1:16" x14ac:dyDescent="0.25">
      <c r="A519" s="28" t="s">
        <v>572</v>
      </c>
      <c r="B519" s="24">
        <v>45840</v>
      </c>
      <c r="C519" s="24" t="s">
        <v>83</v>
      </c>
      <c r="D519" s="23">
        <v>2025</v>
      </c>
      <c r="E519" s="23" t="s">
        <v>605</v>
      </c>
      <c r="F519" s="23" t="s">
        <v>40</v>
      </c>
      <c r="G519" s="23" t="s">
        <v>609</v>
      </c>
      <c r="H519" s="23" t="s">
        <v>616</v>
      </c>
      <c r="I519" s="23" t="s">
        <v>617</v>
      </c>
      <c r="J519" s="23" t="s">
        <v>618</v>
      </c>
      <c r="K519" s="23">
        <v>17</v>
      </c>
      <c r="L519" s="23">
        <v>50</v>
      </c>
      <c r="M519" s="23">
        <v>850</v>
      </c>
      <c r="N519" s="23">
        <v>680</v>
      </c>
      <c r="O519" s="23">
        <v>170</v>
      </c>
      <c r="P519" s="31">
        <v>0.2</v>
      </c>
    </row>
    <row r="520" spans="1:16" x14ac:dyDescent="0.25">
      <c r="A520" s="29" t="s">
        <v>573</v>
      </c>
      <c r="B520" s="26">
        <v>45773</v>
      </c>
      <c r="C520" s="26" t="s">
        <v>62</v>
      </c>
      <c r="D520" s="25">
        <v>2025</v>
      </c>
      <c r="E520" s="25" t="s">
        <v>600</v>
      </c>
      <c r="F520" s="25" t="s">
        <v>39</v>
      </c>
      <c r="G520" s="25" t="s">
        <v>612</v>
      </c>
      <c r="H520" s="25" t="s">
        <v>616</v>
      </c>
      <c r="I520" s="25" t="s">
        <v>631</v>
      </c>
      <c r="J520" s="25" t="s">
        <v>618</v>
      </c>
      <c r="K520" s="25">
        <v>1</v>
      </c>
      <c r="L520" s="25">
        <v>25000</v>
      </c>
      <c r="M520" s="25">
        <v>25000</v>
      </c>
      <c r="N520" s="25">
        <v>19000</v>
      </c>
      <c r="O520" s="25">
        <v>6000</v>
      </c>
      <c r="P520" s="32">
        <v>0.24</v>
      </c>
    </row>
    <row r="521" spans="1:16" x14ac:dyDescent="0.25">
      <c r="A521" s="28" t="s">
        <v>574</v>
      </c>
      <c r="B521" s="24">
        <v>45724</v>
      </c>
      <c r="C521" s="24" t="s">
        <v>46</v>
      </c>
      <c r="D521" s="23">
        <v>2025</v>
      </c>
      <c r="E521" s="23" t="s">
        <v>595</v>
      </c>
      <c r="F521" s="23" t="s">
        <v>39</v>
      </c>
      <c r="G521" s="23" t="s">
        <v>612</v>
      </c>
      <c r="H521" s="23" t="s">
        <v>628</v>
      </c>
      <c r="I521" s="23" t="s">
        <v>631</v>
      </c>
      <c r="J521" s="23" t="s">
        <v>615</v>
      </c>
      <c r="K521" s="23">
        <v>19</v>
      </c>
      <c r="L521" s="23">
        <v>20</v>
      </c>
      <c r="M521" s="23">
        <v>380</v>
      </c>
      <c r="N521" s="23">
        <v>334.4</v>
      </c>
      <c r="O521" s="23">
        <v>45.600000000000023</v>
      </c>
      <c r="P521" s="31">
        <v>0.12000000000000006</v>
      </c>
    </row>
    <row r="522" spans="1:16" x14ac:dyDescent="0.25">
      <c r="A522" s="29" t="s">
        <v>575</v>
      </c>
      <c r="B522" s="26">
        <v>45936</v>
      </c>
      <c r="C522" s="26" t="s">
        <v>65</v>
      </c>
      <c r="D522" s="25">
        <v>2025</v>
      </c>
      <c r="E522" s="25" t="s">
        <v>606</v>
      </c>
      <c r="F522" s="25" t="s">
        <v>40</v>
      </c>
      <c r="G522" s="25" t="s">
        <v>608</v>
      </c>
      <c r="H522" s="25" t="s">
        <v>629</v>
      </c>
      <c r="I522" s="25" t="s">
        <v>619</v>
      </c>
      <c r="J522" s="25" t="s">
        <v>615</v>
      </c>
      <c r="K522" s="25">
        <v>11</v>
      </c>
      <c r="L522" s="25">
        <v>50</v>
      </c>
      <c r="M522" s="25">
        <v>550</v>
      </c>
      <c r="N522" s="25">
        <v>357.5</v>
      </c>
      <c r="O522" s="25">
        <v>192.5</v>
      </c>
      <c r="P522" s="32">
        <v>0.35</v>
      </c>
    </row>
    <row r="523" spans="1:16" x14ac:dyDescent="0.25">
      <c r="A523" s="28" t="s">
        <v>576</v>
      </c>
      <c r="B523" s="24">
        <v>45849</v>
      </c>
      <c r="C523" s="24" t="s">
        <v>83</v>
      </c>
      <c r="D523" s="23">
        <v>2025</v>
      </c>
      <c r="E523" s="23" t="s">
        <v>592</v>
      </c>
      <c r="F523" s="23" t="s">
        <v>40</v>
      </c>
      <c r="G523" s="23" t="s">
        <v>611</v>
      </c>
      <c r="H523" s="23" t="s">
        <v>621</v>
      </c>
      <c r="I523" s="23" t="s">
        <v>630</v>
      </c>
      <c r="J523" s="23" t="s">
        <v>618</v>
      </c>
      <c r="K523" s="23">
        <v>8</v>
      </c>
      <c r="L523" s="23">
        <v>4000</v>
      </c>
      <c r="M523" s="23">
        <v>32000</v>
      </c>
      <c r="N523" s="23">
        <v>24960</v>
      </c>
      <c r="O523" s="23">
        <v>7040</v>
      </c>
      <c r="P523" s="31">
        <v>0.22</v>
      </c>
    </row>
    <row r="524" spans="1:16" x14ac:dyDescent="0.25">
      <c r="A524" s="29" t="s">
        <v>577</v>
      </c>
      <c r="B524" s="26">
        <v>45865</v>
      </c>
      <c r="C524" s="26" t="s">
        <v>83</v>
      </c>
      <c r="D524" s="25">
        <v>2025</v>
      </c>
      <c r="E524" s="25" t="s">
        <v>599</v>
      </c>
      <c r="F524" s="25" t="s">
        <v>39</v>
      </c>
      <c r="G524" s="25" t="s">
        <v>612</v>
      </c>
      <c r="H524" s="25" t="s">
        <v>629</v>
      </c>
      <c r="I524" s="25" t="s">
        <v>614</v>
      </c>
      <c r="J524" s="25" t="s">
        <v>615</v>
      </c>
      <c r="K524" s="25">
        <v>5</v>
      </c>
      <c r="L524" s="25">
        <v>12000</v>
      </c>
      <c r="M524" s="25">
        <v>60000</v>
      </c>
      <c r="N524" s="25">
        <v>53400</v>
      </c>
      <c r="O524" s="25">
        <v>6600</v>
      </c>
      <c r="P524" s="32">
        <v>0.11</v>
      </c>
    </row>
    <row r="525" spans="1:16" x14ac:dyDescent="0.25">
      <c r="A525" s="28" t="s">
        <v>578</v>
      </c>
      <c r="B525" s="24">
        <v>46014</v>
      </c>
      <c r="C525" s="24" t="s">
        <v>80</v>
      </c>
      <c r="D525" s="23">
        <v>2025</v>
      </c>
      <c r="E525" s="23" t="s">
        <v>594</v>
      </c>
      <c r="F525" s="23" t="s">
        <v>39</v>
      </c>
      <c r="G525" s="23" t="s">
        <v>608</v>
      </c>
      <c r="H525" s="23" t="s">
        <v>624</v>
      </c>
      <c r="I525" s="23" t="s">
        <v>614</v>
      </c>
      <c r="J525" s="23" t="s">
        <v>618</v>
      </c>
      <c r="K525" s="23">
        <v>11</v>
      </c>
      <c r="L525" s="23">
        <v>15000</v>
      </c>
      <c r="M525" s="23">
        <v>165000</v>
      </c>
      <c r="N525" s="23">
        <v>120450</v>
      </c>
      <c r="O525" s="23">
        <v>44550</v>
      </c>
      <c r="P525" s="31">
        <v>0.27</v>
      </c>
    </row>
    <row r="526" spans="1:16" x14ac:dyDescent="0.25">
      <c r="A526" s="29" t="s">
        <v>579</v>
      </c>
      <c r="B526" s="26">
        <v>45759</v>
      </c>
      <c r="C526" s="26" t="s">
        <v>62</v>
      </c>
      <c r="D526" s="25">
        <v>2025</v>
      </c>
      <c r="E526" s="25" t="s">
        <v>601</v>
      </c>
      <c r="F526" s="25" t="s">
        <v>41</v>
      </c>
      <c r="G526" s="25" t="s">
        <v>610</v>
      </c>
      <c r="H526" s="25" t="s">
        <v>616</v>
      </c>
      <c r="I526" s="25" t="s">
        <v>631</v>
      </c>
      <c r="J526" s="25" t="s">
        <v>618</v>
      </c>
      <c r="K526" s="25">
        <v>12</v>
      </c>
      <c r="L526" s="25">
        <v>7000</v>
      </c>
      <c r="M526" s="25">
        <v>84000</v>
      </c>
      <c r="N526" s="25">
        <v>70560</v>
      </c>
      <c r="O526" s="25">
        <v>13440</v>
      </c>
      <c r="P526" s="32">
        <v>0.16</v>
      </c>
    </row>
    <row r="527" spans="1:16" x14ac:dyDescent="0.25">
      <c r="A527" s="28" t="s">
        <v>580</v>
      </c>
      <c r="B527" s="24">
        <v>45942</v>
      </c>
      <c r="C527" s="24" t="s">
        <v>65</v>
      </c>
      <c r="D527" s="23">
        <v>2025</v>
      </c>
      <c r="E527" s="23" t="s">
        <v>592</v>
      </c>
      <c r="F527" s="23" t="s">
        <v>40</v>
      </c>
      <c r="G527" s="23" t="s">
        <v>612</v>
      </c>
      <c r="H527" s="23" t="s">
        <v>628</v>
      </c>
      <c r="I527" s="23" t="s">
        <v>627</v>
      </c>
      <c r="J527" s="23" t="s">
        <v>615</v>
      </c>
      <c r="K527" s="23">
        <v>1</v>
      </c>
      <c r="L527" s="23">
        <v>15000</v>
      </c>
      <c r="M527" s="23">
        <v>15000</v>
      </c>
      <c r="N527" s="23">
        <v>12600</v>
      </c>
      <c r="O527" s="23">
        <v>2400</v>
      </c>
      <c r="P527" s="31">
        <v>0.16</v>
      </c>
    </row>
    <row r="528" spans="1:16" x14ac:dyDescent="0.25">
      <c r="A528" s="29" t="s">
        <v>581</v>
      </c>
      <c r="B528" s="26">
        <v>45708</v>
      </c>
      <c r="C528" s="26" t="s">
        <v>55</v>
      </c>
      <c r="D528" s="25">
        <v>2025</v>
      </c>
      <c r="E528" s="25" t="s">
        <v>605</v>
      </c>
      <c r="F528" s="25" t="s">
        <v>40</v>
      </c>
      <c r="G528" s="25" t="s">
        <v>611</v>
      </c>
      <c r="H528" s="25" t="s">
        <v>620</v>
      </c>
      <c r="I528" s="25" t="s">
        <v>631</v>
      </c>
      <c r="J528" s="25" t="s">
        <v>618</v>
      </c>
      <c r="K528" s="25">
        <v>18</v>
      </c>
      <c r="L528" s="25">
        <v>300</v>
      </c>
      <c r="M528" s="25">
        <v>5400</v>
      </c>
      <c r="N528" s="25">
        <v>4428</v>
      </c>
      <c r="O528" s="25">
        <v>972</v>
      </c>
      <c r="P528" s="32">
        <v>0.18</v>
      </c>
    </row>
    <row r="529" spans="1:16" x14ac:dyDescent="0.25">
      <c r="A529" s="28" t="s">
        <v>582</v>
      </c>
      <c r="B529" s="24">
        <v>45872</v>
      </c>
      <c r="C529" s="24" t="s">
        <v>50</v>
      </c>
      <c r="D529" s="23">
        <v>2025</v>
      </c>
      <c r="E529" s="23" t="s">
        <v>599</v>
      </c>
      <c r="F529" s="23" t="s">
        <v>39</v>
      </c>
      <c r="G529" s="23" t="s">
        <v>608</v>
      </c>
      <c r="H529" s="23" t="s">
        <v>626</v>
      </c>
      <c r="I529" s="25" t="s">
        <v>645</v>
      </c>
      <c r="J529" s="23" t="s">
        <v>615</v>
      </c>
      <c r="K529" s="23">
        <v>6</v>
      </c>
      <c r="L529" s="23">
        <v>1200</v>
      </c>
      <c r="M529" s="23">
        <v>7200</v>
      </c>
      <c r="N529" s="23">
        <v>4680</v>
      </c>
      <c r="O529" s="23">
        <v>2520</v>
      </c>
      <c r="P529" s="31">
        <v>0.35</v>
      </c>
    </row>
    <row r="530" spans="1:16" x14ac:dyDescent="0.25">
      <c r="A530" s="29" t="s">
        <v>583</v>
      </c>
      <c r="B530" s="26">
        <v>45705</v>
      </c>
      <c r="C530" s="26" t="s">
        <v>55</v>
      </c>
      <c r="D530" s="25">
        <v>2025</v>
      </c>
      <c r="E530" s="25" t="s">
        <v>607</v>
      </c>
      <c r="F530" s="25" t="s">
        <v>42</v>
      </c>
      <c r="G530" s="25" t="s">
        <v>608</v>
      </c>
      <c r="H530" s="25" t="s">
        <v>613</v>
      </c>
      <c r="I530" s="25" t="s">
        <v>630</v>
      </c>
      <c r="J530" s="25" t="s">
        <v>615</v>
      </c>
      <c r="K530" s="25">
        <v>2</v>
      </c>
      <c r="L530" s="25">
        <v>45000</v>
      </c>
      <c r="M530" s="25">
        <v>90000</v>
      </c>
      <c r="N530" s="25">
        <v>56700</v>
      </c>
      <c r="O530" s="25">
        <v>33300</v>
      </c>
      <c r="P530" s="32">
        <v>0.37</v>
      </c>
    </row>
    <row r="531" spans="1:16" x14ac:dyDescent="0.25">
      <c r="A531" s="28" t="s">
        <v>584</v>
      </c>
      <c r="B531" s="24">
        <v>45662</v>
      </c>
      <c r="C531" s="24" t="s">
        <v>59</v>
      </c>
      <c r="D531" s="23">
        <v>2025</v>
      </c>
      <c r="E531" s="23" t="s">
        <v>594</v>
      </c>
      <c r="F531" s="23" t="s">
        <v>39</v>
      </c>
      <c r="G531" s="23" t="s">
        <v>612</v>
      </c>
      <c r="H531" s="23" t="s">
        <v>629</v>
      </c>
      <c r="I531" s="23" t="s">
        <v>630</v>
      </c>
      <c r="J531" s="23" t="s">
        <v>615</v>
      </c>
      <c r="K531" s="23">
        <v>4</v>
      </c>
      <c r="L531" s="23">
        <v>20</v>
      </c>
      <c r="M531" s="23">
        <v>80</v>
      </c>
      <c r="N531" s="23">
        <v>62.4</v>
      </c>
      <c r="O531" s="23">
        <v>17.600000000000001</v>
      </c>
      <c r="P531" s="31">
        <v>0.22000000000000003</v>
      </c>
    </row>
    <row r="532" spans="1:16" x14ac:dyDescent="0.25">
      <c r="A532" s="29" t="s">
        <v>585</v>
      </c>
      <c r="B532" s="26">
        <v>45917</v>
      </c>
      <c r="C532" s="26" t="s">
        <v>53</v>
      </c>
      <c r="D532" s="25">
        <v>2025</v>
      </c>
      <c r="E532" s="25" t="s">
        <v>607</v>
      </c>
      <c r="F532" s="25" t="s">
        <v>42</v>
      </c>
      <c r="G532" s="25" t="s">
        <v>610</v>
      </c>
      <c r="H532" s="25" t="s">
        <v>628</v>
      </c>
      <c r="I532" s="25" t="s">
        <v>617</v>
      </c>
      <c r="J532" s="25" t="s">
        <v>615</v>
      </c>
      <c r="K532" s="25">
        <v>5</v>
      </c>
      <c r="L532" s="25">
        <v>12000</v>
      </c>
      <c r="M532" s="25">
        <v>60000</v>
      </c>
      <c r="N532" s="25">
        <v>44400</v>
      </c>
      <c r="O532" s="25">
        <v>15600</v>
      </c>
      <c r="P532" s="32">
        <v>0.26</v>
      </c>
    </row>
    <row r="533" spans="1:16" x14ac:dyDescent="0.25">
      <c r="A533" s="28" t="s">
        <v>586</v>
      </c>
      <c r="B533" s="24">
        <v>45744</v>
      </c>
      <c r="C533" s="24" t="s">
        <v>46</v>
      </c>
      <c r="D533" s="23">
        <v>2025</v>
      </c>
      <c r="E533" s="23" t="s">
        <v>604</v>
      </c>
      <c r="F533" s="23" t="s">
        <v>41</v>
      </c>
      <c r="G533" s="23" t="s">
        <v>611</v>
      </c>
      <c r="H533" s="23" t="s">
        <v>613</v>
      </c>
      <c r="I533" s="23" t="s">
        <v>619</v>
      </c>
      <c r="J533" s="23" t="s">
        <v>615</v>
      </c>
      <c r="K533" s="23">
        <v>17</v>
      </c>
      <c r="L533" s="23">
        <v>55000</v>
      </c>
      <c r="M533" s="23">
        <v>935000</v>
      </c>
      <c r="N533" s="23">
        <v>570350</v>
      </c>
      <c r="O533" s="23">
        <v>364650</v>
      </c>
      <c r="P533" s="31">
        <v>0.39</v>
      </c>
    </row>
    <row r="534" spans="1:16" x14ac:dyDescent="0.25">
      <c r="A534" s="29" t="s">
        <v>587</v>
      </c>
      <c r="B534" s="26">
        <v>45824</v>
      </c>
      <c r="C534" s="26" t="s">
        <v>44</v>
      </c>
      <c r="D534" s="25">
        <v>2025</v>
      </c>
      <c r="E534" s="25" t="s">
        <v>595</v>
      </c>
      <c r="F534" s="25" t="s">
        <v>39</v>
      </c>
      <c r="G534" s="25" t="s">
        <v>612</v>
      </c>
      <c r="H534" s="25" t="s">
        <v>628</v>
      </c>
      <c r="I534" s="25" t="s">
        <v>617</v>
      </c>
      <c r="J534" s="25" t="s">
        <v>618</v>
      </c>
      <c r="K534" s="25">
        <v>1</v>
      </c>
      <c r="L534" s="25">
        <v>15000</v>
      </c>
      <c r="M534" s="25">
        <v>15000</v>
      </c>
      <c r="N534" s="25">
        <v>13500</v>
      </c>
      <c r="O534" s="25">
        <v>1500</v>
      </c>
      <c r="P534" s="32">
        <v>0.1</v>
      </c>
    </row>
    <row r="535" spans="1:16" x14ac:dyDescent="0.25">
      <c r="A535" s="28" t="s">
        <v>588</v>
      </c>
      <c r="B535" s="24">
        <v>45812</v>
      </c>
      <c r="C535" s="24" t="s">
        <v>44</v>
      </c>
      <c r="D535" s="23">
        <v>2025</v>
      </c>
      <c r="E535" s="23" t="s">
        <v>593</v>
      </c>
      <c r="F535" s="23" t="s">
        <v>41</v>
      </c>
      <c r="G535" s="23" t="s">
        <v>611</v>
      </c>
      <c r="H535" s="23" t="s">
        <v>622</v>
      </c>
      <c r="I535" s="23" t="s">
        <v>631</v>
      </c>
      <c r="J535" s="23" t="s">
        <v>615</v>
      </c>
      <c r="K535" s="23">
        <v>9</v>
      </c>
      <c r="L535" s="23">
        <v>1200</v>
      </c>
      <c r="M535" s="23">
        <v>10800</v>
      </c>
      <c r="N535" s="23">
        <v>8964</v>
      </c>
      <c r="O535" s="23">
        <v>1836</v>
      </c>
      <c r="P535" s="31">
        <v>0.17</v>
      </c>
    </row>
    <row r="536" spans="1:16" x14ac:dyDescent="0.25">
      <c r="A536" s="29" t="s">
        <v>589</v>
      </c>
      <c r="B536" s="26">
        <v>45716</v>
      </c>
      <c r="C536" s="26" t="s">
        <v>55</v>
      </c>
      <c r="D536" s="25">
        <v>2025</v>
      </c>
      <c r="E536" s="25" t="s">
        <v>594</v>
      </c>
      <c r="F536" s="25" t="s">
        <v>39</v>
      </c>
      <c r="G536" s="25" t="s">
        <v>608</v>
      </c>
      <c r="H536" s="25" t="s">
        <v>624</v>
      </c>
      <c r="I536" s="25" t="s">
        <v>630</v>
      </c>
      <c r="J536" s="25" t="s">
        <v>618</v>
      </c>
      <c r="K536" s="25">
        <v>8</v>
      </c>
      <c r="L536" s="25">
        <v>300</v>
      </c>
      <c r="M536" s="25">
        <v>2400</v>
      </c>
      <c r="N536" s="25">
        <v>1728</v>
      </c>
      <c r="O536" s="25">
        <v>672</v>
      </c>
      <c r="P536" s="32">
        <v>0.28000000000000003</v>
      </c>
    </row>
    <row r="537" spans="1:16" x14ac:dyDescent="0.25">
      <c r="A537" s="28" t="s">
        <v>590</v>
      </c>
      <c r="B537" s="24">
        <v>45878</v>
      </c>
      <c r="C537" s="24" t="s">
        <v>50</v>
      </c>
      <c r="D537" s="23">
        <v>2025</v>
      </c>
      <c r="E537" s="23" t="s">
        <v>607</v>
      </c>
      <c r="F537" s="23" t="s">
        <v>42</v>
      </c>
      <c r="G537" s="23" t="s">
        <v>608</v>
      </c>
      <c r="H537" s="23" t="s">
        <v>625</v>
      </c>
      <c r="I537" s="23" t="s">
        <v>619</v>
      </c>
      <c r="J537" s="23" t="s">
        <v>615</v>
      </c>
      <c r="K537" s="23">
        <v>15</v>
      </c>
      <c r="L537" s="23">
        <v>50</v>
      </c>
      <c r="M537" s="23">
        <v>750</v>
      </c>
      <c r="N537" s="23">
        <v>667.5</v>
      </c>
      <c r="O537" s="23">
        <v>82.5</v>
      </c>
      <c r="P537" s="31">
        <v>0.11</v>
      </c>
    </row>
    <row r="538" spans="1:16" x14ac:dyDescent="0.25">
      <c r="A538" s="29" t="s">
        <v>591</v>
      </c>
      <c r="B538" s="26">
        <v>45720</v>
      </c>
      <c r="C538" s="26" t="s">
        <v>46</v>
      </c>
      <c r="D538" s="25">
        <v>2025</v>
      </c>
      <c r="E538" s="25" t="s">
        <v>599</v>
      </c>
      <c r="F538" s="25" t="s">
        <v>39</v>
      </c>
      <c r="G538" s="25" t="s">
        <v>609</v>
      </c>
      <c r="H538" s="25" t="s">
        <v>625</v>
      </c>
      <c r="I538" s="25" t="s">
        <v>627</v>
      </c>
      <c r="J538" s="25" t="s">
        <v>615</v>
      </c>
      <c r="K538" s="25">
        <v>14</v>
      </c>
      <c r="L538" s="25">
        <v>55000</v>
      </c>
      <c r="M538" s="25">
        <v>770000</v>
      </c>
      <c r="N538" s="25">
        <v>492800</v>
      </c>
      <c r="O538" s="25">
        <v>277200</v>
      </c>
      <c r="P538" s="32">
        <v>0.36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A441C-D115-4B79-83A2-6FCFAE566788}">
  <dimension ref="A1:P538"/>
  <sheetViews>
    <sheetView workbookViewId="0">
      <selection activeCell="A539" sqref="A539:XFD539"/>
    </sheetView>
  </sheetViews>
  <sheetFormatPr defaultRowHeight="15" x14ac:dyDescent="0.25"/>
  <cols>
    <col min="1" max="1" width="10.5703125" customWidth="1"/>
    <col min="2" max="2" width="10.42578125" bestFit="1" customWidth="1"/>
    <col min="3" max="3" width="9.140625" customWidth="1"/>
    <col min="4" max="4" width="7.140625" customWidth="1"/>
    <col min="5" max="5" width="15.7109375" customWidth="1"/>
    <col min="6" max="6" width="14.5703125" bestFit="1" customWidth="1"/>
    <col min="7" max="7" width="9.28515625" customWidth="1"/>
    <col min="8" max="8" width="12" bestFit="1" customWidth="1"/>
    <col min="9" max="9" width="13.85546875" customWidth="1"/>
    <col min="10" max="10" width="16.42578125" customWidth="1"/>
    <col min="11" max="11" width="10.85546875" customWidth="1"/>
    <col min="12" max="12" width="11.85546875" customWidth="1"/>
    <col min="13" max="13" width="15.28515625" customWidth="1"/>
    <col min="14" max="15" width="9" bestFit="1" customWidth="1"/>
    <col min="16" max="16" width="10.140625" style="11" customWidth="1"/>
  </cols>
  <sheetData>
    <row r="1" spans="1:16" ht="15.75" thickBot="1" x14ac:dyDescent="0.3">
      <c r="A1" s="18" t="s">
        <v>28</v>
      </c>
      <c r="B1" s="19" t="s">
        <v>16</v>
      </c>
      <c r="C1" s="19" t="s">
        <v>29</v>
      </c>
      <c r="D1" s="19" t="s">
        <v>30</v>
      </c>
      <c r="E1" s="19" t="s">
        <v>17</v>
      </c>
      <c r="F1" s="19" t="s">
        <v>31</v>
      </c>
      <c r="G1" s="19" t="s">
        <v>18</v>
      </c>
      <c r="H1" s="19" t="s">
        <v>32</v>
      </c>
      <c r="I1" s="19" t="s">
        <v>33</v>
      </c>
      <c r="J1" s="19" t="s">
        <v>34</v>
      </c>
      <c r="K1" s="19" t="s">
        <v>20</v>
      </c>
      <c r="L1" s="19" t="s">
        <v>35</v>
      </c>
      <c r="M1" s="19" t="s">
        <v>19</v>
      </c>
      <c r="N1" s="19" t="s">
        <v>36</v>
      </c>
      <c r="O1" s="19" t="s">
        <v>21</v>
      </c>
      <c r="P1" s="20" t="s">
        <v>37</v>
      </c>
    </row>
    <row r="2" spans="1:16" ht="15.75" thickBot="1" x14ac:dyDescent="0.3">
      <c r="A2" s="12" t="s">
        <v>43</v>
      </c>
      <c r="B2" s="6">
        <v>45393</v>
      </c>
      <c r="C2" s="6" t="s">
        <v>44</v>
      </c>
      <c r="D2" s="5">
        <v>2024</v>
      </c>
      <c r="E2" s="5" t="s">
        <v>592</v>
      </c>
      <c r="F2" s="5" t="s">
        <v>40</v>
      </c>
      <c r="G2" s="5" t="s">
        <v>608</v>
      </c>
      <c r="H2" s="5" t="s">
        <v>613</v>
      </c>
      <c r="I2" s="5" t="s">
        <v>614</v>
      </c>
      <c r="J2" s="5" t="s">
        <v>615</v>
      </c>
      <c r="K2" s="5">
        <v>10</v>
      </c>
      <c r="L2" s="5">
        <v>3500</v>
      </c>
      <c r="M2" s="5">
        <v>35000</v>
      </c>
      <c r="N2" s="5">
        <v>28700</v>
      </c>
      <c r="O2" s="5">
        <v>6300</v>
      </c>
      <c r="P2" s="15">
        <v>0.18</v>
      </c>
    </row>
    <row r="3" spans="1:16" ht="15.75" thickBot="1" x14ac:dyDescent="0.3">
      <c r="A3" s="13" t="s">
        <v>45</v>
      </c>
      <c r="B3" s="6">
        <v>45560</v>
      </c>
      <c r="C3" s="8" t="s">
        <v>46</v>
      </c>
      <c r="D3" s="5">
        <v>2024</v>
      </c>
      <c r="E3" s="7" t="s">
        <v>593</v>
      </c>
      <c r="F3" s="7" t="s">
        <v>41</v>
      </c>
      <c r="G3" s="7" t="s">
        <v>608</v>
      </c>
      <c r="H3" s="7" t="s">
        <v>616</v>
      </c>
      <c r="I3" s="7" t="s">
        <v>617</v>
      </c>
      <c r="J3" s="7" t="s">
        <v>618</v>
      </c>
      <c r="K3" s="7">
        <v>7</v>
      </c>
      <c r="L3" s="7">
        <v>15000</v>
      </c>
      <c r="M3" s="5">
        <v>105000</v>
      </c>
      <c r="N3" s="7">
        <v>88200</v>
      </c>
      <c r="O3" s="7">
        <v>16800</v>
      </c>
      <c r="P3" s="16">
        <v>0.16</v>
      </c>
    </row>
    <row r="4" spans="1:16" ht="15.75" thickBot="1" x14ac:dyDescent="0.3">
      <c r="A4" s="14" t="s">
        <v>47</v>
      </c>
      <c r="B4" s="6">
        <v>45520</v>
      </c>
      <c r="C4" s="10" t="s">
        <v>48</v>
      </c>
      <c r="D4" s="5">
        <v>2024</v>
      </c>
      <c r="E4" s="9" t="s">
        <v>594</v>
      </c>
      <c r="F4" s="9" t="s">
        <v>39</v>
      </c>
      <c r="G4" s="9" t="s">
        <v>609</v>
      </c>
      <c r="H4" s="9" t="s">
        <v>616</v>
      </c>
      <c r="I4" s="9" t="s">
        <v>619</v>
      </c>
      <c r="J4" s="9" t="s">
        <v>618</v>
      </c>
      <c r="K4" s="9">
        <v>4</v>
      </c>
      <c r="L4" s="9">
        <v>20</v>
      </c>
      <c r="M4" s="5">
        <v>80</v>
      </c>
      <c r="N4" s="9">
        <v>48.8</v>
      </c>
      <c r="O4" s="9">
        <v>31.200000000000003</v>
      </c>
      <c r="P4" s="17">
        <v>0.39</v>
      </c>
    </row>
    <row r="5" spans="1:16" ht="15.75" thickBot="1" x14ac:dyDescent="0.3">
      <c r="A5" s="13" t="s">
        <v>49</v>
      </c>
      <c r="B5" s="6">
        <v>45402</v>
      </c>
      <c r="C5" s="8" t="s">
        <v>50</v>
      </c>
      <c r="D5" s="5">
        <v>2024</v>
      </c>
      <c r="E5" s="7" t="s">
        <v>595</v>
      </c>
      <c r="F5" s="7" t="s">
        <v>39</v>
      </c>
      <c r="G5" s="7" t="s">
        <v>610</v>
      </c>
      <c r="H5" s="7" t="s">
        <v>620</v>
      </c>
      <c r="I5" s="7" t="s">
        <v>619</v>
      </c>
      <c r="J5" s="7" t="s">
        <v>615</v>
      </c>
      <c r="K5" s="7">
        <v>9</v>
      </c>
      <c r="L5" s="7">
        <v>700</v>
      </c>
      <c r="M5" s="5">
        <v>6300</v>
      </c>
      <c r="N5" s="7">
        <v>4347</v>
      </c>
      <c r="O5" s="7">
        <v>1953</v>
      </c>
      <c r="P5" s="16">
        <v>0.31</v>
      </c>
    </row>
    <row r="6" spans="1:16" ht="15.75" thickBot="1" x14ac:dyDescent="0.3">
      <c r="A6" s="14" t="s">
        <v>51</v>
      </c>
      <c r="B6" s="6">
        <v>45356</v>
      </c>
      <c r="C6" s="10" t="s">
        <v>46</v>
      </c>
      <c r="D6" s="5">
        <v>2024</v>
      </c>
      <c r="E6" s="9" t="s">
        <v>596</v>
      </c>
      <c r="F6" s="9" t="s">
        <v>39</v>
      </c>
      <c r="G6" s="9" t="s">
        <v>608</v>
      </c>
      <c r="H6" s="9" t="s">
        <v>613</v>
      </c>
      <c r="I6" s="9" t="s">
        <v>645</v>
      </c>
      <c r="J6" s="9" t="s">
        <v>615</v>
      </c>
      <c r="K6" s="9">
        <v>9</v>
      </c>
      <c r="L6" s="9">
        <v>1200</v>
      </c>
      <c r="M6" s="5">
        <v>10800</v>
      </c>
      <c r="N6" s="9">
        <v>6480</v>
      </c>
      <c r="O6" s="9">
        <v>4320</v>
      </c>
      <c r="P6" s="17">
        <v>0.4</v>
      </c>
    </row>
    <row r="7" spans="1:16" ht="15.75" thickBot="1" x14ac:dyDescent="0.3">
      <c r="A7" s="13" t="s">
        <v>52</v>
      </c>
      <c r="B7" s="6">
        <v>45422</v>
      </c>
      <c r="C7" s="8" t="s">
        <v>53</v>
      </c>
      <c r="D7" s="5">
        <v>2024</v>
      </c>
      <c r="E7" s="7" t="s">
        <v>592</v>
      </c>
      <c r="F7" s="7" t="s">
        <v>40</v>
      </c>
      <c r="G7" s="7" t="s">
        <v>608</v>
      </c>
      <c r="H7" s="7" t="s">
        <v>621</v>
      </c>
      <c r="I7" s="7" t="s">
        <v>619</v>
      </c>
      <c r="J7" s="7" t="s">
        <v>615</v>
      </c>
      <c r="K7" s="7">
        <v>11</v>
      </c>
      <c r="L7" s="7">
        <v>300</v>
      </c>
      <c r="M7" s="5">
        <v>3300</v>
      </c>
      <c r="N7" s="7">
        <v>2442</v>
      </c>
      <c r="O7" s="7">
        <v>858</v>
      </c>
      <c r="P7" s="16">
        <v>0.26</v>
      </c>
    </row>
    <row r="8" spans="1:16" ht="15.75" thickBot="1" x14ac:dyDescent="0.3">
      <c r="A8" s="14" t="s">
        <v>54</v>
      </c>
      <c r="B8" s="6">
        <v>45325</v>
      </c>
      <c r="C8" s="10" t="s">
        <v>55</v>
      </c>
      <c r="D8" s="5">
        <v>2024</v>
      </c>
      <c r="E8" s="9" t="s">
        <v>597</v>
      </c>
      <c r="F8" s="9" t="s">
        <v>41</v>
      </c>
      <c r="G8" s="9" t="s">
        <v>608</v>
      </c>
      <c r="H8" s="9" t="s">
        <v>622</v>
      </c>
      <c r="I8" s="9" t="s">
        <v>623</v>
      </c>
      <c r="J8" s="9" t="s">
        <v>618</v>
      </c>
      <c r="K8" s="9">
        <v>20</v>
      </c>
      <c r="L8" s="9">
        <v>20</v>
      </c>
      <c r="M8" s="5">
        <v>400</v>
      </c>
      <c r="N8" s="9">
        <v>328</v>
      </c>
      <c r="O8" s="9">
        <v>72</v>
      </c>
      <c r="P8" s="17">
        <v>0.18</v>
      </c>
    </row>
    <row r="9" spans="1:16" ht="15.75" thickBot="1" x14ac:dyDescent="0.3">
      <c r="A9" s="13" t="s">
        <v>56</v>
      </c>
      <c r="B9" s="6">
        <v>45347</v>
      </c>
      <c r="C9" s="8" t="s">
        <v>57</v>
      </c>
      <c r="D9" s="5">
        <v>2024</v>
      </c>
      <c r="E9" s="7" t="s">
        <v>598</v>
      </c>
      <c r="F9" s="7" t="s">
        <v>40</v>
      </c>
      <c r="G9" s="7" t="s">
        <v>608</v>
      </c>
      <c r="H9" s="7" t="s">
        <v>622</v>
      </c>
      <c r="I9" s="7" t="s">
        <v>614</v>
      </c>
      <c r="J9" s="7" t="s">
        <v>618</v>
      </c>
      <c r="K9" s="7">
        <v>12</v>
      </c>
      <c r="L9" s="7">
        <v>8000</v>
      </c>
      <c r="M9" s="5">
        <v>96000</v>
      </c>
      <c r="N9" s="7">
        <v>62400</v>
      </c>
      <c r="O9" s="7">
        <v>33600</v>
      </c>
      <c r="P9" s="16">
        <v>0.35</v>
      </c>
    </row>
    <row r="10" spans="1:16" ht="15.75" thickBot="1" x14ac:dyDescent="0.3">
      <c r="A10" s="14" t="s">
        <v>58</v>
      </c>
      <c r="B10" s="6">
        <v>45328</v>
      </c>
      <c r="C10" s="10" t="s">
        <v>59</v>
      </c>
      <c r="D10" s="5">
        <v>2024</v>
      </c>
      <c r="E10" s="9" t="s">
        <v>597</v>
      </c>
      <c r="F10" s="9" t="s">
        <v>41</v>
      </c>
      <c r="G10" s="9" t="s">
        <v>611</v>
      </c>
      <c r="H10" s="9" t="s">
        <v>624</v>
      </c>
      <c r="I10" s="9" t="s">
        <v>623</v>
      </c>
      <c r="J10" s="9" t="s">
        <v>615</v>
      </c>
      <c r="K10" s="9">
        <v>3</v>
      </c>
      <c r="L10" s="9">
        <v>25000</v>
      </c>
      <c r="M10" s="5">
        <v>75000</v>
      </c>
      <c r="N10" s="9">
        <v>56250</v>
      </c>
      <c r="O10" s="9">
        <v>18750</v>
      </c>
      <c r="P10" s="17">
        <v>0.25</v>
      </c>
    </row>
    <row r="11" spans="1:16" ht="15.75" thickBot="1" x14ac:dyDescent="0.3">
      <c r="A11" s="13" t="s">
        <v>60</v>
      </c>
      <c r="B11" s="6">
        <v>45654</v>
      </c>
      <c r="C11" s="8" t="s">
        <v>55</v>
      </c>
      <c r="D11" s="5">
        <v>2024</v>
      </c>
      <c r="E11" s="7" t="s">
        <v>597</v>
      </c>
      <c r="F11" s="7" t="s">
        <v>41</v>
      </c>
      <c r="G11" s="7" t="s">
        <v>611</v>
      </c>
      <c r="H11" s="7" t="s">
        <v>616</v>
      </c>
      <c r="I11" s="7" t="s">
        <v>617</v>
      </c>
      <c r="J11" s="7" t="s">
        <v>618</v>
      </c>
      <c r="K11" s="7">
        <v>13</v>
      </c>
      <c r="L11" s="7">
        <v>55000</v>
      </c>
      <c r="M11" s="5">
        <v>715000</v>
      </c>
      <c r="N11" s="7">
        <v>429000</v>
      </c>
      <c r="O11" s="7">
        <v>286000</v>
      </c>
      <c r="P11" s="16">
        <v>0.4</v>
      </c>
    </row>
    <row r="12" spans="1:16" ht="15.75" thickBot="1" x14ac:dyDescent="0.3">
      <c r="A12" s="14" t="s">
        <v>61</v>
      </c>
      <c r="B12" s="6">
        <v>45480</v>
      </c>
      <c r="C12" s="10" t="s">
        <v>62</v>
      </c>
      <c r="D12" s="5">
        <v>2024</v>
      </c>
      <c r="E12" s="9" t="s">
        <v>599</v>
      </c>
      <c r="F12" s="9" t="s">
        <v>39</v>
      </c>
      <c r="G12" s="9" t="s">
        <v>609</v>
      </c>
      <c r="H12" s="9" t="s">
        <v>622</v>
      </c>
      <c r="I12" s="9" t="s">
        <v>619</v>
      </c>
      <c r="J12" s="9" t="s">
        <v>615</v>
      </c>
      <c r="K12" s="9">
        <v>6</v>
      </c>
      <c r="L12" s="9">
        <v>8000</v>
      </c>
      <c r="M12" s="5">
        <v>48000</v>
      </c>
      <c r="N12" s="9">
        <v>39360</v>
      </c>
      <c r="O12" s="9">
        <v>8640</v>
      </c>
      <c r="P12" s="17">
        <v>0.18</v>
      </c>
    </row>
    <row r="13" spans="1:16" ht="15.75" thickBot="1" x14ac:dyDescent="0.3">
      <c r="A13" s="13" t="s">
        <v>63</v>
      </c>
      <c r="B13" s="6">
        <v>45343</v>
      </c>
      <c r="C13" s="8" t="s">
        <v>46</v>
      </c>
      <c r="D13" s="5">
        <v>2024</v>
      </c>
      <c r="E13" s="7" t="s">
        <v>592</v>
      </c>
      <c r="F13" s="7" t="s">
        <v>40</v>
      </c>
      <c r="G13" s="7" t="s">
        <v>610</v>
      </c>
      <c r="H13" s="7" t="s">
        <v>625</v>
      </c>
      <c r="I13" s="7" t="s">
        <v>619</v>
      </c>
      <c r="J13" s="7" t="s">
        <v>615</v>
      </c>
      <c r="K13" s="7">
        <v>9</v>
      </c>
      <c r="L13" s="7">
        <v>8000</v>
      </c>
      <c r="M13" s="5">
        <v>72000</v>
      </c>
      <c r="N13" s="7">
        <v>62640</v>
      </c>
      <c r="O13" s="7">
        <v>9360</v>
      </c>
      <c r="P13" s="16">
        <v>0.13</v>
      </c>
    </row>
    <row r="14" spans="1:16" ht="15.75" thickBot="1" x14ac:dyDescent="0.3">
      <c r="A14" s="14" t="s">
        <v>64</v>
      </c>
      <c r="B14" s="6">
        <v>45554</v>
      </c>
      <c r="C14" s="10" t="s">
        <v>65</v>
      </c>
      <c r="D14" s="5">
        <v>2024</v>
      </c>
      <c r="E14" s="9" t="s">
        <v>600</v>
      </c>
      <c r="F14" s="9" t="s">
        <v>39</v>
      </c>
      <c r="G14" s="9" t="s">
        <v>610</v>
      </c>
      <c r="H14" s="9" t="s">
        <v>624</v>
      </c>
      <c r="I14" s="9" t="s">
        <v>619</v>
      </c>
      <c r="J14" s="9" t="s">
        <v>618</v>
      </c>
      <c r="K14" s="9">
        <v>12</v>
      </c>
      <c r="L14" s="9">
        <v>45000</v>
      </c>
      <c r="M14" s="5">
        <v>540000</v>
      </c>
      <c r="N14" s="9">
        <v>480600</v>
      </c>
      <c r="O14" s="9">
        <v>59400</v>
      </c>
      <c r="P14" s="17">
        <v>0.11</v>
      </c>
    </row>
    <row r="15" spans="1:16" ht="15.75" thickBot="1" x14ac:dyDescent="0.3">
      <c r="A15" s="13" t="s">
        <v>66</v>
      </c>
      <c r="B15" s="6">
        <v>45420</v>
      </c>
      <c r="C15" s="8" t="s">
        <v>50</v>
      </c>
      <c r="D15" s="5">
        <v>2024</v>
      </c>
      <c r="E15" s="7" t="s">
        <v>597</v>
      </c>
      <c r="F15" s="7" t="s">
        <v>41</v>
      </c>
      <c r="G15" s="7" t="s">
        <v>611</v>
      </c>
      <c r="H15" s="7" t="s">
        <v>626</v>
      </c>
      <c r="I15" s="7" t="s">
        <v>614</v>
      </c>
      <c r="J15" s="7" t="s">
        <v>618</v>
      </c>
      <c r="K15" s="7">
        <v>4</v>
      </c>
      <c r="L15" s="7">
        <v>700</v>
      </c>
      <c r="M15" s="5">
        <v>2800</v>
      </c>
      <c r="N15" s="7">
        <v>2296</v>
      </c>
      <c r="O15" s="7">
        <v>504</v>
      </c>
      <c r="P15" s="16">
        <v>0.18</v>
      </c>
    </row>
    <row r="16" spans="1:16" ht="15.75" thickBot="1" x14ac:dyDescent="0.3">
      <c r="A16" s="14" t="s">
        <v>67</v>
      </c>
      <c r="B16" s="6">
        <v>45375</v>
      </c>
      <c r="C16" s="10" t="s">
        <v>48</v>
      </c>
      <c r="D16" s="5">
        <v>2024</v>
      </c>
      <c r="E16" s="9" t="s">
        <v>601</v>
      </c>
      <c r="F16" s="9" t="s">
        <v>41</v>
      </c>
      <c r="G16" s="9" t="s">
        <v>609</v>
      </c>
      <c r="H16" s="9" t="s">
        <v>622</v>
      </c>
      <c r="I16" s="9" t="s">
        <v>627</v>
      </c>
      <c r="J16" s="9" t="s">
        <v>618</v>
      </c>
      <c r="K16" s="9">
        <v>16</v>
      </c>
      <c r="L16" s="9">
        <v>3500</v>
      </c>
      <c r="M16" s="5">
        <v>56000</v>
      </c>
      <c r="N16" s="9">
        <v>48720</v>
      </c>
      <c r="O16" s="9">
        <v>7280</v>
      </c>
      <c r="P16" s="17">
        <v>0.13</v>
      </c>
    </row>
    <row r="17" spans="1:16" ht="15.75" thickBot="1" x14ac:dyDescent="0.3">
      <c r="A17" s="13" t="s">
        <v>68</v>
      </c>
      <c r="B17" s="6">
        <v>45327</v>
      </c>
      <c r="C17" s="8" t="s">
        <v>44</v>
      </c>
      <c r="D17" s="5">
        <v>2024</v>
      </c>
      <c r="E17" s="7" t="s">
        <v>597</v>
      </c>
      <c r="F17" s="7" t="s">
        <v>41</v>
      </c>
      <c r="G17" s="7" t="s">
        <v>609</v>
      </c>
      <c r="H17" s="7" t="s">
        <v>621</v>
      </c>
      <c r="I17" s="7" t="s">
        <v>627</v>
      </c>
      <c r="J17" s="7" t="s">
        <v>618</v>
      </c>
      <c r="K17" s="7">
        <v>3</v>
      </c>
      <c r="L17" s="7">
        <v>15000</v>
      </c>
      <c r="M17" s="5">
        <v>45000</v>
      </c>
      <c r="N17" s="7">
        <v>40050</v>
      </c>
      <c r="O17" s="7">
        <v>4950</v>
      </c>
      <c r="P17" s="16">
        <v>0.11</v>
      </c>
    </row>
    <row r="18" spans="1:16" ht="15.75" thickBot="1" x14ac:dyDescent="0.3">
      <c r="A18" s="14" t="s">
        <v>69</v>
      </c>
      <c r="B18" s="6">
        <v>45316</v>
      </c>
      <c r="C18" s="10" t="s">
        <v>50</v>
      </c>
      <c r="D18" s="5">
        <v>2024</v>
      </c>
      <c r="E18" s="9" t="s">
        <v>602</v>
      </c>
      <c r="F18" s="9" t="s">
        <v>42</v>
      </c>
      <c r="G18" s="9" t="s">
        <v>612</v>
      </c>
      <c r="H18" s="9" t="s">
        <v>628</v>
      </c>
      <c r="I18" s="9" t="s">
        <v>627</v>
      </c>
      <c r="J18" s="9" t="s">
        <v>615</v>
      </c>
      <c r="K18" s="9">
        <v>10</v>
      </c>
      <c r="L18" s="9">
        <v>1200</v>
      </c>
      <c r="M18" s="5">
        <v>12000</v>
      </c>
      <c r="N18" s="9">
        <v>7680</v>
      </c>
      <c r="O18" s="9">
        <v>4320</v>
      </c>
      <c r="P18" s="17">
        <v>0.36</v>
      </c>
    </row>
    <row r="19" spans="1:16" ht="15.75" thickBot="1" x14ac:dyDescent="0.3">
      <c r="A19" s="13" t="s">
        <v>70</v>
      </c>
      <c r="B19" s="6">
        <v>45525</v>
      </c>
      <c r="C19" s="8" t="s">
        <v>59</v>
      </c>
      <c r="D19" s="5">
        <v>2024</v>
      </c>
      <c r="E19" s="7" t="s">
        <v>600</v>
      </c>
      <c r="F19" s="7" t="s">
        <v>39</v>
      </c>
      <c r="G19" s="7" t="s">
        <v>611</v>
      </c>
      <c r="H19" s="7" t="s">
        <v>621</v>
      </c>
      <c r="I19" s="7" t="s">
        <v>614</v>
      </c>
      <c r="J19" s="7" t="s">
        <v>615</v>
      </c>
      <c r="K19" s="7">
        <v>6</v>
      </c>
      <c r="L19" s="7">
        <v>9000</v>
      </c>
      <c r="M19" s="5">
        <v>54000</v>
      </c>
      <c r="N19" s="7">
        <v>33480</v>
      </c>
      <c r="O19" s="7">
        <v>20520</v>
      </c>
      <c r="P19" s="16">
        <v>0.38</v>
      </c>
    </row>
    <row r="20" spans="1:16" ht="15.75" thickBot="1" x14ac:dyDescent="0.3">
      <c r="A20" s="14" t="s">
        <v>71</v>
      </c>
      <c r="B20" s="6">
        <v>45511</v>
      </c>
      <c r="C20" s="10" t="s">
        <v>55</v>
      </c>
      <c r="D20" s="5">
        <v>2024</v>
      </c>
      <c r="E20" s="9" t="s">
        <v>603</v>
      </c>
      <c r="F20" s="9" t="s">
        <v>42</v>
      </c>
      <c r="G20" s="9" t="s">
        <v>609</v>
      </c>
      <c r="H20" s="9" t="s">
        <v>620</v>
      </c>
      <c r="I20" s="9" t="s">
        <v>617</v>
      </c>
      <c r="J20" s="9" t="s">
        <v>615</v>
      </c>
      <c r="K20" s="9">
        <v>8</v>
      </c>
      <c r="L20" s="9">
        <v>1200</v>
      </c>
      <c r="M20" s="5">
        <v>9600</v>
      </c>
      <c r="N20" s="9">
        <v>7488</v>
      </c>
      <c r="O20" s="9">
        <v>2112</v>
      </c>
      <c r="P20" s="17">
        <v>0.22</v>
      </c>
    </row>
    <row r="21" spans="1:16" ht="15.75" thickBot="1" x14ac:dyDescent="0.3">
      <c r="A21" s="13" t="s">
        <v>72</v>
      </c>
      <c r="B21" s="6">
        <v>45381</v>
      </c>
      <c r="C21" s="8" t="s">
        <v>53</v>
      </c>
      <c r="D21" s="5">
        <v>2024</v>
      </c>
      <c r="E21" s="7" t="s">
        <v>602</v>
      </c>
      <c r="F21" s="7" t="s">
        <v>42</v>
      </c>
      <c r="G21" s="7" t="s">
        <v>611</v>
      </c>
      <c r="H21" s="7" t="s">
        <v>626</v>
      </c>
      <c r="I21" s="7" t="s">
        <v>619</v>
      </c>
      <c r="J21" s="7" t="s">
        <v>618</v>
      </c>
      <c r="K21" s="7">
        <v>15</v>
      </c>
      <c r="L21" s="7">
        <v>15000</v>
      </c>
      <c r="M21" s="5">
        <v>225000</v>
      </c>
      <c r="N21" s="7">
        <v>189000</v>
      </c>
      <c r="O21" s="7">
        <v>36000</v>
      </c>
      <c r="P21" s="16">
        <v>0.16</v>
      </c>
    </row>
    <row r="22" spans="1:16" ht="15.75" thickBot="1" x14ac:dyDescent="0.3">
      <c r="A22" s="14" t="s">
        <v>73</v>
      </c>
      <c r="B22" s="6">
        <v>45392</v>
      </c>
      <c r="C22" s="10" t="s">
        <v>50</v>
      </c>
      <c r="D22" s="5">
        <v>2024</v>
      </c>
      <c r="E22" s="9" t="s">
        <v>601</v>
      </c>
      <c r="F22" s="9" t="s">
        <v>41</v>
      </c>
      <c r="G22" s="9" t="s">
        <v>608</v>
      </c>
      <c r="H22" s="9" t="s">
        <v>629</v>
      </c>
      <c r="I22" s="9" t="s">
        <v>630</v>
      </c>
      <c r="J22" s="9" t="s">
        <v>615</v>
      </c>
      <c r="K22" s="9">
        <v>11</v>
      </c>
      <c r="L22" s="9">
        <v>4000</v>
      </c>
      <c r="M22" s="5">
        <v>44000</v>
      </c>
      <c r="N22" s="9">
        <v>32560</v>
      </c>
      <c r="O22" s="9">
        <v>11440</v>
      </c>
      <c r="P22" s="17">
        <v>0.26</v>
      </c>
    </row>
    <row r="23" spans="1:16" ht="15.75" thickBot="1" x14ac:dyDescent="0.3">
      <c r="A23" s="13" t="s">
        <v>74</v>
      </c>
      <c r="B23" s="6">
        <v>45377</v>
      </c>
      <c r="C23" s="8" t="s">
        <v>57</v>
      </c>
      <c r="D23" s="5">
        <v>2024</v>
      </c>
      <c r="E23" s="7" t="s">
        <v>604</v>
      </c>
      <c r="F23" s="7" t="s">
        <v>41</v>
      </c>
      <c r="G23" s="7" t="s">
        <v>610</v>
      </c>
      <c r="H23" s="7" t="s">
        <v>622</v>
      </c>
      <c r="I23" s="7" t="s">
        <v>619</v>
      </c>
      <c r="J23" s="7" t="s">
        <v>618</v>
      </c>
      <c r="K23" s="7">
        <v>9</v>
      </c>
      <c r="L23" s="7">
        <v>1200</v>
      </c>
      <c r="M23" s="5">
        <v>10800</v>
      </c>
      <c r="N23" s="7">
        <v>9612</v>
      </c>
      <c r="O23" s="7">
        <v>1188</v>
      </c>
      <c r="P23" s="16">
        <v>0.11</v>
      </c>
    </row>
    <row r="24" spans="1:16" ht="15.75" thickBot="1" x14ac:dyDescent="0.3">
      <c r="A24" s="14" t="s">
        <v>75</v>
      </c>
      <c r="B24" s="6">
        <v>45540</v>
      </c>
      <c r="C24" s="10" t="s">
        <v>59</v>
      </c>
      <c r="D24" s="5">
        <v>2024</v>
      </c>
      <c r="E24" s="9" t="s">
        <v>603</v>
      </c>
      <c r="F24" s="9" t="s">
        <v>42</v>
      </c>
      <c r="G24" s="9" t="s">
        <v>609</v>
      </c>
      <c r="H24" s="9" t="s">
        <v>628</v>
      </c>
      <c r="I24" s="9" t="s">
        <v>623</v>
      </c>
      <c r="J24" s="9" t="s">
        <v>615</v>
      </c>
      <c r="K24" s="9">
        <v>9</v>
      </c>
      <c r="L24" s="9">
        <v>12000</v>
      </c>
      <c r="M24" s="5">
        <v>108000</v>
      </c>
      <c r="N24" s="9">
        <v>64800</v>
      </c>
      <c r="O24" s="9">
        <v>43200</v>
      </c>
      <c r="P24" s="17">
        <v>0.4</v>
      </c>
    </row>
    <row r="25" spans="1:16" ht="15.75" thickBot="1" x14ac:dyDescent="0.3">
      <c r="A25" s="13" t="s">
        <v>76</v>
      </c>
      <c r="B25" s="6">
        <v>45328</v>
      </c>
      <c r="C25" s="8" t="s">
        <v>50</v>
      </c>
      <c r="D25" s="5">
        <v>2024</v>
      </c>
      <c r="E25" s="7" t="s">
        <v>592</v>
      </c>
      <c r="F25" s="7" t="s">
        <v>40</v>
      </c>
      <c r="G25" s="7" t="s">
        <v>610</v>
      </c>
      <c r="H25" s="7" t="s">
        <v>629</v>
      </c>
      <c r="I25" s="7" t="s">
        <v>623</v>
      </c>
      <c r="J25" s="7" t="s">
        <v>615</v>
      </c>
      <c r="K25" s="7">
        <v>18</v>
      </c>
      <c r="L25" s="7">
        <v>3500</v>
      </c>
      <c r="M25" s="5">
        <v>63000</v>
      </c>
      <c r="N25" s="7">
        <v>51030</v>
      </c>
      <c r="O25" s="7">
        <v>11970</v>
      </c>
      <c r="P25" s="16">
        <v>0.19</v>
      </c>
    </row>
    <row r="26" spans="1:16" ht="15.75" thickBot="1" x14ac:dyDescent="0.3">
      <c r="A26" s="14" t="s">
        <v>77</v>
      </c>
      <c r="B26" s="6">
        <v>45589</v>
      </c>
      <c r="C26" s="10" t="s">
        <v>62</v>
      </c>
      <c r="D26" s="5">
        <v>2024</v>
      </c>
      <c r="E26" s="9" t="s">
        <v>594</v>
      </c>
      <c r="F26" s="9" t="s">
        <v>39</v>
      </c>
      <c r="G26" s="9" t="s">
        <v>612</v>
      </c>
      <c r="H26" s="9" t="s">
        <v>626</v>
      </c>
      <c r="I26" s="9" t="s">
        <v>645</v>
      </c>
      <c r="J26" s="9" t="s">
        <v>615</v>
      </c>
      <c r="K26" s="9">
        <v>16</v>
      </c>
      <c r="L26" s="9">
        <v>12000</v>
      </c>
      <c r="M26" s="5">
        <v>192000</v>
      </c>
      <c r="N26" s="9">
        <v>147840</v>
      </c>
      <c r="O26" s="9">
        <v>44160</v>
      </c>
      <c r="P26" s="17">
        <v>0.23</v>
      </c>
    </row>
    <row r="27" spans="1:16" ht="15.75" thickBot="1" x14ac:dyDescent="0.3">
      <c r="A27" s="13" t="s">
        <v>78</v>
      </c>
      <c r="B27" s="6">
        <v>45421</v>
      </c>
      <c r="C27" s="8" t="s">
        <v>50</v>
      </c>
      <c r="D27" s="5">
        <v>2024</v>
      </c>
      <c r="E27" s="7" t="s">
        <v>605</v>
      </c>
      <c r="F27" s="7" t="s">
        <v>40</v>
      </c>
      <c r="G27" s="7" t="s">
        <v>609</v>
      </c>
      <c r="H27" s="7" t="s">
        <v>626</v>
      </c>
      <c r="I27" s="7" t="s">
        <v>617</v>
      </c>
      <c r="J27" s="7" t="s">
        <v>615</v>
      </c>
      <c r="K27" s="7">
        <v>17</v>
      </c>
      <c r="L27" s="7">
        <v>3500</v>
      </c>
      <c r="M27" s="5">
        <v>59500</v>
      </c>
      <c r="N27" s="7">
        <v>49980</v>
      </c>
      <c r="O27" s="7">
        <v>9520</v>
      </c>
      <c r="P27" s="16">
        <v>0.16</v>
      </c>
    </row>
    <row r="28" spans="1:16" ht="15.75" thickBot="1" x14ac:dyDescent="0.3">
      <c r="A28" s="14" t="s">
        <v>79</v>
      </c>
      <c r="B28" s="6">
        <v>45642</v>
      </c>
      <c r="C28" s="10" t="s">
        <v>80</v>
      </c>
      <c r="D28" s="5">
        <v>2024</v>
      </c>
      <c r="E28" s="9" t="s">
        <v>606</v>
      </c>
      <c r="F28" s="9" t="s">
        <v>40</v>
      </c>
      <c r="G28" s="9" t="s">
        <v>612</v>
      </c>
      <c r="H28" s="9" t="s">
        <v>613</v>
      </c>
      <c r="I28" s="9" t="s">
        <v>645</v>
      </c>
      <c r="J28" s="9" t="s">
        <v>615</v>
      </c>
      <c r="K28" s="9">
        <v>4</v>
      </c>
      <c r="L28" s="9">
        <v>1200</v>
      </c>
      <c r="M28" s="5">
        <v>4800</v>
      </c>
      <c r="N28" s="9">
        <v>3264</v>
      </c>
      <c r="O28" s="9">
        <v>1536</v>
      </c>
      <c r="P28" s="17">
        <v>0.32</v>
      </c>
    </row>
    <row r="29" spans="1:16" ht="15.75" thickBot="1" x14ac:dyDescent="0.3">
      <c r="A29" s="13" t="s">
        <v>81</v>
      </c>
      <c r="B29" s="6">
        <v>45600</v>
      </c>
      <c r="C29" s="8" t="s">
        <v>46</v>
      </c>
      <c r="D29" s="5">
        <v>2024</v>
      </c>
      <c r="E29" s="7" t="s">
        <v>603</v>
      </c>
      <c r="F29" s="7" t="s">
        <v>42</v>
      </c>
      <c r="G29" s="7" t="s">
        <v>609</v>
      </c>
      <c r="H29" s="7" t="s">
        <v>625</v>
      </c>
      <c r="I29" s="7" t="s">
        <v>614</v>
      </c>
      <c r="J29" s="7" t="s">
        <v>615</v>
      </c>
      <c r="K29" s="7">
        <v>10</v>
      </c>
      <c r="L29" s="7">
        <v>7000</v>
      </c>
      <c r="M29" s="5">
        <v>70000</v>
      </c>
      <c r="N29" s="7">
        <v>58800</v>
      </c>
      <c r="O29" s="7">
        <v>11200</v>
      </c>
      <c r="P29" s="16">
        <v>0.16</v>
      </c>
    </row>
    <row r="30" spans="1:16" ht="15.75" thickBot="1" x14ac:dyDescent="0.3">
      <c r="A30" s="14" t="s">
        <v>82</v>
      </c>
      <c r="B30" s="6">
        <v>45459</v>
      </c>
      <c r="C30" s="10" t="s">
        <v>83</v>
      </c>
      <c r="D30" s="5">
        <v>2024</v>
      </c>
      <c r="E30" s="9" t="s">
        <v>600</v>
      </c>
      <c r="F30" s="9" t="s">
        <v>39</v>
      </c>
      <c r="G30" s="9" t="s">
        <v>608</v>
      </c>
      <c r="H30" s="9" t="s">
        <v>613</v>
      </c>
      <c r="I30" s="9" t="s">
        <v>623</v>
      </c>
      <c r="J30" s="9" t="s">
        <v>618</v>
      </c>
      <c r="K30" s="9">
        <v>6</v>
      </c>
      <c r="L30" s="9">
        <v>1200</v>
      </c>
      <c r="M30" s="5">
        <v>7200</v>
      </c>
      <c r="N30" s="9">
        <v>5688</v>
      </c>
      <c r="O30" s="9">
        <v>1512</v>
      </c>
      <c r="P30" s="17">
        <v>0.21</v>
      </c>
    </row>
    <row r="31" spans="1:16" ht="15.75" thickBot="1" x14ac:dyDescent="0.3">
      <c r="A31" s="13" t="s">
        <v>84</v>
      </c>
      <c r="B31" s="6">
        <v>45320</v>
      </c>
      <c r="C31" s="8" t="s">
        <v>53</v>
      </c>
      <c r="D31" s="5">
        <v>2024</v>
      </c>
      <c r="E31" s="7" t="s">
        <v>598</v>
      </c>
      <c r="F31" s="7" t="s">
        <v>40</v>
      </c>
      <c r="G31" s="7" t="s">
        <v>610</v>
      </c>
      <c r="H31" s="7" t="s">
        <v>625</v>
      </c>
      <c r="I31" s="9" t="s">
        <v>645</v>
      </c>
      <c r="J31" s="7" t="s">
        <v>618</v>
      </c>
      <c r="K31" s="7">
        <v>8</v>
      </c>
      <c r="L31" s="7">
        <v>55000</v>
      </c>
      <c r="M31" s="5">
        <v>440000</v>
      </c>
      <c r="N31" s="7">
        <v>347600</v>
      </c>
      <c r="O31" s="7">
        <v>92400</v>
      </c>
      <c r="P31" s="16">
        <v>0.21</v>
      </c>
    </row>
    <row r="32" spans="1:16" ht="15.75" thickBot="1" x14ac:dyDescent="0.3">
      <c r="A32" s="14" t="s">
        <v>85</v>
      </c>
      <c r="B32" s="6">
        <v>45559</v>
      </c>
      <c r="C32" s="10" t="s">
        <v>57</v>
      </c>
      <c r="D32" s="5">
        <v>2024</v>
      </c>
      <c r="E32" s="9" t="s">
        <v>595</v>
      </c>
      <c r="F32" s="9" t="s">
        <v>39</v>
      </c>
      <c r="G32" s="9" t="s">
        <v>609</v>
      </c>
      <c r="H32" s="9" t="s">
        <v>621</v>
      </c>
      <c r="I32" s="9" t="s">
        <v>617</v>
      </c>
      <c r="J32" s="9" t="s">
        <v>615</v>
      </c>
      <c r="K32" s="9">
        <v>17</v>
      </c>
      <c r="L32" s="9">
        <v>20</v>
      </c>
      <c r="M32" s="5">
        <v>340</v>
      </c>
      <c r="N32" s="9">
        <v>207.4</v>
      </c>
      <c r="O32" s="9">
        <v>132.6</v>
      </c>
      <c r="P32" s="17">
        <v>0.38999999999999996</v>
      </c>
    </row>
    <row r="33" spans="1:16" ht="15.75" thickBot="1" x14ac:dyDescent="0.3">
      <c r="A33" s="13" t="s">
        <v>86</v>
      </c>
      <c r="B33" s="6">
        <v>45507</v>
      </c>
      <c r="C33" s="8" t="s">
        <v>50</v>
      </c>
      <c r="D33" s="5">
        <v>2024</v>
      </c>
      <c r="E33" s="7" t="s">
        <v>595</v>
      </c>
      <c r="F33" s="7" t="s">
        <v>39</v>
      </c>
      <c r="G33" s="7" t="s">
        <v>609</v>
      </c>
      <c r="H33" s="7" t="s">
        <v>625</v>
      </c>
      <c r="I33" s="7" t="s">
        <v>630</v>
      </c>
      <c r="J33" s="7" t="s">
        <v>618</v>
      </c>
      <c r="K33" s="7">
        <v>19</v>
      </c>
      <c r="L33" s="7">
        <v>9000</v>
      </c>
      <c r="M33" s="5">
        <v>171000</v>
      </c>
      <c r="N33" s="7">
        <v>136800</v>
      </c>
      <c r="O33" s="7">
        <v>34200</v>
      </c>
      <c r="P33" s="16">
        <v>0.2</v>
      </c>
    </row>
    <row r="34" spans="1:16" ht="15.75" thickBot="1" x14ac:dyDescent="0.3">
      <c r="A34" s="14" t="s">
        <v>87</v>
      </c>
      <c r="B34" s="6">
        <v>45556</v>
      </c>
      <c r="C34" s="10" t="s">
        <v>59</v>
      </c>
      <c r="D34" s="5">
        <v>2024</v>
      </c>
      <c r="E34" s="9" t="s">
        <v>605</v>
      </c>
      <c r="F34" s="9" t="s">
        <v>40</v>
      </c>
      <c r="G34" s="9" t="s">
        <v>610</v>
      </c>
      <c r="H34" s="9" t="s">
        <v>613</v>
      </c>
      <c r="I34" s="9" t="s">
        <v>645</v>
      </c>
      <c r="J34" s="9" t="s">
        <v>618</v>
      </c>
      <c r="K34" s="9">
        <v>6</v>
      </c>
      <c r="L34" s="9">
        <v>20</v>
      </c>
      <c r="M34" s="5">
        <v>120</v>
      </c>
      <c r="N34" s="9">
        <v>87.6</v>
      </c>
      <c r="O34" s="9">
        <v>32.400000000000006</v>
      </c>
      <c r="P34" s="17">
        <v>0.27000000000000007</v>
      </c>
    </row>
    <row r="35" spans="1:16" ht="15.75" thickBot="1" x14ac:dyDescent="0.3">
      <c r="A35" s="13" t="s">
        <v>88</v>
      </c>
      <c r="B35" s="6">
        <v>45429</v>
      </c>
      <c r="C35" s="8" t="s">
        <v>65</v>
      </c>
      <c r="D35" s="5">
        <v>2024</v>
      </c>
      <c r="E35" s="7" t="s">
        <v>597</v>
      </c>
      <c r="F35" s="7" t="s">
        <v>41</v>
      </c>
      <c r="G35" s="7" t="s">
        <v>612</v>
      </c>
      <c r="H35" s="7" t="s">
        <v>621</v>
      </c>
      <c r="I35" s="7" t="s">
        <v>614</v>
      </c>
      <c r="J35" s="7" t="s">
        <v>615</v>
      </c>
      <c r="K35" s="7">
        <v>11</v>
      </c>
      <c r="L35" s="7">
        <v>20</v>
      </c>
      <c r="M35" s="5">
        <v>220</v>
      </c>
      <c r="N35" s="7">
        <v>140.80000000000001</v>
      </c>
      <c r="O35" s="7">
        <v>79.199999999999989</v>
      </c>
      <c r="P35" s="16">
        <v>0.35999999999999993</v>
      </c>
    </row>
    <row r="36" spans="1:16" ht="15.75" thickBot="1" x14ac:dyDescent="0.3">
      <c r="A36" s="14" t="s">
        <v>89</v>
      </c>
      <c r="B36" s="6">
        <v>45495</v>
      </c>
      <c r="C36" s="10" t="s">
        <v>55</v>
      </c>
      <c r="D36" s="5">
        <v>2024</v>
      </c>
      <c r="E36" s="9" t="s">
        <v>599</v>
      </c>
      <c r="F36" s="9" t="s">
        <v>39</v>
      </c>
      <c r="G36" s="9" t="s">
        <v>610</v>
      </c>
      <c r="H36" s="9" t="s">
        <v>624</v>
      </c>
      <c r="I36" s="9" t="s">
        <v>614</v>
      </c>
      <c r="J36" s="9" t="s">
        <v>618</v>
      </c>
      <c r="K36" s="9">
        <v>10</v>
      </c>
      <c r="L36" s="9">
        <v>9000</v>
      </c>
      <c r="M36" s="5">
        <v>90000</v>
      </c>
      <c r="N36" s="9">
        <v>57600</v>
      </c>
      <c r="O36" s="9">
        <v>32400</v>
      </c>
      <c r="P36" s="17">
        <v>0.36</v>
      </c>
    </row>
    <row r="37" spans="1:16" ht="15.75" thickBot="1" x14ac:dyDescent="0.3">
      <c r="A37" s="13" t="s">
        <v>90</v>
      </c>
      <c r="B37" s="6">
        <v>45445</v>
      </c>
      <c r="C37" s="8" t="s">
        <v>53</v>
      </c>
      <c r="D37" s="5">
        <v>2024</v>
      </c>
      <c r="E37" s="7" t="s">
        <v>598</v>
      </c>
      <c r="F37" s="7" t="s">
        <v>40</v>
      </c>
      <c r="G37" s="7" t="s">
        <v>608</v>
      </c>
      <c r="H37" s="7" t="s">
        <v>613</v>
      </c>
      <c r="I37" s="9" t="s">
        <v>645</v>
      </c>
      <c r="J37" s="7" t="s">
        <v>618</v>
      </c>
      <c r="K37" s="7">
        <v>5</v>
      </c>
      <c r="L37" s="7">
        <v>300</v>
      </c>
      <c r="M37" s="5">
        <v>1500</v>
      </c>
      <c r="N37" s="7">
        <v>975</v>
      </c>
      <c r="O37" s="7">
        <v>525</v>
      </c>
      <c r="P37" s="16">
        <v>0.35</v>
      </c>
    </row>
    <row r="38" spans="1:16" ht="15.75" thickBot="1" x14ac:dyDescent="0.3">
      <c r="A38" s="14" t="s">
        <v>91</v>
      </c>
      <c r="B38" s="6">
        <v>45600</v>
      </c>
      <c r="C38" s="10" t="s">
        <v>65</v>
      </c>
      <c r="D38" s="5">
        <v>2024</v>
      </c>
      <c r="E38" s="9" t="s">
        <v>596</v>
      </c>
      <c r="F38" s="9" t="s">
        <v>39</v>
      </c>
      <c r="G38" s="9" t="s">
        <v>608</v>
      </c>
      <c r="H38" s="9" t="s">
        <v>626</v>
      </c>
      <c r="I38" s="9" t="s">
        <v>645</v>
      </c>
      <c r="J38" s="9" t="s">
        <v>615</v>
      </c>
      <c r="K38" s="9">
        <v>6</v>
      </c>
      <c r="L38" s="9">
        <v>7000</v>
      </c>
      <c r="M38" s="5">
        <v>42000</v>
      </c>
      <c r="N38" s="9">
        <v>33600</v>
      </c>
      <c r="O38" s="9">
        <v>8400</v>
      </c>
      <c r="P38" s="17">
        <v>0.2</v>
      </c>
    </row>
    <row r="39" spans="1:16" ht="15.75" thickBot="1" x14ac:dyDescent="0.3">
      <c r="A39" s="13" t="s">
        <v>92</v>
      </c>
      <c r="B39" s="6">
        <v>45349</v>
      </c>
      <c r="C39" s="8" t="s">
        <v>50</v>
      </c>
      <c r="D39" s="5">
        <v>2024</v>
      </c>
      <c r="E39" s="7" t="s">
        <v>595</v>
      </c>
      <c r="F39" s="7" t="s">
        <v>39</v>
      </c>
      <c r="G39" s="7" t="s">
        <v>611</v>
      </c>
      <c r="H39" s="7" t="s">
        <v>622</v>
      </c>
      <c r="I39" s="9" t="s">
        <v>645</v>
      </c>
      <c r="J39" s="7" t="s">
        <v>615</v>
      </c>
      <c r="K39" s="7">
        <v>7</v>
      </c>
      <c r="L39" s="7">
        <v>20</v>
      </c>
      <c r="M39" s="5">
        <v>140</v>
      </c>
      <c r="N39" s="7">
        <v>96.6</v>
      </c>
      <c r="O39" s="7">
        <v>43.400000000000006</v>
      </c>
      <c r="P39" s="16">
        <v>0.31000000000000005</v>
      </c>
    </row>
    <row r="40" spans="1:16" ht="15.75" thickBot="1" x14ac:dyDescent="0.3">
      <c r="A40" s="14" t="s">
        <v>93</v>
      </c>
      <c r="B40" s="6">
        <v>45314</v>
      </c>
      <c r="C40" s="10" t="s">
        <v>44</v>
      </c>
      <c r="D40" s="5">
        <v>2024</v>
      </c>
      <c r="E40" s="9" t="s">
        <v>604</v>
      </c>
      <c r="F40" s="9" t="s">
        <v>41</v>
      </c>
      <c r="G40" s="9" t="s">
        <v>608</v>
      </c>
      <c r="H40" s="9" t="s">
        <v>620</v>
      </c>
      <c r="I40" s="9" t="s">
        <v>614</v>
      </c>
      <c r="J40" s="9" t="s">
        <v>618</v>
      </c>
      <c r="K40" s="9">
        <v>12</v>
      </c>
      <c r="L40" s="9">
        <v>25000</v>
      </c>
      <c r="M40" s="5">
        <v>300000</v>
      </c>
      <c r="N40" s="9">
        <v>186000</v>
      </c>
      <c r="O40" s="9">
        <v>114000</v>
      </c>
      <c r="P40" s="17">
        <v>0.38</v>
      </c>
    </row>
    <row r="41" spans="1:16" ht="15.75" thickBot="1" x14ac:dyDescent="0.3">
      <c r="A41" s="13" t="s">
        <v>94</v>
      </c>
      <c r="B41" s="6">
        <v>45474</v>
      </c>
      <c r="C41" s="8" t="s">
        <v>55</v>
      </c>
      <c r="D41" s="5">
        <v>2024</v>
      </c>
      <c r="E41" s="7" t="s">
        <v>594</v>
      </c>
      <c r="F41" s="7" t="s">
        <v>39</v>
      </c>
      <c r="G41" s="7" t="s">
        <v>611</v>
      </c>
      <c r="H41" s="7" t="s">
        <v>622</v>
      </c>
      <c r="I41" s="7" t="s">
        <v>617</v>
      </c>
      <c r="J41" s="7" t="s">
        <v>615</v>
      </c>
      <c r="K41" s="7">
        <v>11</v>
      </c>
      <c r="L41" s="7">
        <v>3500</v>
      </c>
      <c r="M41" s="5">
        <v>38500</v>
      </c>
      <c r="N41" s="7">
        <v>24255</v>
      </c>
      <c r="O41" s="7">
        <v>14245</v>
      </c>
      <c r="P41" s="16">
        <v>0.37</v>
      </c>
    </row>
    <row r="42" spans="1:16" ht="15.75" thickBot="1" x14ac:dyDescent="0.3">
      <c r="A42" s="14" t="s">
        <v>95</v>
      </c>
      <c r="B42" s="6">
        <v>45395</v>
      </c>
      <c r="C42" s="10" t="s">
        <v>57</v>
      </c>
      <c r="D42" s="5">
        <v>2024</v>
      </c>
      <c r="E42" s="9" t="s">
        <v>602</v>
      </c>
      <c r="F42" s="9" t="s">
        <v>42</v>
      </c>
      <c r="G42" s="9" t="s">
        <v>610</v>
      </c>
      <c r="H42" s="9" t="s">
        <v>622</v>
      </c>
      <c r="I42" s="9" t="s">
        <v>619</v>
      </c>
      <c r="J42" s="9" t="s">
        <v>615</v>
      </c>
      <c r="K42" s="9">
        <v>18</v>
      </c>
      <c r="L42" s="9">
        <v>25000</v>
      </c>
      <c r="M42" s="5">
        <v>450000</v>
      </c>
      <c r="N42" s="9">
        <v>369000</v>
      </c>
      <c r="O42" s="9">
        <v>81000</v>
      </c>
      <c r="P42" s="17">
        <v>0.18</v>
      </c>
    </row>
    <row r="43" spans="1:16" ht="15.75" thickBot="1" x14ac:dyDescent="0.3">
      <c r="A43" s="13" t="s">
        <v>96</v>
      </c>
      <c r="B43" s="6">
        <v>45459</v>
      </c>
      <c r="C43" s="8" t="s">
        <v>53</v>
      </c>
      <c r="D43" s="5">
        <v>2024</v>
      </c>
      <c r="E43" s="7" t="s">
        <v>606</v>
      </c>
      <c r="F43" s="7" t="s">
        <v>40</v>
      </c>
      <c r="G43" s="7" t="s">
        <v>609</v>
      </c>
      <c r="H43" s="7" t="s">
        <v>625</v>
      </c>
      <c r="I43" s="7" t="s">
        <v>619</v>
      </c>
      <c r="J43" s="7" t="s">
        <v>618</v>
      </c>
      <c r="K43" s="7">
        <v>10</v>
      </c>
      <c r="L43" s="7">
        <v>55000</v>
      </c>
      <c r="M43" s="5">
        <v>550000</v>
      </c>
      <c r="N43" s="7">
        <v>462000</v>
      </c>
      <c r="O43" s="7">
        <v>88000</v>
      </c>
      <c r="P43" s="16">
        <v>0.16</v>
      </c>
    </row>
    <row r="44" spans="1:16" ht="15.75" thickBot="1" x14ac:dyDescent="0.3">
      <c r="A44" s="14" t="s">
        <v>97</v>
      </c>
      <c r="B44" s="6">
        <v>45546</v>
      </c>
      <c r="C44" s="10" t="s">
        <v>50</v>
      </c>
      <c r="D44" s="5">
        <v>2024</v>
      </c>
      <c r="E44" s="9" t="s">
        <v>601</v>
      </c>
      <c r="F44" s="9" t="s">
        <v>41</v>
      </c>
      <c r="G44" s="9" t="s">
        <v>608</v>
      </c>
      <c r="H44" s="9" t="s">
        <v>628</v>
      </c>
      <c r="I44" s="9" t="s">
        <v>645</v>
      </c>
      <c r="J44" s="9" t="s">
        <v>615</v>
      </c>
      <c r="K44" s="9">
        <v>17</v>
      </c>
      <c r="L44" s="9">
        <v>45000</v>
      </c>
      <c r="M44" s="5">
        <v>765000</v>
      </c>
      <c r="N44" s="9">
        <v>466650</v>
      </c>
      <c r="O44" s="9">
        <v>298350</v>
      </c>
      <c r="P44" s="17">
        <v>0.39</v>
      </c>
    </row>
    <row r="45" spans="1:16" ht="15.75" thickBot="1" x14ac:dyDescent="0.3">
      <c r="A45" s="13" t="s">
        <v>98</v>
      </c>
      <c r="B45" s="6">
        <v>45518</v>
      </c>
      <c r="C45" s="8" t="s">
        <v>57</v>
      </c>
      <c r="D45" s="5">
        <v>2024</v>
      </c>
      <c r="E45" s="7" t="s">
        <v>595</v>
      </c>
      <c r="F45" s="7" t="s">
        <v>39</v>
      </c>
      <c r="G45" s="7" t="s">
        <v>611</v>
      </c>
      <c r="H45" s="7" t="s">
        <v>613</v>
      </c>
      <c r="I45" s="7" t="s">
        <v>627</v>
      </c>
      <c r="J45" s="7" t="s">
        <v>618</v>
      </c>
      <c r="K45" s="7">
        <v>9</v>
      </c>
      <c r="L45" s="7">
        <v>8000</v>
      </c>
      <c r="M45" s="5">
        <v>72000</v>
      </c>
      <c r="N45" s="7">
        <v>58320</v>
      </c>
      <c r="O45" s="7">
        <v>13680</v>
      </c>
      <c r="P45" s="16">
        <v>0.19</v>
      </c>
    </row>
    <row r="46" spans="1:16" ht="15.75" thickBot="1" x14ac:dyDescent="0.3">
      <c r="A46" s="14" t="s">
        <v>99</v>
      </c>
      <c r="B46" s="6">
        <v>45607</v>
      </c>
      <c r="C46" s="10" t="s">
        <v>44</v>
      </c>
      <c r="D46" s="5">
        <v>2024</v>
      </c>
      <c r="E46" s="9" t="s">
        <v>593</v>
      </c>
      <c r="F46" s="9" t="s">
        <v>41</v>
      </c>
      <c r="G46" s="9" t="s">
        <v>611</v>
      </c>
      <c r="H46" s="9" t="s">
        <v>622</v>
      </c>
      <c r="I46" s="9" t="s">
        <v>630</v>
      </c>
      <c r="J46" s="9" t="s">
        <v>615</v>
      </c>
      <c r="K46" s="9">
        <v>12</v>
      </c>
      <c r="L46" s="9">
        <v>1200</v>
      </c>
      <c r="M46" s="5">
        <v>14400</v>
      </c>
      <c r="N46" s="9">
        <v>11232</v>
      </c>
      <c r="O46" s="9">
        <v>3168</v>
      </c>
      <c r="P46" s="17">
        <v>0.22</v>
      </c>
    </row>
    <row r="47" spans="1:16" ht="15.75" thickBot="1" x14ac:dyDescent="0.3">
      <c r="A47" s="13" t="s">
        <v>100</v>
      </c>
      <c r="B47" s="6">
        <v>45411</v>
      </c>
      <c r="C47" s="8" t="s">
        <v>53</v>
      </c>
      <c r="D47" s="5">
        <v>2024</v>
      </c>
      <c r="E47" s="7" t="s">
        <v>606</v>
      </c>
      <c r="F47" s="7" t="s">
        <v>40</v>
      </c>
      <c r="G47" s="7" t="s">
        <v>611</v>
      </c>
      <c r="H47" s="7" t="s">
        <v>620</v>
      </c>
      <c r="I47" s="7" t="s">
        <v>614</v>
      </c>
      <c r="J47" s="7" t="s">
        <v>615</v>
      </c>
      <c r="K47" s="7">
        <v>13</v>
      </c>
      <c r="L47" s="7">
        <v>300</v>
      </c>
      <c r="M47" s="5">
        <v>3900</v>
      </c>
      <c r="N47" s="7">
        <v>3237</v>
      </c>
      <c r="O47" s="7">
        <v>663</v>
      </c>
      <c r="P47" s="16">
        <v>0.17</v>
      </c>
    </row>
    <row r="48" spans="1:16" ht="15.75" thickBot="1" x14ac:dyDescent="0.3">
      <c r="A48" s="14" t="s">
        <v>101</v>
      </c>
      <c r="B48" s="6">
        <v>45370</v>
      </c>
      <c r="C48" s="10" t="s">
        <v>55</v>
      </c>
      <c r="D48" s="5">
        <v>2024</v>
      </c>
      <c r="E48" s="9" t="s">
        <v>593</v>
      </c>
      <c r="F48" s="9" t="s">
        <v>41</v>
      </c>
      <c r="G48" s="9" t="s">
        <v>610</v>
      </c>
      <c r="H48" s="9" t="s">
        <v>613</v>
      </c>
      <c r="I48" s="9" t="s">
        <v>623</v>
      </c>
      <c r="J48" s="9" t="s">
        <v>615</v>
      </c>
      <c r="K48" s="9">
        <v>10</v>
      </c>
      <c r="L48" s="9">
        <v>15000</v>
      </c>
      <c r="M48" s="5">
        <v>150000</v>
      </c>
      <c r="N48" s="9">
        <v>108000</v>
      </c>
      <c r="O48" s="9">
        <v>42000</v>
      </c>
      <c r="P48" s="17">
        <v>0.28000000000000003</v>
      </c>
    </row>
    <row r="49" spans="1:16" ht="15.75" thickBot="1" x14ac:dyDescent="0.3">
      <c r="A49" s="13" t="s">
        <v>102</v>
      </c>
      <c r="B49" s="6">
        <v>45393</v>
      </c>
      <c r="C49" s="8" t="s">
        <v>50</v>
      </c>
      <c r="D49" s="5">
        <v>2024</v>
      </c>
      <c r="E49" s="7" t="s">
        <v>592</v>
      </c>
      <c r="F49" s="7" t="s">
        <v>40</v>
      </c>
      <c r="G49" s="7" t="s">
        <v>610</v>
      </c>
      <c r="H49" s="7" t="s">
        <v>625</v>
      </c>
      <c r="I49" s="7" t="s">
        <v>617</v>
      </c>
      <c r="J49" s="7" t="s">
        <v>618</v>
      </c>
      <c r="K49" s="7">
        <v>20</v>
      </c>
      <c r="L49" s="7">
        <v>3500</v>
      </c>
      <c r="M49" s="5">
        <v>70000</v>
      </c>
      <c r="N49" s="7">
        <v>42000</v>
      </c>
      <c r="O49" s="7">
        <v>28000</v>
      </c>
      <c r="P49" s="16">
        <v>0.4</v>
      </c>
    </row>
    <row r="50" spans="1:16" ht="15.75" thickBot="1" x14ac:dyDescent="0.3">
      <c r="A50" s="14" t="s">
        <v>103</v>
      </c>
      <c r="B50" s="6">
        <v>45323</v>
      </c>
      <c r="C50" s="10" t="s">
        <v>55</v>
      </c>
      <c r="D50" s="5">
        <v>2024</v>
      </c>
      <c r="E50" s="9" t="s">
        <v>603</v>
      </c>
      <c r="F50" s="9" t="s">
        <v>42</v>
      </c>
      <c r="G50" s="9" t="s">
        <v>610</v>
      </c>
      <c r="H50" s="9" t="s">
        <v>626</v>
      </c>
      <c r="I50" s="9" t="s">
        <v>645</v>
      </c>
      <c r="J50" s="9" t="s">
        <v>615</v>
      </c>
      <c r="K50" s="9">
        <v>10</v>
      </c>
      <c r="L50" s="9">
        <v>7000</v>
      </c>
      <c r="M50" s="5">
        <v>70000</v>
      </c>
      <c r="N50" s="9">
        <v>54600</v>
      </c>
      <c r="O50" s="9">
        <v>15400</v>
      </c>
      <c r="P50" s="17">
        <v>0.22</v>
      </c>
    </row>
    <row r="51" spans="1:16" ht="15.75" thickBot="1" x14ac:dyDescent="0.3">
      <c r="A51" s="13" t="s">
        <v>104</v>
      </c>
      <c r="B51" s="6">
        <v>45569</v>
      </c>
      <c r="C51" s="8" t="s">
        <v>65</v>
      </c>
      <c r="D51" s="5">
        <v>2024</v>
      </c>
      <c r="E51" s="7" t="s">
        <v>600</v>
      </c>
      <c r="F51" s="7" t="s">
        <v>39</v>
      </c>
      <c r="G51" s="7" t="s">
        <v>612</v>
      </c>
      <c r="H51" s="7" t="s">
        <v>628</v>
      </c>
      <c r="I51" s="7" t="s">
        <v>614</v>
      </c>
      <c r="J51" s="7" t="s">
        <v>615</v>
      </c>
      <c r="K51" s="7">
        <v>14</v>
      </c>
      <c r="L51" s="7">
        <v>150</v>
      </c>
      <c r="M51" s="5">
        <v>2100</v>
      </c>
      <c r="N51" s="7">
        <v>1596</v>
      </c>
      <c r="O51" s="7">
        <v>504</v>
      </c>
      <c r="P51" s="16">
        <v>0.24</v>
      </c>
    </row>
    <row r="52" spans="1:16" ht="15.75" thickBot="1" x14ac:dyDescent="0.3">
      <c r="A52" s="14" t="s">
        <v>105</v>
      </c>
      <c r="B52" s="6">
        <v>45444</v>
      </c>
      <c r="C52" s="10" t="s">
        <v>53</v>
      </c>
      <c r="D52" s="5">
        <v>2024</v>
      </c>
      <c r="E52" s="9" t="s">
        <v>607</v>
      </c>
      <c r="F52" s="9" t="s">
        <v>42</v>
      </c>
      <c r="G52" s="9" t="s">
        <v>611</v>
      </c>
      <c r="H52" s="9" t="s">
        <v>620</v>
      </c>
      <c r="I52" s="9" t="s">
        <v>627</v>
      </c>
      <c r="J52" s="9" t="s">
        <v>618</v>
      </c>
      <c r="K52" s="9">
        <v>12</v>
      </c>
      <c r="L52" s="9">
        <v>8000</v>
      </c>
      <c r="M52" s="5">
        <v>96000</v>
      </c>
      <c r="N52" s="9">
        <v>63360</v>
      </c>
      <c r="O52" s="9">
        <v>32640</v>
      </c>
      <c r="P52" s="17">
        <v>0.34</v>
      </c>
    </row>
    <row r="53" spans="1:16" ht="15.75" thickBot="1" x14ac:dyDescent="0.3">
      <c r="A53" s="13" t="s">
        <v>106</v>
      </c>
      <c r="B53" s="6">
        <v>45576</v>
      </c>
      <c r="C53" s="8" t="s">
        <v>80</v>
      </c>
      <c r="D53" s="5">
        <v>2024</v>
      </c>
      <c r="E53" s="7" t="s">
        <v>604</v>
      </c>
      <c r="F53" s="7" t="s">
        <v>41</v>
      </c>
      <c r="G53" s="7" t="s">
        <v>609</v>
      </c>
      <c r="H53" s="7" t="s">
        <v>628</v>
      </c>
      <c r="I53" s="7" t="s">
        <v>627</v>
      </c>
      <c r="J53" s="7" t="s">
        <v>615</v>
      </c>
      <c r="K53" s="7">
        <v>8</v>
      </c>
      <c r="L53" s="7">
        <v>9000</v>
      </c>
      <c r="M53" s="5">
        <v>72000</v>
      </c>
      <c r="N53" s="7">
        <v>54720</v>
      </c>
      <c r="O53" s="7">
        <v>17280</v>
      </c>
      <c r="P53" s="16">
        <v>0.24</v>
      </c>
    </row>
    <row r="54" spans="1:16" ht="15.75" thickBot="1" x14ac:dyDescent="0.3">
      <c r="A54" s="14" t="s">
        <v>107</v>
      </c>
      <c r="B54" s="6">
        <v>45548</v>
      </c>
      <c r="C54" s="10" t="s">
        <v>59</v>
      </c>
      <c r="D54" s="5">
        <v>2024</v>
      </c>
      <c r="E54" s="9" t="s">
        <v>603</v>
      </c>
      <c r="F54" s="9" t="s">
        <v>42</v>
      </c>
      <c r="G54" s="9" t="s">
        <v>611</v>
      </c>
      <c r="H54" s="9" t="s">
        <v>629</v>
      </c>
      <c r="I54" s="9" t="s">
        <v>619</v>
      </c>
      <c r="J54" s="9" t="s">
        <v>615</v>
      </c>
      <c r="K54" s="9">
        <v>16</v>
      </c>
      <c r="L54" s="9">
        <v>20</v>
      </c>
      <c r="M54" s="5">
        <v>320</v>
      </c>
      <c r="N54" s="9">
        <v>224</v>
      </c>
      <c r="O54" s="9">
        <v>96</v>
      </c>
      <c r="P54" s="17">
        <v>0.3</v>
      </c>
    </row>
    <row r="55" spans="1:16" ht="15.75" thickBot="1" x14ac:dyDescent="0.3">
      <c r="A55" s="13" t="s">
        <v>108</v>
      </c>
      <c r="B55" s="6">
        <v>45501</v>
      </c>
      <c r="C55" s="8" t="s">
        <v>46</v>
      </c>
      <c r="D55" s="5">
        <v>2024</v>
      </c>
      <c r="E55" s="7" t="s">
        <v>598</v>
      </c>
      <c r="F55" s="7" t="s">
        <v>40</v>
      </c>
      <c r="G55" s="7" t="s">
        <v>611</v>
      </c>
      <c r="H55" s="7" t="s">
        <v>621</v>
      </c>
      <c r="I55" s="9" t="s">
        <v>645</v>
      </c>
      <c r="J55" s="7" t="s">
        <v>618</v>
      </c>
      <c r="K55" s="7">
        <v>18</v>
      </c>
      <c r="L55" s="7">
        <v>1200</v>
      </c>
      <c r="M55" s="5">
        <v>21600</v>
      </c>
      <c r="N55" s="7">
        <v>16632</v>
      </c>
      <c r="O55" s="7">
        <v>4968</v>
      </c>
      <c r="P55" s="16">
        <v>0.23</v>
      </c>
    </row>
    <row r="56" spans="1:16" ht="15.75" thickBot="1" x14ac:dyDescent="0.3">
      <c r="A56" s="14" t="s">
        <v>109</v>
      </c>
      <c r="B56" s="6">
        <v>45496</v>
      </c>
      <c r="C56" s="10" t="s">
        <v>44</v>
      </c>
      <c r="D56" s="5">
        <v>2024</v>
      </c>
      <c r="E56" s="9" t="s">
        <v>600</v>
      </c>
      <c r="F56" s="9" t="s">
        <v>39</v>
      </c>
      <c r="G56" s="9" t="s">
        <v>608</v>
      </c>
      <c r="H56" s="9" t="s">
        <v>620</v>
      </c>
      <c r="I56" s="9" t="s">
        <v>617</v>
      </c>
      <c r="J56" s="9" t="s">
        <v>615</v>
      </c>
      <c r="K56" s="9">
        <v>13</v>
      </c>
      <c r="L56" s="9">
        <v>4000</v>
      </c>
      <c r="M56" s="5">
        <v>52000</v>
      </c>
      <c r="N56" s="9">
        <v>37960</v>
      </c>
      <c r="O56" s="9">
        <v>14040</v>
      </c>
      <c r="P56" s="17">
        <v>0.27</v>
      </c>
    </row>
    <row r="57" spans="1:16" ht="15.75" thickBot="1" x14ac:dyDescent="0.3">
      <c r="A57" s="13" t="s">
        <v>110</v>
      </c>
      <c r="B57" s="6">
        <v>45606</v>
      </c>
      <c r="C57" s="8" t="s">
        <v>46</v>
      </c>
      <c r="D57" s="5">
        <v>2024</v>
      </c>
      <c r="E57" s="7" t="s">
        <v>596</v>
      </c>
      <c r="F57" s="7" t="s">
        <v>39</v>
      </c>
      <c r="G57" s="7" t="s">
        <v>612</v>
      </c>
      <c r="H57" s="7" t="s">
        <v>624</v>
      </c>
      <c r="I57" s="9" t="s">
        <v>645</v>
      </c>
      <c r="J57" s="7" t="s">
        <v>618</v>
      </c>
      <c r="K57" s="7">
        <v>2</v>
      </c>
      <c r="L57" s="7">
        <v>9000</v>
      </c>
      <c r="M57" s="5">
        <v>18000</v>
      </c>
      <c r="N57" s="7">
        <v>13680</v>
      </c>
      <c r="O57" s="7">
        <v>4320</v>
      </c>
      <c r="P57" s="16">
        <v>0.24</v>
      </c>
    </row>
    <row r="58" spans="1:16" ht="15.75" thickBot="1" x14ac:dyDescent="0.3">
      <c r="A58" s="14" t="s">
        <v>111</v>
      </c>
      <c r="B58" s="6">
        <v>45456</v>
      </c>
      <c r="C58" s="10" t="s">
        <v>48</v>
      </c>
      <c r="D58" s="5">
        <v>2024</v>
      </c>
      <c r="E58" s="9" t="s">
        <v>593</v>
      </c>
      <c r="F58" s="9" t="s">
        <v>41</v>
      </c>
      <c r="G58" s="9" t="s">
        <v>608</v>
      </c>
      <c r="H58" s="9" t="s">
        <v>616</v>
      </c>
      <c r="I58" s="9" t="s">
        <v>627</v>
      </c>
      <c r="J58" s="9" t="s">
        <v>618</v>
      </c>
      <c r="K58" s="9">
        <v>3</v>
      </c>
      <c r="L58" s="9">
        <v>150</v>
      </c>
      <c r="M58" s="5">
        <v>450</v>
      </c>
      <c r="N58" s="9">
        <v>378</v>
      </c>
      <c r="O58" s="9">
        <v>72</v>
      </c>
      <c r="P58" s="17">
        <v>0.16</v>
      </c>
    </row>
    <row r="59" spans="1:16" ht="15.75" thickBot="1" x14ac:dyDescent="0.3">
      <c r="A59" s="13" t="s">
        <v>112</v>
      </c>
      <c r="B59" s="6">
        <v>45305</v>
      </c>
      <c r="C59" s="8" t="s">
        <v>62</v>
      </c>
      <c r="D59" s="5">
        <v>2024</v>
      </c>
      <c r="E59" s="7" t="s">
        <v>598</v>
      </c>
      <c r="F59" s="7" t="s">
        <v>40</v>
      </c>
      <c r="G59" s="7" t="s">
        <v>611</v>
      </c>
      <c r="H59" s="7" t="s">
        <v>625</v>
      </c>
      <c r="I59" s="9" t="s">
        <v>645</v>
      </c>
      <c r="J59" s="7" t="s">
        <v>618</v>
      </c>
      <c r="K59" s="7">
        <v>15</v>
      </c>
      <c r="L59" s="7">
        <v>25000</v>
      </c>
      <c r="M59" s="5">
        <v>375000</v>
      </c>
      <c r="N59" s="7">
        <v>270000</v>
      </c>
      <c r="O59" s="7">
        <v>105000</v>
      </c>
      <c r="P59" s="16">
        <v>0.28000000000000003</v>
      </c>
    </row>
    <row r="60" spans="1:16" ht="15.75" thickBot="1" x14ac:dyDescent="0.3">
      <c r="A60" s="14" t="s">
        <v>113</v>
      </c>
      <c r="B60" s="6">
        <v>45637</v>
      </c>
      <c r="C60" s="10" t="s">
        <v>83</v>
      </c>
      <c r="D60" s="5">
        <v>2024</v>
      </c>
      <c r="E60" s="9" t="s">
        <v>602</v>
      </c>
      <c r="F60" s="9" t="s">
        <v>42</v>
      </c>
      <c r="G60" s="9" t="s">
        <v>609</v>
      </c>
      <c r="H60" s="9" t="s">
        <v>621</v>
      </c>
      <c r="I60" s="9" t="s">
        <v>645</v>
      </c>
      <c r="J60" s="9" t="s">
        <v>618</v>
      </c>
      <c r="K60" s="9">
        <v>1</v>
      </c>
      <c r="L60" s="9">
        <v>1200</v>
      </c>
      <c r="M60" s="5">
        <v>1200</v>
      </c>
      <c r="N60" s="9">
        <v>924</v>
      </c>
      <c r="O60" s="9">
        <v>276</v>
      </c>
      <c r="P60" s="17">
        <v>0.23</v>
      </c>
    </row>
    <row r="61" spans="1:16" ht="15.75" thickBot="1" x14ac:dyDescent="0.3">
      <c r="A61" s="13" t="s">
        <v>114</v>
      </c>
      <c r="B61" s="6">
        <v>45544</v>
      </c>
      <c r="C61" s="8" t="s">
        <v>46</v>
      </c>
      <c r="D61" s="5">
        <v>2024</v>
      </c>
      <c r="E61" s="7" t="s">
        <v>594</v>
      </c>
      <c r="F61" s="7" t="s">
        <v>39</v>
      </c>
      <c r="G61" s="7" t="s">
        <v>609</v>
      </c>
      <c r="H61" s="7" t="s">
        <v>620</v>
      </c>
      <c r="I61" s="7" t="s">
        <v>627</v>
      </c>
      <c r="J61" s="7" t="s">
        <v>615</v>
      </c>
      <c r="K61" s="7">
        <v>2</v>
      </c>
      <c r="L61" s="7">
        <v>45000</v>
      </c>
      <c r="M61" s="5">
        <v>90000</v>
      </c>
      <c r="N61" s="7">
        <v>71100</v>
      </c>
      <c r="O61" s="7">
        <v>18900</v>
      </c>
      <c r="P61" s="16">
        <v>0.21</v>
      </c>
    </row>
    <row r="62" spans="1:16" ht="15.75" thickBot="1" x14ac:dyDescent="0.3">
      <c r="A62" s="14" t="s">
        <v>115</v>
      </c>
      <c r="B62" s="6">
        <v>45323</v>
      </c>
      <c r="C62" s="10" t="s">
        <v>80</v>
      </c>
      <c r="D62" s="5">
        <v>2024</v>
      </c>
      <c r="E62" s="9" t="s">
        <v>602</v>
      </c>
      <c r="F62" s="9" t="s">
        <v>42</v>
      </c>
      <c r="G62" s="9" t="s">
        <v>608</v>
      </c>
      <c r="H62" s="9" t="s">
        <v>625</v>
      </c>
      <c r="I62" s="9" t="s">
        <v>623</v>
      </c>
      <c r="J62" s="9" t="s">
        <v>615</v>
      </c>
      <c r="K62" s="9">
        <v>20</v>
      </c>
      <c r="L62" s="9">
        <v>7000</v>
      </c>
      <c r="M62" s="5">
        <v>140000</v>
      </c>
      <c r="N62" s="9">
        <v>119000</v>
      </c>
      <c r="O62" s="9">
        <v>21000</v>
      </c>
      <c r="P62" s="17">
        <v>0.15</v>
      </c>
    </row>
    <row r="63" spans="1:16" ht="15.75" thickBot="1" x14ac:dyDescent="0.3">
      <c r="A63" s="13" t="s">
        <v>116</v>
      </c>
      <c r="B63" s="6">
        <v>45568</v>
      </c>
      <c r="C63" s="8" t="s">
        <v>48</v>
      </c>
      <c r="D63" s="5">
        <v>2024</v>
      </c>
      <c r="E63" s="7" t="s">
        <v>601</v>
      </c>
      <c r="F63" s="7" t="s">
        <v>41</v>
      </c>
      <c r="G63" s="7" t="s">
        <v>610</v>
      </c>
      <c r="H63" s="7" t="s">
        <v>613</v>
      </c>
      <c r="I63" s="7" t="s">
        <v>630</v>
      </c>
      <c r="J63" s="7" t="s">
        <v>618</v>
      </c>
      <c r="K63" s="7">
        <v>7</v>
      </c>
      <c r="L63" s="7">
        <v>8000</v>
      </c>
      <c r="M63" s="5">
        <v>56000</v>
      </c>
      <c r="N63" s="7">
        <v>38640</v>
      </c>
      <c r="O63" s="7">
        <v>17360</v>
      </c>
      <c r="P63" s="16">
        <v>0.31</v>
      </c>
    </row>
    <row r="64" spans="1:16" ht="15.75" thickBot="1" x14ac:dyDescent="0.3">
      <c r="A64" s="14" t="s">
        <v>117</v>
      </c>
      <c r="B64" s="6">
        <v>45418</v>
      </c>
      <c r="C64" s="10" t="s">
        <v>48</v>
      </c>
      <c r="D64" s="5">
        <v>2024</v>
      </c>
      <c r="E64" s="9" t="s">
        <v>597</v>
      </c>
      <c r="F64" s="9" t="s">
        <v>41</v>
      </c>
      <c r="G64" s="9" t="s">
        <v>611</v>
      </c>
      <c r="H64" s="9" t="s">
        <v>613</v>
      </c>
      <c r="I64" s="9" t="s">
        <v>627</v>
      </c>
      <c r="J64" s="9" t="s">
        <v>615</v>
      </c>
      <c r="K64" s="9">
        <v>14</v>
      </c>
      <c r="L64" s="9">
        <v>300</v>
      </c>
      <c r="M64" s="5">
        <v>4200</v>
      </c>
      <c r="N64" s="9">
        <v>3234</v>
      </c>
      <c r="O64" s="9">
        <v>966</v>
      </c>
      <c r="P64" s="17">
        <v>0.23</v>
      </c>
    </row>
    <row r="65" spans="1:16" ht="15.75" thickBot="1" x14ac:dyDescent="0.3">
      <c r="A65" s="13" t="s">
        <v>118</v>
      </c>
      <c r="B65" s="6">
        <v>45486</v>
      </c>
      <c r="C65" s="8" t="s">
        <v>50</v>
      </c>
      <c r="D65" s="5">
        <v>2024</v>
      </c>
      <c r="E65" s="7" t="s">
        <v>601</v>
      </c>
      <c r="F65" s="7" t="s">
        <v>41</v>
      </c>
      <c r="G65" s="7" t="s">
        <v>610</v>
      </c>
      <c r="H65" s="7" t="s">
        <v>625</v>
      </c>
      <c r="I65" s="9" t="s">
        <v>645</v>
      </c>
      <c r="J65" s="7" t="s">
        <v>618</v>
      </c>
      <c r="K65" s="7">
        <v>12</v>
      </c>
      <c r="L65" s="7">
        <v>300</v>
      </c>
      <c r="M65" s="5">
        <v>3600</v>
      </c>
      <c r="N65" s="7">
        <v>2160</v>
      </c>
      <c r="O65" s="7">
        <v>1440</v>
      </c>
      <c r="P65" s="16">
        <v>0.4</v>
      </c>
    </row>
    <row r="66" spans="1:16" ht="15.75" thickBot="1" x14ac:dyDescent="0.3">
      <c r="A66" s="14" t="s">
        <v>119</v>
      </c>
      <c r="B66" s="6">
        <v>45606</v>
      </c>
      <c r="C66" s="10" t="s">
        <v>48</v>
      </c>
      <c r="D66" s="5">
        <v>2024</v>
      </c>
      <c r="E66" s="9" t="s">
        <v>601</v>
      </c>
      <c r="F66" s="9" t="s">
        <v>41</v>
      </c>
      <c r="G66" s="9" t="s">
        <v>608</v>
      </c>
      <c r="H66" s="9" t="s">
        <v>620</v>
      </c>
      <c r="I66" s="9" t="s">
        <v>614</v>
      </c>
      <c r="J66" s="9" t="s">
        <v>615</v>
      </c>
      <c r="K66" s="9">
        <v>12</v>
      </c>
      <c r="L66" s="9">
        <v>50</v>
      </c>
      <c r="M66" s="5">
        <v>600</v>
      </c>
      <c r="N66" s="9">
        <v>498</v>
      </c>
      <c r="O66" s="9">
        <v>102</v>
      </c>
      <c r="P66" s="17">
        <v>0.17</v>
      </c>
    </row>
    <row r="67" spans="1:16" ht="15.75" thickBot="1" x14ac:dyDescent="0.3">
      <c r="A67" s="13" t="s">
        <v>120</v>
      </c>
      <c r="B67" s="6">
        <v>45631</v>
      </c>
      <c r="C67" s="8" t="s">
        <v>83</v>
      </c>
      <c r="D67" s="5">
        <v>2024</v>
      </c>
      <c r="E67" s="7" t="s">
        <v>599</v>
      </c>
      <c r="F67" s="7" t="s">
        <v>39</v>
      </c>
      <c r="G67" s="7" t="s">
        <v>611</v>
      </c>
      <c r="H67" s="7" t="s">
        <v>625</v>
      </c>
      <c r="I67" s="9" t="s">
        <v>645</v>
      </c>
      <c r="J67" s="7" t="s">
        <v>618</v>
      </c>
      <c r="K67" s="7">
        <v>1</v>
      </c>
      <c r="L67" s="7">
        <v>9000</v>
      </c>
      <c r="M67" s="5">
        <v>9000</v>
      </c>
      <c r="N67" s="7">
        <v>6300</v>
      </c>
      <c r="O67" s="7">
        <v>2700</v>
      </c>
      <c r="P67" s="16">
        <v>0.3</v>
      </c>
    </row>
    <row r="68" spans="1:16" ht="15.75" thickBot="1" x14ac:dyDescent="0.3">
      <c r="A68" s="14" t="s">
        <v>121</v>
      </c>
      <c r="B68" s="6">
        <v>45561</v>
      </c>
      <c r="C68" s="10" t="s">
        <v>44</v>
      </c>
      <c r="D68" s="5">
        <v>2024</v>
      </c>
      <c r="E68" s="9" t="s">
        <v>607</v>
      </c>
      <c r="F68" s="9" t="s">
        <v>42</v>
      </c>
      <c r="G68" s="9" t="s">
        <v>610</v>
      </c>
      <c r="H68" s="9" t="s">
        <v>620</v>
      </c>
      <c r="I68" s="9" t="s">
        <v>614</v>
      </c>
      <c r="J68" s="9" t="s">
        <v>615</v>
      </c>
      <c r="K68" s="9">
        <v>12</v>
      </c>
      <c r="L68" s="9">
        <v>150</v>
      </c>
      <c r="M68" s="5">
        <v>1800</v>
      </c>
      <c r="N68" s="9">
        <v>1350</v>
      </c>
      <c r="O68" s="9">
        <v>450</v>
      </c>
      <c r="P68" s="17">
        <v>0.25</v>
      </c>
    </row>
    <row r="69" spans="1:16" ht="15.75" thickBot="1" x14ac:dyDescent="0.3">
      <c r="A69" s="13" t="s">
        <v>122</v>
      </c>
      <c r="B69" s="6">
        <v>45519</v>
      </c>
      <c r="C69" s="8" t="s">
        <v>83</v>
      </c>
      <c r="D69" s="5">
        <v>2024</v>
      </c>
      <c r="E69" s="7" t="s">
        <v>595</v>
      </c>
      <c r="F69" s="7" t="s">
        <v>39</v>
      </c>
      <c r="G69" s="7" t="s">
        <v>609</v>
      </c>
      <c r="H69" s="7" t="s">
        <v>613</v>
      </c>
      <c r="I69" s="7" t="s">
        <v>617</v>
      </c>
      <c r="J69" s="7" t="s">
        <v>615</v>
      </c>
      <c r="K69" s="7">
        <v>17</v>
      </c>
      <c r="L69" s="7">
        <v>300</v>
      </c>
      <c r="M69" s="5">
        <v>5100</v>
      </c>
      <c r="N69" s="7">
        <v>4284</v>
      </c>
      <c r="O69" s="7">
        <v>816</v>
      </c>
      <c r="P69" s="16">
        <v>0.16</v>
      </c>
    </row>
    <row r="70" spans="1:16" ht="15.75" thickBot="1" x14ac:dyDescent="0.3">
      <c r="A70" s="14" t="s">
        <v>123</v>
      </c>
      <c r="B70" s="6">
        <v>45292</v>
      </c>
      <c r="C70" s="10" t="s">
        <v>57</v>
      </c>
      <c r="D70" s="5">
        <v>2024</v>
      </c>
      <c r="E70" s="9" t="s">
        <v>593</v>
      </c>
      <c r="F70" s="9" t="s">
        <v>41</v>
      </c>
      <c r="G70" s="9" t="s">
        <v>609</v>
      </c>
      <c r="H70" s="9" t="s">
        <v>620</v>
      </c>
      <c r="I70" s="9" t="s">
        <v>645</v>
      </c>
      <c r="J70" s="9" t="s">
        <v>618</v>
      </c>
      <c r="K70" s="9">
        <v>3</v>
      </c>
      <c r="L70" s="9">
        <v>1200</v>
      </c>
      <c r="M70" s="5">
        <v>3600</v>
      </c>
      <c r="N70" s="9">
        <v>3204</v>
      </c>
      <c r="O70" s="9">
        <v>396</v>
      </c>
      <c r="P70" s="17">
        <v>0.11</v>
      </c>
    </row>
    <row r="71" spans="1:16" ht="15.75" thickBot="1" x14ac:dyDescent="0.3">
      <c r="A71" s="13" t="s">
        <v>124</v>
      </c>
      <c r="B71" s="6">
        <v>45508</v>
      </c>
      <c r="C71" s="8" t="s">
        <v>62</v>
      </c>
      <c r="D71" s="5">
        <v>2024</v>
      </c>
      <c r="E71" s="7" t="s">
        <v>596</v>
      </c>
      <c r="F71" s="7" t="s">
        <v>39</v>
      </c>
      <c r="G71" s="7" t="s">
        <v>612</v>
      </c>
      <c r="H71" s="7" t="s">
        <v>625</v>
      </c>
      <c r="I71" s="7" t="s">
        <v>614</v>
      </c>
      <c r="J71" s="7" t="s">
        <v>618</v>
      </c>
      <c r="K71" s="7">
        <v>2</v>
      </c>
      <c r="L71" s="7">
        <v>20</v>
      </c>
      <c r="M71" s="5">
        <v>40</v>
      </c>
      <c r="N71" s="7">
        <v>29.2</v>
      </c>
      <c r="O71" s="7">
        <v>10.8</v>
      </c>
      <c r="P71" s="16">
        <v>0.27</v>
      </c>
    </row>
    <row r="72" spans="1:16" ht="15.75" thickBot="1" x14ac:dyDescent="0.3">
      <c r="A72" s="14" t="s">
        <v>125</v>
      </c>
      <c r="B72" s="6">
        <v>45433</v>
      </c>
      <c r="C72" s="10" t="s">
        <v>62</v>
      </c>
      <c r="D72" s="5">
        <v>2024</v>
      </c>
      <c r="E72" s="9" t="s">
        <v>592</v>
      </c>
      <c r="F72" s="9" t="s">
        <v>40</v>
      </c>
      <c r="G72" s="9" t="s">
        <v>609</v>
      </c>
      <c r="H72" s="9" t="s">
        <v>613</v>
      </c>
      <c r="I72" s="9" t="s">
        <v>614</v>
      </c>
      <c r="J72" s="9" t="s">
        <v>618</v>
      </c>
      <c r="K72" s="9">
        <v>4</v>
      </c>
      <c r="L72" s="9">
        <v>25000</v>
      </c>
      <c r="M72" s="5">
        <v>100000</v>
      </c>
      <c r="N72" s="9">
        <v>64000</v>
      </c>
      <c r="O72" s="9">
        <v>36000</v>
      </c>
      <c r="P72" s="17">
        <v>0.36</v>
      </c>
    </row>
    <row r="73" spans="1:16" ht="15.75" thickBot="1" x14ac:dyDescent="0.3">
      <c r="A73" s="13" t="s">
        <v>126</v>
      </c>
      <c r="B73" s="6">
        <v>45293</v>
      </c>
      <c r="C73" s="8" t="s">
        <v>80</v>
      </c>
      <c r="D73" s="5">
        <v>2024</v>
      </c>
      <c r="E73" s="7" t="s">
        <v>601</v>
      </c>
      <c r="F73" s="7" t="s">
        <v>41</v>
      </c>
      <c r="G73" s="7" t="s">
        <v>609</v>
      </c>
      <c r="H73" s="7" t="s">
        <v>625</v>
      </c>
      <c r="I73" s="7" t="s">
        <v>619</v>
      </c>
      <c r="J73" s="7" t="s">
        <v>618</v>
      </c>
      <c r="K73" s="7">
        <v>3</v>
      </c>
      <c r="L73" s="7">
        <v>300</v>
      </c>
      <c r="M73" s="5">
        <v>900</v>
      </c>
      <c r="N73" s="7">
        <v>693</v>
      </c>
      <c r="O73" s="7">
        <v>207</v>
      </c>
      <c r="P73" s="16">
        <v>0.23</v>
      </c>
    </row>
    <row r="74" spans="1:16" ht="15.75" thickBot="1" x14ac:dyDescent="0.3">
      <c r="A74" s="14" t="s">
        <v>127</v>
      </c>
      <c r="B74" s="6">
        <v>45448</v>
      </c>
      <c r="C74" s="10" t="s">
        <v>65</v>
      </c>
      <c r="D74" s="5">
        <v>2024</v>
      </c>
      <c r="E74" s="9" t="s">
        <v>607</v>
      </c>
      <c r="F74" s="9" t="s">
        <v>42</v>
      </c>
      <c r="G74" s="9" t="s">
        <v>612</v>
      </c>
      <c r="H74" s="9" t="s">
        <v>616</v>
      </c>
      <c r="I74" s="9" t="s">
        <v>630</v>
      </c>
      <c r="J74" s="9" t="s">
        <v>615</v>
      </c>
      <c r="K74" s="9">
        <v>17</v>
      </c>
      <c r="L74" s="9">
        <v>20</v>
      </c>
      <c r="M74" s="5">
        <v>340</v>
      </c>
      <c r="N74" s="9">
        <v>244.8</v>
      </c>
      <c r="O74" s="9">
        <v>95.199999999999989</v>
      </c>
      <c r="P74" s="17">
        <v>0.27999999999999997</v>
      </c>
    </row>
    <row r="75" spans="1:16" ht="15.75" thickBot="1" x14ac:dyDescent="0.3">
      <c r="A75" s="13" t="s">
        <v>128</v>
      </c>
      <c r="B75" s="6">
        <v>45404</v>
      </c>
      <c r="C75" s="8" t="s">
        <v>46</v>
      </c>
      <c r="D75" s="5">
        <v>2024</v>
      </c>
      <c r="E75" s="7" t="s">
        <v>595</v>
      </c>
      <c r="F75" s="7" t="s">
        <v>39</v>
      </c>
      <c r="G75" s="7" t="s">
        <v>608</v>
      </c>
      <c r="H75" s="7" t="s">
        <v>622</v>
      </c>
      <c r="I75" s="7" t="s">
        <v>619</v>
      </c>
      <c r="J75" s="7" t="s">
        <v>615</v>
      </c>
      <c r="K75" s="7">
        <v>8</v>
      </c>
      <c r="L75" s="7">
        <v>8000</v>
      </c>
      <c r="M75" s="5">
        <v>64000</v>
      </c>
      <c r="N75" s="7">
        <v>51200</v>
      </c>
      <c r="O75" s="7">
        <v>12800</v>
      </c>
      <c r="P75" s="16">
        <v>0.2</v>
      </c>
    </row>
    <row r="76" spans="1:16" ht="15.75" thickBot="1" x14ac:dyDescent="0.3">
      <c r="A76" s="14" t="s">
        <v>129</v>
      </c>
      <c r="B76" s="6">
        <v>45610</v>
      </c>
      <c r="C76" s="10" t="s">
        <v>46</v>
      </c>
      <c r="D76" s="5">
        <v>2024</v>
      </c>
      <c r="E76" s="9" t="s">
        <v>601</v>
      </c>
      <c r="F76" s="9" t="s">
        <v>41</v>
      </c>
      <c r="G76" s="9" t="s">
        <v>609</v>
      </c>
      <c r="H76" s="9" t="s">
        <v>626</v>
      </c>
      <c r="I76" s="9" t="s">
        <v>619</v>
      </c>
      <c r="J76" s="9" t="s">
        <v>618</v>
      </c>
      <c r="K76" s="9">
        <v>10</v>
      </c>
      <c r="L76" s="9">
        <v>300</v>
      </c>
      <c r="M76" s="5">
        <v>3000</v>
      </c>
      <c r="N76" s="9">
        <v>2190</v>
      </c>
      <c r="O76" s="9">
        <v>810</v>
      </c>
      <c r="P76" s="17">
        <v>0.27</v>
      </c>
    </row>
    <row r="77" spans="1:16" ht="15.75" thickBot="1" x14ac:dyDescent="0.3">
      <c r="A77" s="13" t="s">
        <v>130</v>
      </c>
      <c r="B77" s="6">
        <v>45557</v>
      </c>
      <c r="C77" s="8" t="s">
        <v>80</v>
      </c>
      <c r="D77" s="5">
        <v>2024</v>
      </c>
      <c r="E77" s="7" t="s">
        <v>596</v>
      </c>
      <c r="F77" s="7" t="s">
        <v>39</v>
      </c>
      <c r="G77" s="7" t="s">
        <v>610</v>
      </c>
      <c r="H77" s="7" t="s">
        <v>613</v>
      </c>
      <c r="I77" s="9" t="s">
        <v>645</v>
      </c>
      <c r="J77" s="7" t="s">
        <v>615</v>
      </c>
      <c r="K77" s="7">
        <v>9</v>
      </c>
      <c r="L77" s="7">
        <v>7000</v>
      </c>
      <c r="M77" s="5">
        <v>63000</v>
      </c>
      <c r="N77" s="7">
        <v>39060</v>
      </c>
      <c r="O77" s="7">
        <v>23940</v>
      </c>
      <c r="P77" s="16">
        <v>0.38</v>
      </c>
    </row>
    <row r="78" spans="1:16" ht="15.75" thickBot="1" x14ac:dyDescent="0.3">
      <c r="A78" s="14" t="s">
        <v>131</v>
      </c>
      <c r="B78" s="6">
        <v>45478</v>
      </c>
      <c r="C78" s="10" t="s">
        <v>62</v>
      </c>
      <c r="D78" s="5">
        <v>2024</v>
      </c>
      <c r="E78" s="9" t="s">
        <v>603</v>
      </c>
      <c r="F78" s="9" t="s">
        <v>42</v>
      </c>
      <c r="G78" s="9" t="s">
        <v>610</v>
      </c>
      <c r="H78" s="9" t="s">
        <v>616</v>
      </c>
      <c r="I78" s="9" t="s">
        <v>619</v>
      </c>
      <c r="J78" s="9" t="s">
        <v>615</v>
      </c>
      <c r="K78" s="9">
        <v>10</v>
      </c>
      <c r="L78" s="9">
        <v>55000</v>
      </c>
      <c r="M78" s="5">
        <v>550000</v>
      </c>
      <c r="N78" s="9">
        <v>434500</v>
      </c>
      <c r="O78" s="9">
        <v>115500</v>
      </c>
      <c r="P78" s="17">
        <v>0.21</v>
      </c>
    </row>
    <row r="79" spans="1:16" ht="15.75" thickBot="1" x14ac:dyDescent="0.3">
      <c r="A79" s="13" t="s">
        <v>132</v>
      </c>
      <c r="B79" s="6">
        <v>45453</v>
      </c>
      <c r="C79" s="8" t="s">
        <v>48</v>
      </c>
      <c r="D79" s="5">
        <v>2024</v>
      </c>
      <c r="E79" s="7" t="s">
        <v>605</v>
      </c>
      <c r="F79" s="7" t="s">
        <v>40</v>
      </c>
      <c r="G79" s="7" t="s">
        <v>609</v>
      </c>
      <c r="H79" s="7" t="s">
        <v>629</v>
      </c>
      <c r="I79" s="7" t="s">
        <v>630</v>
      </c>
      <c r="J79" s="7" t="s">
        <v>618</v>
      </c>
      <c r="K79" s="7">
        <v>20</v>
      </c>
      <c r="L79" s="7">
        <v>50</v>
      </c>
      <c r="M79" s="5">
        <v>1000</v>
      </c>
      <c r="N79" s="7">
        <v>670</v>
      </c>
      <c r="O79" s="7">
        <v>330</v>
      </c>
      <c r="P79" s="16">
        <v>0.33</v>
      </c>
    </row>
    <row r="80" spans="1:16" ht="15.75" thickBot="1" x14ac:dyDescent="0.3">
      <c r="A80" s="14" t="s">
        <v>133</v>
      </c>
      <c r="B80" s="6">
        <v>45317</v>
      </c>
      <c r="C80" s="10" t="s">
        <v>44</v>
      </c>
      <c r="D80" s="5">
        <v>2024</v>
      </c>
      <c r="E80" s="9" t="s">
        <v>592</v>
      </c>
      <c r="F80" s="9" t="s">
        <v>40</v>
      </c>
      <c r="G80" s="9" t="s">
        <v>608</v>
      </c>
      <c r="H80" s="9" t="s">
        <v>620</v>
      </c>
      <c r="I80" s="9" t="s">
        <v>614</v>
      </c>
      <c r="J80" s="9" t="s">
        <v>615</v>
      </c>
      <c r="K80" s="9">
        <v>18</v>
      </c>
      <c r="L80" s="9">
        <v>150</v>
      </c>
      <c r="M80" s="5">
        <v>2700</v>
      </c>
      <c r="N80" s="9">
        <v>1971</v>
      </c>
      <c r="O80" s="9">
        <v>729</v>
      </c>
      <c r="P80" s="17">
        <v>0.27</v>
      </c>
    </row>
    <row r="81" spans="1:16" ht="15.75" thickBot="1" x14ac:dyDescent="0.3">
      <c r="A81" s="13" t="s">
        <v>134</v>
      </c>
      <c r="B81" s="6">
        <v>45499</v>
      </c>
      <c r="C81" s="8" t="s">
        <v>80</v>
      </c>
      <c r="D81" s="5">
        <v>2024</v>
      </c>
      <c r="E81" s="7" t="s">
        <v>603</v>
      </c>
      <c r="F81" s="7" t="s">
        <v>42</v>
      </c>
      <c r="G81" s="7" t="s">
        <v>608</v>
      </c>
      <c r="H81" s="7" t="s">
        <v>629</v>
      </c>
      <c r="I81" s="7" t="s">
        <v>619</v>
      </c>
      <c r="J81" s="7" t="s">
        <v>618</v>
      </c>
      <c r="K81" s="7">
        <v>11</v>
      </c>
      <c r="L81" s="7">
        <v>50</v>
      </c>
      <c r="M81" s="5">
        <v>550</v>
      </c>
      <c r="N81" s="7">
        <v>401.5</v>
      </c>
      <c r="O81" s="7">
        <v>148.5</v>
      </c>
      <c r="P81" s="16">
        <v>0.27</v>
      </c>
    </row>
    <row r="82" spans="1:16" ht="15.75" thickBot="1" x14ac:dyDescent="0.3">
      <c r="A82" s="14" t="s">
        <v>135</v>
      </c>
      <c r="B82" s="6">
        <v>45402</v>
      </c>
      <c r="C82" s="10" t="s">
        <v>46</v>
      </c>
      <c r="D82" s="5">
        <v>2024</v>
      </c>
      <c r="E82" s="9" t="s">
        <v>597</v>
      </c>
      <c r="F82" s="9" t="s">
        <v>41</v>
      </c>
      <c r="G82" s="9" t="s">
        <v>612</v>
      </c>
      <c r="H82" s="9" t="s">
        <v>626</v>
      </c>
      <c r="I82" s="9" t="s">
        <v>645</v>
      </c>
      <c r="J82" s="9" t="s">
        <v>618</v>
      </c>
      <c r="K82" s="9">
        <v>10</v>
      </c>
      <c r="L82" s="9">
        <v>4000</v>
      </c>
      <c r="M82" s="5">
        <v>40000</v>
      </c>
      <c r="N82" s="9">
        <v>33200</v>
      </c>
      <c r="O82" s="9">
        <v>6800</v>
      </c>
      <c r="P82" s="17">
        <v>0.17</v>
      </c>
    </row>
    <row r="83" spans="1:16" ht="15.75" thickBot="1" x14ac:dyDescent="0.3">
      <c r="A83" s="13" t="s">
        <v>136</v>
      </c>
      <c r="B83" s="6">
        <v>45423</v>
      </c>
      <c r="C83" s="8" t="s">
        <v>65</v>
      </c>
      <c r="D83" s="5">
        <v>2024</v>
      </c>
      <c r="E83" s="7" t="s">
        <v>605</v>
      </c>
      <c r="F83" s="7" t="s">
        <v>40</v>
      </c>
      <c r="G83" s="7" t="s">
        <v>608</v>
      </c>
      <c r="H83" s="7" t="s">
        <v>629</v>
      </c>
      <c r="I83" s="7" t="s">
        <v>623</v>
      </c>
      <c r="J83" s="7" t="s">
        <v>615</v>
      </c>
      <c r="K83" s="7">
        <v>16</v>
      </c>
      <c r="L83" s="7">
        <v>8000</v>
      </c>
      <c r="M83" s="5">
        <v>128000</v>
      </c>
      <c r="N83" s="7">
        <v>104960</v>
      </c>
      <c r="O83" s="7">
        <v>23040</v>
      </c>
      <c r="P83" s="16">
        <v>0.18</v>
      </c>
    </row>
    <row r="84" spans="1:16" ht="15.75" thickBot="1" x14ac:dyDescent="0.3">
      <c r="A84" s="14" t="s">
        <v>137</v>
      </c>
      <c r="B84" s="6">
        <v>45484</v>
      </c>
      <c r="C84" s="10" t="s">
        <v>59</v>
      </c>
      <c r="D84" s="5">
        <v>2024</v>
      </c>
      <c r="E84" s="9" t="s">
        <v>606</v>
      </c>
      <c r="F84" s="9" t="s">
        <v>40</v>
      </c>
      <c r="G84" s="9" t="s">
        <v>612</v>
      </c>
      <c r="H84" s="9" t="s">
        <v>622</v>
      </c>
      <c r="I84" s="9" t="s">
        <v>617</v>
      </c>
      <c r="J84" s="9" t="s">
        <v>615</v>
      </c>
      <c r="K84" s="9">
        <v>18</v>
      </c>
      <c r="L84" s="9">
        <v>4000</v>
      </c>
      <c r="M84" s="5">
        <v>72000</v>
      </c>
      <c r="N84" s="9">
        <v>59040</v>
      </c>
      <c r="O84" s="9">
        <v>12960</v>
      </c>
      <c r="P84" s="17">
        <v>0.18</v>
      </c>
    </row>
    <row r="85" spans="1:16" ht="15.75" thickBot="1" x14ac:dyDescent="0.3">
      <c r="A85" s="13" t="s">
        <v>138</v>
      </c>
      <c r="B85" s="6">
        <v>45513</v>
      </c>
      <c r="C85" s="8" t="s">
        <v>57</v>
      </c>
      <c r="D85" s="5">
        <v>2024</v>
      </c>
      <c r="E85" s="7" t="s">
        <v>603</v>
      </c>
      <c r="F85" s="7" t="s">
        <v>42</v>
      </c>
      <c r="G85" s="7" t="s">
        <v>608</v>
      </c>
      <c r="H85" s="7" t="s">
        <v>629</v>
      </c>
      <c r="I85" s="9" t="s">
        <v>645</v>
      </c>
      <c r="J85" s="7" t="s">
        <v>615</v>
      </c>
      <c r="K85" s="7">
        <v>4</v>
      </c>
      <c r="L85" s="7">
        <v>12000</v>
      </c>
      <c r="M85" s="5">
        <v>48000</v>
      </c>
      <c r="N85" s="7">
        <v>34560</v>
      </c>
      <c r="O85" s="7">
        <v>13440</v>
      </c>
      <c r="P85" s="16">
        <v>0.28000000000000003</v>
      </c>
    </row>
    <row r="86" spans="1:16" ht="15.75" thickBot="1" x14ac:dyDescent="0.3">
      <c r="A86" s="14" t="s">
        <v>139</v>
      </c>
      <c r="B86" s="6">
        <v>45362</v>
      </c>
      <c r="C86" s="10" t="s">
        <v>65</v>
      </c>
      <c r="D86" s="5">
        <v>2024</v>
      </c>
      <c r="E86" s="9" t="s">
        <v>598</v>
      </c>
      <c r="F86" s="9" t="s">
        <v>40</v>
      </c>
      <c r="G86" s="9" t="s">
        <v>609</v>
      </c>
      <c r="H86" s="9" t="s">
        <v>621</v>
      </c>
      <c r="I86" s="9" t="s">
        <v>617</v>
      </c>
      <c r="J86" s="9" t="s">
        <v>618</v>
      </c>
      <c r="K86" s="9">
        <v>1</v>
      </c>
      <c r="L86" s="9">
        <v>150</v>
      </c>
      <c r="M86" s="5">
        <v>150</v>
      </c>
      <c r="N86" s="9">
        <v>132</v>
      </c>
      <c r="O86" s="9">
        <v>18</v>
      </c>
      <c r="P86" s="17">
        <v>0.12</v>
      </c>
    </row>
    <row r="87" spans="1:16" ht="15.75" thickBot="1" x14ac:dyDescent="0.3">
      <c r="A87" s="13" t="s">
        <v>140</v>
      </c>
      <c r="B87" s="6">
        <v>45629</v>
      </c>
      <c r="C87" s="8" t="s">
        <v>65</v>
      </c>
      <c r="D87" s="5">
        <v>2024</v>
      </c>
      <c r="E87" s="7" t="s">
        <v>603</v>
      </c>
      <c r="F87" s="7" t="s">
        <v>42</v>
      </c>
      <c r="G87" s="7" t="s">
        <v>611</v>
      </c>
      <c r="H87" s="7" t="s">
        <v>629</v>
      </c>
      <c r="I87" s="7" t="s">
        <v>619</v>
      </c>
      <c r="J87" s="7" t="s">
        <v>618</v>
      </c>
      <c r="K87" s="7">
        <v>17</v>
      </c>
      <c r="L87" s="7">
        <v>150</v>
      </c>
      <c r="M87" s="5">
        <v>2550</v>
      </c>
      <c r="N87" s="7">
        <v>1606.5</v>
      </c>
      <c r="O87" s="7">
        <v>943.5</v>
      </c>
      <c r="P87" s="16">
        <v>0.37</v>
      </c>
    </row>
    <row r="88" spans="1:16" ht="15.75" thickBot="1" x14ac:dyDescent="0.3">
      <c r="A88" s="14" t="s">
        <v>141</v>
      </c>
      <c r="B88" s="6">
        <v>45614</v>
      </c>
      <c r="C88" s="10" t="s">
        <v>55</v>
      </c>
      <c r="D88" s="5">
        <v>2024</v>
      </c>
      <c r="E88" s="9" t="s">
        <v>602</v>
      </c>
      <c r="F88" s="9" t="s">
        <v>42</v>
      </c>
      <c r="G88" s="9" t="s">
        <v>612</v>
      </c>
      <c r="H88" s="9" t="s">
        <v>613</v>
      </c>
      <c r="I88" s="9" t="s">
        <v>623</v>
      </c>
      <c r="J88" s="9" t="s">
        <v>615</v>
      </c>
      <c r="K88" s="9">
        <v>4</v>
      </c>
      <c r="L88" s="9">
        <v>20</v>
      </c>
      <c r="M88" s="5">
        <v>80</v>
      </c>
      <c r="N88" s="9">
        <v>58.4</v>
      </c>
      <c r="O88" s="9">
        <v>21.6</v>
      </c>
      <c r="P88" s="17">
        <v>0.27</v>
      </c>
    </row>
    <row r="89" spans="1:16" ht="15.75" thickBot="1" x14ac:dyDescent="0.3">
      <c r="A89" s="13" t="s">
        <v>142</v>
      </c>
      <c r="B89" s="6">
        <v>45595</v>
      </c>
      <c r="C89" s="8" t="s">
        <v>44</v>
      </c>
      <c r="D89" s="5">
        <v>2024</v>
      </c>
      <c r="E89" s="7" t="s">
        <v>599</v>
      </c>
      <c r="F89" s="7" t="s">
        <v>39</v>
      </c>
      <c r="G89" s="7" t="s">
        <v>612</v>
      </c>
      <c r="H89" s="7" t="s">
        <v>629</v>
      </c>
      <c r="I89" s="7" t="s">
        <v>614</v>
      </c>
      <c r="J89" s="7" t="s">
        <v>618</v>
      </c>
      <c r="K89" s="7">
        <v>1</v>
      </c>
      <c r="L89" s="7">
        <v>4000</v>
      </c>
      <c r="M89" s="5">
        <v>4000</v>
      </c>
      <c r="N89" s="7">
        <v>3120</v>
      </c>
      <c r="O89" s="7">
        <v>880</v>
      </c>
      <c r="P89" s="16">
        <v>0.22</v>
      </c>
    </row>
    <row r="90" spans="1:16" ht="15.75" thickBot="1" x14ac:dyDescent="0.3">
      <c r="A90" s="14" t="s">
        <v>143</v>
      </c>
      <c r="B90" s="6">
        <v>45343</v>
      </c>
      <c r="C90" s="10" t="s">
        <v>53</v>
      </c>
      <c r="D90" s="5">
        <v>2024</v>
      </c>
      <c r="E90" s="9" t="s">
        <v>593</v>
      </c>
      <c r="F90" s="9" t="s">
        <v>41</v>
      </c>
      <c r="G90" s="9" t="s">
        <v>609</v>
      </c>
      <c r="H90" s="9" t="s">
        <v>625</v>
      </c>
      <c r="I90" s="9" t="s">
        <v>645</v>
      </c>
      <c r="J90" s="9" t="s">
        <v>615</v>
      </c>
      <c r="K90" s="9">
        <v>1</v>
      </c>
      <c r="L90" s="9">
        <v>4000</v>
      </c>
      <c r="M90" s="5">
        <v>4000</v>
      </c>
      <c r="N90" s="9">
        <v>2600</v>
      </c>
      <c r="O90" s="9">
        <v>1400</v>
      </c>
      <c r="P90" s="17">
        <v>0.35</v>
      </c>
    </row>
    <row r="91" spans="1:16" ht="15.75" thickBot="1" x14ac:dyDescent="0.3">
      <c r="A91" s="13" t="s">
        <v>144</v>
      </c>
      <c r="B91" s="6">
        <v>45645</v>
      </c>
      <c r="C91" s="8" t="s">
        <v>57</v>
      </c>
      <c r="D91" s="5">
        <v>2024</v>
      </c>
      <c r="E91" s="7" t="s">
        <v>604</v>
      </c>
      <c r="F91" s="7" t="s">
        <v>41</v>
      </c>
      <c r="G91" s="7" t="s">
        <v>612</v>
      </c>
      <c r="H91" s="7" t="s">
        <v>622</v>
      </c>
      <c r="I91" s="9" t="s">
        <v>645</v>
      </c>
      <c r="J91" s="7" t="s">
        <v>618</v>
      </c>
      <c r="K91" s="7">
        <v>6</v>
      </c>
      <c r="L91" s="7">
        <v>300</v>
      </c>
      <c r="M91" s="5">
        <v>1800</v>
      </c>
      <c r="N91" s="7">
        <v>1152</v>
      </c>
      <c r="O91" s="7">
        <v>648</v>
      </c>
      <c r="P91" s="16">
        <v>0.36</v>
      </c>
    </row>
    <row r="92" spans="1:16" ht="15.75" thickBot="1" x14ac:dyDescent="0.3">
      <c r="A92" s="14" t="s">
        <v>145</v>
      </c>
      <c r="B92" s="6">
        <v>45293</v>
      </c>
      <c r="C92" s="10" t="s">
        <v>48</v>
      </c>
      <c r="D92" s="5">
        <v>2024</v>
      </c>
      <c r="E92" s="9" t="s">
        <v>593</v>
      </c>
      <c r="F92" s="9" t="s">
        <v>41</v>
      </c>
      <c r="G92" s="9" t="s">
        <v>609</v>
      </c>
      <c r="H92" s="9" t="s">
        <v>621</v>
      </c>
      <c r="I92" s="9" t="s">
        <v>619</v>
      </c>
      <c r="J92" s="9" t="s">
        <v>618</v>
      </c>
      <c r="K92" s="9">
        <v>2</v>
      </c>
      <c r="L92" s="9">
        <v>55000</v>
      </c>
      <c r="M92" s="5">
        <v>110000</v>
      </c>
      <c r="N92" s="9">
        <v>74800</v>
      </c>
      <c r="O92" s="9">
        <v>35200</v>
      </c>
      <c r="P92" s="17">
        <v>0.32</v>
      </c>
    </row>
    <row r="93" spans="1:16" ht="15.75" thickBot="1" x14ac:dyDescent="0.3">
      <c r="A93" s="13" t="s">
        <v>146</v>
      </c>
      <c r="B93" s="6">
        <v>45583</v>
      </c>
      <c r="C93" s="8" t="s">
        <v>55</v>
      </c>
      <c r="D93" s="5">
        <v>2024</v>
      </c>
      <c r="E93" s="7" t="s">
        <v>607</v>
      </c>
      <c r="F93" s="7" t="s">
        <v>42</v>
      </c>
      <c r="G93" s="7" t="s">
        <v>609</v>
      </c>
      <c r="H93" s="7" t="s">
        <v>625</v>
      </c>
      <c r="I93" s="9" t="s">
        <v>645</v>
      </c>
      <c r="J93" s="7" t="s">
        <v>618</v>
      </c>
      <c r="K93" s="7">
        <v>20</v>
      </c>
      <c r="L93" s="7">
        <v>50</v>
      </c>
      <c r="M93" s="5">
        <v>1000</v>
      </c>
      <c r="N93" s="7">
        <v>710</v>
      </c>
      <c r="O93" s="7">
        <v>290</v>
      </c>
      <c r="P93" s="16">
        <v>0.28999999999999998</v>
      </c>
    </row>
    <row r="94" spans="1:16" ht="15.75" thickBot="1" x14ac:dyDescent="0.3">
      <c r="A94" s="14" t="s">
        <v>147</v>
      </c>
      <c r="B94" s="6">
        <v>45554</v>
      </c>
      <c r="C94" s="10" t="s">
        <v>83</v>
      </c>
      <c r="D94" s="5">
        <v>2024</v>
      </c>
      <c r="E94" s="9" t="s">
        <v>596</v>
      </c>
      <c r="F94" s="9" t="s">
        <v>39</v>
      </c>
      <c r="G94" s="9" t="s">
        <v>610</v>
      </c>
      <c r="H94" s="9" t="s">
        <v>613</v>
      </c>
      <c r="I94" s="9" t="s">
        <v>617</v>
      </c>
      <c r="J94" s="9" t="s">
        <v>615</v>
      </c>
      <c r="K94" s="9">
        <v>5</v>
      </c>
      <c r="L94" s="9">
        <v>7000</v>
      </c>
      <c r="M94" s="5">
        <v>35000</v>
      </c>
      <c r="N94" s="9">
        <v>24500</v>
      </c>
      <c r="O94" s="9">
        <v>10500</v>
      </c>
      <c r="P94" s="17">
        <v>0.3</v>
      </c>
    </row>
    <row r="95" spans="1:16" ht="15.75" thickBot="1" x14ac:dyDescent="0.3">
      <c r="A95" s="13" t="s">
        <v>148</v>
      </c>
      <c r="B95" s="6">
        <v>45598</v>
      </c>
      <c r="C95" s="8" t="s">
        <v>48</v>
      </c>
      <c r="D95" s="5">
        <v>2024</v>
      </c>
      <c r="E95" s="7" t="s">
        <v>602</v>
      </c>
      <c r="F95" s="7" t="s">
        <v>42</v>
      </c>
      <c r="G95" s="7" t="s">
        <v>610</v>
      </c>
      <c r="H95" s="7" t="s">
        <v>626</v>
      </c>
      <c r="I95" s="7" t="s">
        <v>627</v>
      </c>
      <c r="J95" s="7" t="s">
        <v>618</v>
      </c>
      <c r="K95" s="7">
        <v>7</v>
      </c>
      <c r="L95" s="7">
        <v>3500</v>
      </c>
      <c r="M95" s="5">
        <v>24500</v>
      </c>
      <c r="N95" s="7">
        <v>15435</v>
      </c>
      <c r="O95" s="7">
        <v>9065</v>
      </c>
      <c r="P95" s="16">
        <v>0.37</v>
      </c>
    </row>
    <row r="96" spans="1:16" ht="15.75" thickBot="1" x14ac:dyDescent="0.3">
      <c r="A96" s="14" t="s">
        <v>149</v>
      </c>
      <c r="B96" s="6">
        <v>45597</v>
      </c>
      <c r="C96" s="10" t="s">
        <v>83</v>
      </c>
      <c r="D96" s="5">
        <v>2024</v>
      </c>
      <c r="E96" s="9" t="s">
        <v>601</v>
      </c>
      <c r="F96" s="9" t="s">
        <v>41</v>
      </c>
      <c r="G96" s="9" t="s">
        <v>611</v>
      </c>
      <c r="H96" s="9" t="s">
        <v>629</v>
      </c>
      <c r="I96" s="9" t="s">
        <v>630</v>
      </c>
      <c r="J96" s="9" t="s">
        <v>615</v>
      </c>
      <c r="K96" s="9">
        <v>9</v>
      </c>
      <c r="L96" s="9">
        <v>8000</v>
      </c>
      <c r="M96" s="5">
        <v>72000</v>
      </c>
      <c r="N96" s="9">
        <v>49680</v>
      </c>
      <c r="O96" s="9">
        <v>22320</v>
      </c>
      <c r="P96" s="17">
        <v>0.31</v>
      </c>
    </row>
    <row r="97" spans="1:16" ht="15.75" thickBot="1" x14ac:dyDescent="0.3">
      <c r="A97" s="13" t="s">
        <v>150</v>
      </c>
      <c r="B97" s="6">
        <v>45441</v>
      </c>
      <c r="C97" s="8" t="s">
        <v>46</v>
      </c>
      <c r="D97" s="5">
        <v>2024</v>
      </c>
      <c r="E97" s="7" t="s">
        <v>602</v>
      </c>
      <c r="F97" s="7" t="s">
        <v>42</v>
      </c>
      <c r="G97" s="7" t="s">
        <v>611</v>
      </c>
      <c r="H97" s="7" t="s">
        <v>616</v>
      </c>
      <c r="I97" s="7" t="s">
        <v>623</v>
      </c>
      <c r="J97" s="7" t="s">
        <v>618</v>
      </c>
      <c r="K97" s="7">
        <v>4</v>
      </c>
      <c r="L97" s="7">
        <v>150</v>
      </c>
      <c r="M97" s="5">
        <v>600</v>
      </c>
      <c r="N97" s="7">
        <v>390</v>
      </c>
      <c r="O97" s="7">
        <v>210</v>
      </c>
      <c r="P97" s="16">
        <v>0.35</v>
      </c>
    </row>
    <row r="98" spans="1:16" ht="15.75" thickBot="1" x14ac:dyDescent="0.3">
      <c r="A98" s="14" t="s">
        <v>151</v>
      </c>
      <c r="B98" s="6">
        <v>45318</v>
      </c>
      <c r="C98" s="10" t="s">
        <v>50</v>
      </c>
      <c r="D98" s="5">
        <v>2024</v>
      </c>
      <c r="E98" s="9" t="s">
        <v>599</v>
      </c>
      <c r="F98" s="9" t="s">
        <v>39</v>
      </c>
      <c r="G98" s="9" t="s">
        <v>612</v>
      </c>
      <c r="H98" s="9" t="s">
        <v>625</v>
      </c>
      <c r="I98" s="9" t="s">
        <v>645</v>
      </c>
      <c r="J98" s="9" t="s">
        <v>615</v>
      </c>
      <c r="K98" s="9">
        <v>8</v>
      </c>
      <c r="L98" s="9">
        <v>1200</v>
      </c>
      <c r="M98" s="5">
        <v>9600</v>
      </c>
      <c r="N98" s="9">
        <v>8352</v>
      </c>
      <c r="O98" s="9">
        <v>1248</v>
      </c>
      <c r="P98" s="17">
        <v>0.13</v>
      </c>
    </row>
    <row r="99" spans="1:16" ht="15.75" thickBot="1" x14ac:dyDescent="0.3">
      <c r="A99" s="13" t="s">
        <v>152</v>
      </c>
      <c r="B99" s="6">
        <v>45421</v>
      </c>
      <c r="C99" s="8" t="s">
        <v>80</v>
      </c>
      <c r="D99" s="5">
        <v>2024</v>
      </c>
      <c r="E99" s="7" t="s">
        <v>595</v>
      </c>
      <c r="F99" s="7" t="s">
        <v>39</v>
      </c>
      <c r="G99" s="7" t="s">
        <v>610</v>
      </c>
      <c r="H99" s="7" t="s">
        <v>616</v>
      </c>
      <c r="I99" s="9" t="s">
        <v>645</v>
      </c>
      <c r="J99" s="7" t="s">
        <v>615</v>
      </c>
      <c r="K99" s="7">
        <v>16</v>
      </c>
      <c r="L99" s="7">
        <v>15000</v>
      </c>
      <c r="M99" s="5">
        <v>240000</v>
      </c>
      <c r="N99" s="7">
        <v>192000</v>
      </c>
      <c r="O99" s="7">
        <v>48000</v>
      </c>
      <c r="P99" s="16">
        <v>0.2</v>
      </c>
    </row>
    <row r="100" spans="1:16" ht="15.75" thickBot="1" x14ac:dyDescent="0.3">
      <c r="A100" s="14" t="s">
        <v>153</v>
      </c>
      <c r="B100" s="6">
        <v>45442</v>
      </c>
      <c r="C100" s="10" t="s">
        <v>53</v>
      </c>
      <c r="D100" s="5">
        <v>2024</v>
      </c>
      <c r="E100" s="9" t="s">
        <v>607</v>
      </c>
      <c r="F100" s="9" t="s">
        <v>42</v>
      </c>
      <c r="G100" s="9" t="s">
        <v>608</v>
      </c>
      <c r="H100" s="9" t="s">
        <v>626</v>
      </c>
      <c r="I100" s="9" t="s">
        <v>645</v>
      </c>
      <c r="J100" s="9" t="s">
        <v>618</v>
      </c>
      <c r="K100" s="9">
        <v>16</v>
      </c>
      <c r="L100" s="9">
        <v>25000</v>
      </c>
      <c r="M100" s="5">
        <v>400000</v>
      </c>
      <c r="N100" s="9">
        <v>320000</v>
      </c>
      <c r="O100" s="9">
        <v>80000</v>
      </c>
      <c r="P100" s="17">
        <v>0.2</v>
      </c>
    </row>
    <row r="101" spans="1:16" ht="15.75" thickBot="1" x14ac:dyDescent="0.3">
      <c r="A101" s="13" t="s">
        <v>154</v>
      </c>
      <c r="B101" s="6">
        <v>45491</v>
      </c>
      <c r="C101" s="8" t="s">
        <v>59</v>
      </c>
      <c r="D101" s="5">
        <v>2024</v>
      </c>
      <c r="E101" s="7" t="s">
        <v>603</v>
      </c>
      <c r="F101" s="7" t="s">
        <v>42</v>
      </c>
      <c r="G101" s="7" t="s">
        <v>612</v>
      </c>
      <c r="H101" s="7" t="s">
        <v>620</v>
      </c>
      <c r="I101" s="7" t="s">
        <v>623</v>
      </c>
      <c r="J101" s="7" t="s">
        <v>618</v>
      </c>
      <c r="K101" s="7">
        <v>15</v>
      </c>
      <c r="L101" s="7">
        <v>55000</v>
      </c>
      <c r="M101" s="5">
        <v>825000</v>
      </c>
      <c r="N101" s="7">
        <v>701250</v>
      </c>
      <c r="O101" s="7">
        <v>123750</v>
      </c>
      <c r="P101" s="16">
        <v>0.15</v>
      </c>
    </row>
    <row r="102" spans="1:16" ht="15.75" thickBot="1" x14ac:dyDescent="0.3">
      <c r="A102" s="14" t="s">
        <v>155</v>
      </c>
      <c r="B102" s="6">
        <v>45612</v>
      </c>
      <c r="C102" s="10" t="s">
        <v>50</v>
      </c>
      <c r="D102" s="5">
        <v>2024</v>
      </c>
      <c r="E102" s="9" t="s">
        <v>592</v>
      </c>
      <c r="F102" s="9" t="s">
        <v>40</v>
      </c>
      <c r="G102" s="9" t="s">
        <v>610</v>
      </c>
      <c r="H102" s="9" t="s">
        <v>616</v>
      </c>
      <c r="I102" s="9" t="s">
        <v>617</v>
      </c>
      <c r="J102" s="9" t="s">
        <v>615</v>
      </c>
      <c r="K102" s="9">
        <v>19</v>
      </c>
      <c r="L102" s="9">
        <v>12000</v>
      </c>
      <c r="M102" s="5">
        <v>228000</v>
      </c>
      <c r="N102" s="9">
        <v>148200</v>
      </c>
      <c r="O102" s="9">
        <v>79800</v>
      </c>
      <c r="P102" s="17">
        <v>0.35</v>
      </c>
    </row>
    <row r="103" spans="1:16" ht="15.75" thickBot="1" x14ac:dyDescent="0.3">
      <c r="A103" s="13" t="s">
        <v>156</v>
      </c>
      <c r="B103" s="6">
        <v>45323</v>
      </c>
      <c r="C103" s="8" t="s">
        <v>59</v>
      </c>
      <c r="D103" s="5">
        <v>2024</v>
      </c>
      <c r="E103" s="7" t="s">
        <v>597</v>
      </c>
      <c r="F103" s="7" t="s">
        <v>41</v>
      </c>
      <c r="G103" s="7" t="s">
        <v>609</v>
      </c>
      <c r="H103" s="7" t="s">
        <v>629</v>
      </c>
      <c r="I103" s="7" t="s">
        <v>630</v>
      </c>
      <c r="J103" s="7" t="s">
        <v>618</v>
      </c>
      <c r="K103" s="7">
        <v>11</v>
      </c>
      <c r="L103" s="7">
        <v>50</v>
      </c>
      <c r="M103" s="5">
        <v>550</v>
      </c>
      <c r="N103" s="7">
        <v>478.5</v>
      </c>
      <c r="O103" s="7">
        <v>71.5</v>
      </c>
      <c r="P103" s="16">
        <v>0.13</v>
      </c>
    </row>
    <row r="104" spans="1:16" ht="15.75" thickBot="1" x14ac:dyDescent="0.3">
      <c r="A104" s="14" t="s">
        <v>157</v>
      </c>
      <c r="B104" s="6">
        <v>45353</v>
      </c>
      <c r="C104" s="10" t="s">
        <v>50</v>
      </c>
      <c r="D104" s="5">
        <v>2024</v>
      </c>
      <c r="E104" s="9" t="s">
        <v>598</v>
      </c>
      <c r="F104" s="9" t="s">
        <v>40</v>
      </c>
      <c r="G104" s="9" t="s">
        <v>610</v>
      </c>
      <c r="H104" s="9" t="s">
        <v>620</v>
      </c>
      <c r="I104" s="9" t="s">
        <v>645</v>
      </c>
      <c r="J104" s="9" t="s">
        <v>618</v>
      </c>
      <c r="K104" s="9">
        <v>9</v>
      </c>
      <c r="L104" s="9">
        <v>3500</v>
      </c>
      <c r="M104" s="5">
        <v>31500</v>
      </c>
      <c r="N104" s="9">
        <v>26460</v>
      </c>
      <c r="O104" s="9">
        <v>5040</v>
      </c>
      <c r="P104" s="17">
        <v>0.16</v>
      </c>
    </row>
    <row r="105" spans="1:16" ht="15.75" thickBot="1" x14ac:dyDescent="0.3">
      <c r="A105" s="13" t="s">
        <v>158</v>
      </c>
      <c r="B105" s="6">
        <v>45625</v>
      </c>
      <c r="C105" s="8" t="s">
        <v>62</v>
      </c>
      <c r="D105" s="5">
        <v>2024</v>
      </c>
      <c r="E105" s="7" t="s">
        <v>599</v>
      </c>
      <c r="F105" s="7" t="s">
        <v>39</v>
      </c>
      <c r="G105" s="7" t="s">
        <v>610</v>
      </c>
      <c r="H105" s="7" t="s">
        <v>621</v>
      </c>
      <c r="I105" s="9" t="s">
        <v>645</v>
      </c>
      <c r="J105" s="7" t="s">
        <v>615</v>
      </c>
      <c r="K105" s="7">
        <v>17</v>
      </c>
      <c r="L105" s="7">
        <v>12000</v>
      </c>
      <c r="M105" s="5">
        <v>204000</v>
      </c>
      <c r="N105" s="7">
        <v>159120</v>
      </c>
      <c r="O105" s="7">
        <v>44880</v>
      </c>
      <c r="P105" s="16">
        <v>0.22</v>
      </c>
    </row>
    <row r="106" spans="1:16" ht="15.75" thickBot="1" x14ac:dyDescent="0.3">
      <c r="A106" s="14" t="s">
        <v>159</v>
      </c>
      <c r="B106" s="6">
        <v>45377</v>
      </c>
      <c r="C106" s="10" t="s">
        <v>80</v>
      </c>
      <c r="D106" s="5">
        <v>2024</v>
      </c>
      <c r="E106" s="9" t="s">
        <v>594</v>
      </c>
      <c r="F106" s="9" t="s">
        <v>39</v>
      </c>
      <c r="G106" s="9" t="s">
        <v>609</v>
      </c>
      <c r="H106" s="9" t="s">
        <v>613</v>
      </c>
      <c r="I106" s="9" t="s">
        <v>630</v>
      </c>
      <c r="J106" s="9" t="s">
        <v>615</v>
      </c>
      <c r="K106" s="9">
        <v>14</v>
      </c>
      <c r="L106" s="9">
        <v>300</v>
      </c>
      <c r="M106" s="5">
        <v>4200</v>
      </c>
      <c r="N106" s="9">
        <v>3612</v>
      </c>
      <c r="O106" s="9">
        <v>588</v>
      </c>
      <c r="P106" s="17">
        <v>0.14000000000000001</v>
      </c>
    </row>
    <row r="107" spans="1:16" ht="15.75" thickBot="1" x14ac:dyDescent="0.3">
      <c r="A107" s="13" t="s">
        <v>160</v>
      </c>
      <c r="B107" s="6">
        <v>45330</v>
      </c>
      <c r="C107" s="8" t="s">
        <v>83</v>
      </c>
      <c r="D107" s="5">
        <v>2024</v>
      </c>
      <c r="E107" s="7" t="s">
        <v>599</v>
      </c>
      <c r="F107" s="7" t="s">
        <v>39</v>
      </c>
      <c r="G107" s="7" t="s">
        <v>610</v>
      </c>
      <c r="H107" s="7" t="s">
        <v>620</v>
      </c>
      <c r="I107" s="9" t="s">
        <v>645</v>
      </c>
      <c r="J107" s="7" t="s">
        <v>618</v>
      </c>
      <c r="K107" s="7">
        <v>13</v>
      </c>
      <c r="L107" s="7">
        <v>9000</v>
      </c>
      <c r="M107" s="5">
        <v>117000</v>
      </c>
      <c r="N107" s="7">
        <v>70200</v>
      </c>
      <c r="O107" s="7">
        <v>46800</v>
      </c>
      <c r="P107" s="16">
        <v>0.4</v>
      </c>
    </row>
    <row r="108" spans="1:16" ht="15.75" thickBot="1" x14ac:dyDescent="0.3">
      <c r="A108" s="14" t="s">
        <v>161</v>
      </c>
      <c r="B108" s="6">
        <v>45516</v>
      </c>
      <c r="C108" s="10" t="s">
        <v>83</v>
      </c>
      <c r="D108" s="5">
        <v>2024</v>
      </c>
      <c r="E108" s="9" t="s">
        <v>596</v>
      </c>
      <c r="F108" s="9" t="s">
        <v>39</v>
      </c>
      <c r="G108" s="9" t="s">
        <v>611</v>
      </c>
      <c r="H108" s="9" t="s">
        <v>621</v>
      </c>
      <c r="I108" s="9" t="s">
        <v>645</v>
      </c>
      <c r="J108" s="9" t="s">
        <v>618</v>
      </c>
      <c r="K108" s="9">
        <v>9</v>
      </c>
      <c r="L108" s="9">
        <v>1200</v>
      </c>
      <c r="M108" s="5">
        <v>10800</v>
      </c>
      <c r="N108" s="9">
        <v>9612</v>
      </c>
      <c r="O108" s="9">
        <v>1188</v>
      </c>
      <c r="P108" s="17">
        <v>0.11</v>
      </c>
    </row>
    <row r="109" spans="1:16" ht="15.75" thickBot="1" x14ac:dyDescent="0.3">
      <c r="A109" s="13" t="s">
        <v>162</v>
      </c>
      <c r="B109" s="6">
        <v>45553</v>
      </c>
      <c r="C109" s="8" t="s">
        <v>55</v>
      </c>
      <c r="D109" s="5">
        <v>2024</v>
      </c>
      <c r="E109" s="7" t="s">
        <v>593</v>
      </c>
      <c r="F109" s="7" t="s">
        <v>41</v>
      </c>
      <c r="G109" s="7" t="s">
        <v>609</v>
      </c>
      <c r="H109" s="7" t="s">
        <v>626</v>
      </c>
      <c r="I109" s="7" t="s">
        <v>623</v>
      </c>
      <c r="J109" s="7" t="s">
        <v>618</v>
      </c>
      <c r="K109" s="7">
        <v>18</v>
      </c>
      <c r="L109" s="7">
        <v>4000</v>
      </c>
      <c r="M109" s="5">
        <v>72000</v>
      </c>
      <c r="N109" s="7">
        <v>54720</v>
      </c>
      <c r="O109" s="7">
        <v>17280</v>
      </c>
      <c r="P109" s="16">
        <v>0.24</v>
      </c>
    </row>
    <row r="110" spans="1:16" ht="15.75" thickBot="1" x14ac:dyDescent="0.3">
      <c r="A110" s="14" t="s">
        <v>163</v>
      </c>
      <c r="B110" s="6">
        <v>45391</v>
      </c>
      <c r="C110" s="10" t="s">
        <v>44</v>
      </c>
      <c r="D110" s="5">
        <v>2024</v>
      </c>
      <c r="E110" s="9" t="s">
        <v>604</v>
      </c>
      <c r="F110" s="9" t="s">
        <v>41</v>
      </c>
      <c r="G110" s="9" t="s">
        <v>610</v>
      </c>
      <c r="H110" s="9" t="s">
        <v>622</v>
      </c>
      <c r="I110" s="9" t="s">
        <v>614</v>
      </c>
      <c r="J110" s="9" t="s">
        <v>618</v>
      </c>
      <c r="K110" s="9">
        <v>18</v>
      </c>
      <c r="L110" s="9">
        <v>8000</v>
      </c>
      <c r="M110" s="5">
        <v>144000</v>
      </c>
      <c r="N110" s="9">
        <v>113760</v>
      </c>
      <c r="O110" s="9">
        <v>30240</v>
      </c>
      <c r="P110" s="17">
        <v>0.21</v>
      </c>
    </row>
    <row r="111" spans="1:16" ht="15.75" thickBot="1" x14ac:dyDescent="0.3">
      <c r="A111" s="13" t="s">
        <v>164</v>
      </c>
      <c r="B111" s="6">
        <v>45514</v>
      </c>
      <c r="C111" s="8" t="s">
        <v>62</v>
      </c>
      <c r="D111" s="5">
        <v>2024</v>
      </c>
      <c r="E111" s="7" t="s">
        <v>599</v>
      </c>
      <c r="F111" s="7" t="s">
        <v>39</v>
      </c>
      <c r="G111" s="7" t="s">
        <v>612</v>
      </c>
      <c r="H111" s="7" t="s">
        <v>616</v>
      </c>
      <c r="I111" s="7" t="s">
        <v>627</v>
      </c>
      <c r="J111" s="7" t="s">
        <v>618</v>
      </c>
      <c r="K111" s="7">
        <v>20</v>
      </c>
      <c r="L111" s="7">
        <v>300</v>
      </c>
      <c r="M111" s="5">
        <v>6000</v>
      </c>
      <c r="N111" s="7">
        <v>3780</v>
      </c>
      <c r="O111" s="7">
        <v>2220</v>
      </c>
      <c r="P111" s="16">
        <v>0.37</v>
      </c>
    </row>
    <row r="112" spans="1:16" ht="15.75" thickBot="1" x14ac:dyDescent="0.3">
      <c r="A112" s="14" t="s">
        <v>165</v>
      </c>
      <c r="B112" s="6">
        <v>45408</v>
      </c>
      <c r="C112" s="10" t="s">
        <v>57</v>
      </c>
      <c r="D112" s="5">
        <v>2024</v>
      </c>
      <c r="E112" s="9" t="s">
        <v>595</v>
      </c>
      <c r="F112" s="9" t="s">
        <v>39</v>
      </c>
      <c r="G112" s="9" t="s">
        <v>609</v>
      </c>
      <c r="H112" s="9" t="s">
        <v>622</v>
      </c>
      <c r="I112" s="9" t="s">
        <v>617</v>
      </c>
      <c r="J112" s="9" t="s">
        <v>615</v>
      </c>
      <c r="K112" s="9">
        <v>9</v>
      </c>
      <c r="L112" s="9">
        <v>12000</v>
      </c>
      <c r="M112" s="5">
        <v>108000</v>
      </c>
      <c r="N112" s="9">
        <v>93960</v>
      </c>
      <c r="O112" s="9">
        <v>14040</v>
      </c>
      <c r="P112" s="17">
        <v>0.13</v>
      </c>
    </row>
    <row r="113" spans="1:16" ht="15.75" thickBot="1" x14ac:dyDescent="0.3">
      <c r="A113" s="13" t="s">
        <v>166</v>
      </c>
      <c r="B113" s="6">
        <v>45401</v>
      </c>
      <c r="C113" s="8" t="s">
        <v>83</v>
      </c>
      <c r="D113" s="5">
        <v>2024</v>
      </c>
      <c r="E113" s="7" t="s">
        <v>600</v>
      </c>
      <c r="F113" s="7" t="s">
        <v>39</v>
      </c>
      <c r="G113" s="7" t="s">
        <v>612</v>
      </c>
      <c r="H113" s="7" t="s">
        <v>624</v>
      </c>
      <c r="I113" s="9" t="s">
        <v>645</v>
      </c>
      <c r="J113" s="7" t="s">
        <v>615</v>
      </c>
      <c r="K113" s="7">
        <v>5</v>
      </c>
      <c r="L113" s="7">
        <v>8000</v>
      </c>
      <c r="M113" s="5">
        <v>40000</v>
      </c>
      <c r="N113" s="7">
        <v>32400</v>
      </c>
      <c r="O113" s="7">
        <v>7600</v>
      </c>
      <c r="P113" s="16">
        <v>0.19</v>
      </c>
    </row>
    <row r="114" spans="1:16" ht="15.75" thickBot="1" x14ac:dyDescent="0.3">
      <c r="A114" s="14" t="s">
        <v>167</v>
      </c>
      <c r="B114" s="6">
        <v>45379</v>
      </c>
      <c r="C114" s="10" t="s">
        <v>46</v>
      </c>
      <c r="D114" s="5">
        <v>2024</v>
      </c>
      <c r="E114" s="9" t="s">
        <v>597</v>
      </c>
      <c r="F114" s="9" t="s">
        <v>41</v>
      </c>
      <c r="G114" s="9" t="s">
        <v>610</v>
      </c>
      <c r="H114" s="9" t="s">
        <v>629</v>
      </c>
      <c r="I114" s="9" t="s">
        <v>623</v>
      </c>
      <c r="J114" s="9" t="s">
        <v>618</v>
      </c>
      <c r="K114" s="9">
        <v>11</v>
      </c>
      <c r="L114" s="9">
        <v>15000</v>
      </c>
      <c r="M114" s="5">
        <v>165000</v>
      </c>
      <c r="N114" s="9">
        <v>141900</v>
      </c>
      <c r="O114" s="9">
        <v>23100</v>
      </c>
      <c r="P114" s="17">
        <v>0.14000000000000001</v>
      </c>
    </row>
    <row r="115" spans="1:16" ht="15.75" thickBot="1" x14ac:dyDescent="0.3">
      <c r="A115" s="13" t="s">
        <v>168</v>
      </c>
      <c r="B115" s="6">
        <v>45583</v>
      </c>
      <c r="C115" s="8" t="s">
        <v>55</v>
      </c>
      <c r="D115" s="5">
        <v>2024</v>
      </c>
      <c r="E115" s="7" t="s">
        <v>607</v>
      </c>
      <c r="F115" s="7" t="s">
        <v>42</v>
      </c>
      <c r="G115" s="7" t="s">
        <v>609</v>
      </c>
      <c r="H115" s="7" t="s">
        <v>620</v>
      </c>
      <c r="I115" s="7" t="s">
        <v>623</v>
      </c>
      <c r="J115" s="7" t="s">
        <v>618</v>
      </c>
      <c r="K115" s="7">
        <v>20</v>
      </c>
      <c r="L115" s="7">
        <v>9000</v>
      </c>
      <c r="M115" s="5">
        <v>180000</v>
      </c>
      <c r="N115" s="7">
        <v>147600</v>
      </c>
      <c r="O115" s="7">
        <v>32400</v>
      </c>
      <c r="P115" s="16">
        <v>0.18</v>
      </c>
    </row>
    <row r="116" spans="1:16" ht="15.75" thickBot="1" x14ac:dyDescent="0.3">
      <c r="A116" s="14" t="s">
        <v>169</v>
      </c>
      <c r="B116" s="6">
        <v>45583</v>
      </c>
      <c r="C116" s="10" t="s">
        <v>59</v>
      </c>
      <c r="D116" s="5">
        <v>2024</v>
      </c>
      <c r="E116" s="9" t="s">
        <v>595</v>
      </c>
      <c r="F116" s="9" t="s">
        <v>39</v>
      </c>
      <c r="G116" s="9" t="s">
        <v>609</v>
      </c>
      <c r="H116" s="9" t="s">
        <v>613</v>
      </c>
      <c r="I116" s="9" t="s">
        <v>630</v>
      </c>
      <c r="J116" s="9" t="s">
        <v>615</v>
      </c>
      <c r="K116" s="9">
        <v>9</v>
      </c>
      <c r="L116" s="9">
        <v>55000</v>
      </c>
      <c r="M116" s="5">
        <v>495000</v>
      </c>
      <c r="N116" s="9">
        <v>326700</v>
      </c>
      <c r="O116" s="9">
        <v>168300</v>
      </c>
      <c r="P116" s="17">
        <v>0.34</v>
      </c>
    </row>
    <row r="117" spans="1:16" ht="15.75" thickBot="1" x14ac:dyDescent="0.3">
      <c r="A117" s="13" t="s">
        <v>170</v>
      </c>
      <c r="B117" s="6">
        <v>45348</v>
      </c>
      <c r="C117" s="8" t="s">
        <v>65</v>
      </c>
      <c r="D117" s="5">
        <v>2024</v>
      </c>
      <c r="E117" s="7" t="s">
        <v>595</v>
      </c>
      <c r="F117" s="7" t="s">
        <v>39</v>
      </c>
      <c r="G117" s="7" t="s">
        <v>608</v>
      </c>
      <c r="H117" s="7" t="s">
        <v>620</v>
      </c>
      <c r="I117" s="7" t="s">
        <v>619</v>
      </c>
      <c r="J117" s="7" t="s">
        <v>615</v>
      </c>
      <c r="K117" s="7">
        <v>18</v>
      </c>
      <c r="L117" s="7">
        <v>50</v>
      </c>
      <c r="M117" s="5">
        <v>900</v>
      </c>
      <c r="N117" s="7">
        <v>711</v>
      </c>
      <c r="O117" s="7">
        <v>189</v>
      </c>
      <c r="P117" s="16">
        <v>0.21</v>
      </c>
    </row>
    <row r="118" spans="1:16" ht="15.75" thickBot="1" x14ac:dyDescent="0.3">
      <c r="A118" s="14" t="s">
        <v>171</v>
      </c>
      <c r="B118" s="6">
        <v>45649</v>
      </c>
      <c r="C118" s="10" t="s">
        <v>59</v>
      </c>
      <c r="D118" s="5">
        <v>2024</v>
      </c>
      <c r="E118" s="9" t="s">
        <v>600</v>
      </c>
      <c r="F118" s="9" t="s">
        <v>39</v>
      </c>
      <c r="G118" s="9" t="s">
        <v>609</v>
      </c>
      <c r="H118" s="9" t="s">
        <v>625</v>
      </c>
      <c r="I118" s="9" t="s">
        <v>630</v>
      </c>
      <c r="J118" s="9" t="s">
        <v>615</v>
      </c>
      <c r="K118" s="9">
        <v>2</v>
      </c>
      <c r="L118" s="9">
        <v>50</v>
      </c>
      <c r="M118" s="5">
        <v>100</v>
      </c>
      <c r="N118" s="9">
        <v>69</v>
      </c>
      <c r="O118" s="9">
        <v>31</v>
      </c>
      <c r="P118" s="17">
        <v>0.31</v>
      </c>
    </row>
    <row r="119" spans="1:16" ht="15.75" thickBot="1" x14ac:dyDescent="0.3">
      <c r="A119" s="13" t="s">
        <v>172</v>
      </c>
      <c r="B119" s="6">
        <v>45331</v>
      </c>
      <c r="C119" s="8" t="s">
        <v>55</v>
      </c>
      <c r="D119" s="5">
        <v>2024</v>
      </c>
      <c r="E119" s="7" t="s">
        <v>605</v>
      </c>
      <c r="F119" s="7" t="s">
        <v>40</v>
      </c>
      <c r="G119" s="7" t="s">
        <v>612</v>
      </c>
      <c r="H119" s="7" t="s">
        <v>626</v>
      </c>
      <c r="I119" s="7" t="s">
        <v>630</v>
      </c>
      <c r="J119" s="7" t="s">
        <v>615</v>
      </c>
      <c r="K119" s="7">
        <v>2</v>
      </c>
      <c r="L119" s="7">
        <v>3500</v>
      </c>
      <c r="M119" s="5">
        <v>7000</v>
      </c>
      <c r="N119" s="7">
        <v>4340</v>
      </c>
      <c r="O119" s="7">
        <v>2660</v>
      </c>
      <c r="P119" s="16">
        <v>0.38</v>
      </c>
    </row>
    <row r="120" spans="1:16" ht="15.75" thickBot="1" x14ac:dyDescent="0.3">
      <c r="A120" s="14" t="s">
        <v>173</v>
      </c>
      <c r="B120" s="6">
        <v>45320</v>
      </c>
      <c r="C120" s="10" t="s">
        <v>53</v>
      </c>
      <c r="D120" s="5">
        <v>2024</v>
      </c>
      <c r="E120" s="9" t="s">
        <v>600</v>
      </c>
      <c r="F120" s="9" t="s">
        <v>39</v>
      </c>
      <c r="G120" s="9" t="s">
        <v>608</v>
      </c>
      <c r="H120" s="9" t="s">
        <v>628</v>
      </c>
      <c r="I120" s="9" t="s">
        <v>630</v>
      </c>
      <c r="J120" s="9" t="s">
        <v>618</v>
      </c>
      <c r="K120" s="9">
        <v>9</v>
      </c>
      <c r="L120" s="9">
        <v>20</v>
      </c>
      <c r="M120" s="5">
        <v>180</v>
      </c>
      <c r="N120" s="9">
        <v>131.4</v>
      </c>
      <c r="O120" s="9">
        <v>48.599999999999994</v>
      </c>
      <c r="P120" s="17">
        <v>0.26999999999999996</v>
      </c>
    </row>
    <row r="121" spans="1:16" ht="15.75" thickBot="1" x14ac:dyDescent="0.3">
      <c r="A121" s="13" t="s">
        <v>174</v>
      </c>
      <c r="B121" s="6">
        <v>45323</v>
      </c>
      <c r="C121" s="8" t="s">
        <v>57</v>
      </c>
      <c r="D121" s="5">
        <v>2024</v>
      </c>
      <c r="E121" s="7" t="s">
        <v>595</v>
      </c>
      <c r="F121" s="7" t="s">
        <v>39</v>
      </c>
      <c r="G121" s="7" t="s">
        <v>611</v>
      </c>
      <c r="H121" s="7" t="s">
        <v>629</v>
      </c>
      <c r="I121" s="9" t="s">
        <v>645</v>
      </c>
      <c r="J121" s="7" t="s">
        <v>615</v>
      </c>
      <c r="K121" s="7">
        <v>7</v>
      </c>
      <c r="L121" s="7">
        <v>3500</v>
      </c>
      <c r="M121" s="5">
        <v>24500</v>
      </c>
      <c r="N121" s="7">
        <v>21805</v>
      </c>
      <c r="O121" s="7">
        <v>2695</v>
      </c>
      <c r="P121" s="16">
        <v>0.11</v>
      </c>
    </row>
    <row r="122" spans="1:16" ht="15.75" thickBot="1" x14ac:dyDescent="0.3">
      <c r="A122" s="14" t="s">
        <v>175</v>
      </c>
      <c r="B122" s="6">
        <v>45516</v>
      </c>
      <c r="C122" s="10" t="s">
        <v>59</v>
      </c>
      <c r="D122" s="5">
        <v>2024</v>
      </c>
      <c r="E122" s="9" t="s">
        <v>603</v>
      </c>
      <c r="F122" s="9" t="s">
        <v>42</v>
      </c>
      <c r="G122" s="9" t="s">
        <v>608</v>
      </c>
      <c r="H122" s="9" t="s">
        <v>625</v>
      </c>
      <c r="I122" s="9" t="s">
        <v>630</v>
      </c>
      <c r="J122" s="9" t="s">
        <v>618</v>
      </c>
      <c r="K122" s="9">
        <v>3</v>
      </c>
      <c r="L122" s="9">
        <v>7000</v>
      </c>
      <c r="M122" s="5">
        <v>21000</v>
      </c>
      <c r="N122" s="9">
        <v>18690</v>
      </c>
      <c r="O122" s="9">
        <v>2310</v>
      </c>
      <c r="P122" s="17">
        <v>0.11</v>
      </c>
    </row>
    <row r="123" spans="1:16" ht="15.75" thickBot="1" x14ac:dyDescent="0.3">
      <c r="A123" s="13" t="s">
        <v>176</v>
      </c>
      <c r="B123" s="6">
        <v>45630</v>
      </c>
      <c r="C123" s="8" t="s">
        <v>48</v>
      </c>
      <c r="D123" s="5">
        <v>2024</v>
      </c>
      <c r="E123" s="7" t="s">
        <v>594</v>
      </c>
      <c r="F123" s="7" t="s">
        <v>39</v>
      </c>
      <c r="G123" s="7" t="s">
        <v>612</v>
      </c>
      <c r="H123" s="7" t="s">
        <v>629</v>
      </c>
      <c r="I123" s="7" t="s">
        <v>630</v>
      </c>
      <c r="J123" s="7" t="s">
        <v>615</v>
      </c>
      <c r="K123" s="7">
        <v>5</v>
      </c>
      <c r="L123" s="7">
        <v>150</v>
      </c>
      <c r="M123" s="5">
        <v>750</v>
      </c>
      <c r="N123" s="7">
        <v>622.5</v>
      </c>
      <c r="O123" s="7">
        <v>127.5</v>
      </c>
      <c r="P123" s="16">
        <v>0.17</v>
      </c>
    </row>
    <row r="124" spans="1:16" ht="15.75" thickBot="1" x14ac:dyDescent="0.3">
      <c r="A124" s="14" t="s">
        <v>177</v>
      </c>
      <c r="B124" s="6">
        <v>45571</v>
      </c>
      <c r="C124" s="10" t="s">
        <v>46</v>
      </c>
      <c r="D124" s="5">
        <v>2024</v>
      </c>
      <c r="E124" s="9" t="s">
        <v>600</v>
      </c>
      <c r="F124" s="9" t="s">
        <v>39</v>
      </c>
      <c r="G124" s="9" t="s">
        <v>611</v>
      </c>
      <c r="H124" s="9" t="s">
        <v>626</v>
      </c>
      <c r="I124" s="9" t="s">
        <v>627</v>
      </c>
      <c r="J124" s="9" t="s">
        <v>618</v>
      </c>
      <c r="K124" s="9">
        <v>9</v>
      </c>
      <c r="L124" s="9">
        <v>55000</v>
      </c>
      <c r="M124" s="5">
        <v>495000</v>
      </c>
      <c r="N124" s="9">
        <v>376200</v>
      </c>
      <c r="O124" s="9">
        <v>118800</v>
      </c>
      <c r="P124" s="17">
        <v>0.24</v>
      </c>
    </row>
    <row r="125" spans="1:16" ht="15.75" thickBot="1" x14ac:dyDescent="0.3">
      <c r="A125" s="13" t="s">
        <v>178</v>
      </c>
      <c r="B125" s="6">
        <v>45453</v>
      </c>
      <c r="C125" s="8" t="s">
        <v>62</v>
      </c>
      <c r="D125" s="5">
        <v>2024</v>
      </c>
      <c r="E125" s="7" t="s">
        <v>596</v>
      </c>
      <c r="F125" s="7" t="s">
        <v>39</v>
      </c>
      <c r="G125" s="7" t="s">
        <v>611</v>
      </c>
      <c r="H125" s="7" t="s">
        <v>624</v>
      </c>
      <c r="I125" s="7" t="s">
        <v>627</v>
      </c>
      <c r="J125" s="7" t="s">
        <v>615</v>
      </c>
      <c r="K125" s="7">
        <v>10</v>
      </c>
      <c r="L125" s="7">
        <v>15000</v>
      </c>
      <c r="M125" s="5">
        <v>150000</v>
      </c>
      <c r="N125" s="7">
        <v>118500</v>
      </c>
      <c r="O125" s="7">
        <v>31500</v>
      </c>
      <c r="P125" s="16">
        <v>0.21</v>
      </c>
    </row>
    <row r="126" spans="1:16" ht="15.75" thickBot="1" x14ac:dyDescent="0.3">
      <c r="A126" s="14" t="s">
        <v>179</v>
      </c>
      <c r="B126" s="6">
        <v>45624</v>
      </c>
      <c r="C126" s="10" t="s">
        <v>57</v>
      </c>
      <c r="D126" s="5">
        <v>2024</v>
      </c>
      <c r="E126" s="9" t="s">
        <v>594</v>
      </c>
      <c r="F126" s="9" t="s">
        <v>39</v>
      </c>
      <c r="G126" s="9" t="s">
        <v>612</v>
      </c>
      <c r="H126" s="9" t="s">
        <v>628</v>
      </c>
      <c r="I126" s="9" t="s">
        <v>645</v>
      </c>
      <c r="J126" s="9" t="s">
        <v>618</v>
      </c>
      <c r="K126" s="9">
        <v>5</v>
      </c>
      <c r="L126" s="9">
        <v>50</v>
      </c>
      <c r="M126" s="5">
        <v>250</v>
      </c>
      <c r="N126" s="9">
        <v>197.5</v>
      </c>
      <c r="O126" s="9">
        <v>52.5</v>
      </c>
      <c r="P126" s="17">
        <v>0.21</v>
      </c>
    </row>
    <row r="127" spans="1:16" ht="15.75" thickBot="1" x14ac:dyDescent="0.3">
      <c r="A127" s="13" t="s">
        <v>180</v>
      </c>
      <c r="B127" s="6">
        <v>45353</v>
      </c>
      <c r="C127" s="8" t="s">
        <v>53</v>
      </c>
      <c r="D127" s="5">
        <v>2024</v>
      </c>
      <c r="E127" s="7" t="s">
        <v>602</v>
      </c>
      <c r="F127" s="7" t="s">
        <v>42</v>
      </c>
      <c r="G127" s="7" t="s">
        <v>610</v>
      </c>
      <c r="H127" s="7" t="s">
        <v>626</v>
      </c>
      <c r="I127" s="7" t="s">
        <v>627</v>
      </c>
      <c r="J127" s="7" t="s">
        <v>615</v>
      </c>
      <c r="K127" s="7">
        <v>12</v>
      </c>
      <c r="L127" s="7">
        <v>20</v>
      </c>
      <c r="M127" s="5">
        <v>240</v>
      </c>
      <c r="N127" s="7">
        <v>192</v>
      </c>
      <c r="O127" s="7">
        <v>48</v>
      </c>
      <c r="P127" s="16">
        <v>0.2</v>
      </c>
    </row>
    <row r="128" spans="1:16" ht="15.75" thickBot="1" x14ac:dyDescent="0.3">
      <c r="A128" s="14" t="s">
        <v>181</v>
      </c>
      <c r="B128" s="6">
        <v>45353</v>
      </c>
      <c r="C128" s="10" t="s">
        <v>80</v>
      </c>
      <c r="D128" s="5">
        <v>2024</v>
      </c>
      <c r="E128" s="9" t="s">
        <v>598</v>
      </c>
      <c r="F128" s="9" t="s">
        <v>40</v>
      </c>
      <c r="G128" s="9" t="s">
        <v>609</v>
      </c>
      <c r="H128" s="9" t="s">
        <v>616</v>
      </c>
      <c r="I128" s="9" t="s">
        <v>645</v>
      </c>
      <c r="J128" s="9" t="s">
        <v>615</v>
      </c>
      <c r="K128" s="9">
        <v>19</v>
      </c>
      <c r="L128" s="9">
        <v>55000</v>
      </c>
      <c r="M128" s="5">
        <v>1045000</v>
      </c>
      <c r="N128" s="9">
        <v>836000</v>
      </c>
      <c r="O128" s="9">
        <v>209000</v>
      </c>
      <c r="P128" s="17">
        <v>0.2</v>
      </c>
    </row>
    <row r="129" spans="1:16" ht="15.75" thickBot="1" x14ac:dyDescent="0.3">
      <c r="A129" s="13" t="s">
        <v>182</v>
      </c>
      <c r="B129" s="6">
        <v>45423</v>
      </c>
      <c r="C129" s="8" t="s">
        <v>65</v>
      </c>
      <c r="D129" s="5">
        <v>2024</v>
      </c>
      <c r="E129" s="7" t="s">
        <v>606</v>
      </c>
      <c r="F129" s="7" t="s">
        <v>40</v>
      </c>
      <c r="G129" s="7" t="s">
        <v>610</v>
      </c>
      <c r="H129" s="7" t="s">
        <v>620</v>
      </c>
      <c r="I129" s="7" t="s">
        <v>614</v>
      </c>
      <c r="J129" s="7" t="s">
        <v>615</v>
      </c>
      <c r="K129" s="7">
        <v>17</v>
      </c>
      <c r="L129" s="7">
        <v>700</v>
      </c>
      <c r="M129" s="5">
        <v>11900</v>
      </c>
      <c r="N129" s="7">
        <v>9758</v>
      </c>
      <c r="O129" s="7">
        <v>2142</v>
      </c>
      <c r="P129" s="16">
        <v>0.18</v>
      </c>
    </row>
    <row r="130" spans="1:16" ht="15.75" thickBot="1" x14ac:dyDescent="0.3">
      <c r="A130" s="14" t="s">
        <v>183</v>
      </c>
      <c r="B130" s="6">
        <v>45532</v>
      </c>
      <c r="C130" s="10" t="s">
        <v>46</v>
      </c>
      <c r="D130" s="5">
        <v>2024</v>
      </c>
      <c r="E130" s="9" t="s">
        <v>597</v>
      </c>
      <c r="F130" s="9" t="s">
        <v>41</v>
      </c>
      <c r="G130" s="9" t="s">
        <v>608</v>
      </c>
      <c r="H130" s="9" t="s">
        <v>622</v>
      </c>
      <c r="I130" s="9" t="s">
        <v>627</v>
      </c>
      <c r="J130" s="9" t="s">
        <v>618</v>
      </c>
      <c r="K130" s="9">
        <v>11</v>
      </c>
      <c r="L130" s="9">
        <v>1200</v>
      </c>
      <c r="M130" s="5">
        <v>13200</v>
      </c>
      <c r="N130" s="9">
        <v>8184</v>
      </c>
      <c r="O130" s="9">
        <v>5016</v>
      </c>
      <c r="P130" s="17">
        <v>0.38</v>
      </c>
    </row>
    <row r="131" spans="1:16" ht="15.75" thickBot="1" x14ac:dyDescent="0.3">
      <c r="A131" s="13" t="s">
        <v>184</v>
      </c>
      <c r="B131" s="6">
        <v>45358</v>
      </c>
      <c r="C131" s="8" t="s">
        <v>59</v>
      </c>
      <c r="D131" s="5">
        <v>2024</v>
      </c>
      <c r="E131" s="7" t="s">
        <v>596</v>
      </c>
      <c r="F131" s="7" t="s">
        <v>39</v>
      </c>
      <c r="G131" s="7" t="s">
        <v>611</v>
      </c>
      <c r="H131" s="7" t="s">
        <v>621</v>
      </c>
      <c r="I131" s="7" t="s">
        <v>623</v>
      </c>
      <c r="J131" s="7" t="s">
        <v>618</v>
      </c>
      <c r="K131" s="7">
        <v>1</v>
      </c>
      <c r="L131" s="7">
        <v>12000</v>
      </c>
      <c r="M131" s="5">
        <v>12000</v>
      </c>
      <c r="N131" s="7">
        <v>10320</v>
      </c>
      <c r="O131" s="7">
        <v>1680</v>
      </c>
      <c r="P131" s="16">
        <v>0.14000000000000001</v>
      </c>
    </row>
    <row r="132" spans="1:16" ht="15.75" thickBot="1" x14ac:dyDescent="0.3">
      <c r="A132" s="14" t="s">
        <v>185</v>
      </c>
      <c r="B132" s="6">
        <v>45317</v>
      </c>
      <c r="C132" s="10" t="s">
        <v>80</v>
      </c>
      <c r="D132" s="5">
        <v>2024</v>
      </c>
      <c r="E132" s="9" t="s">
        <v>601</v>
      </c>
      <c r="F132" s="9" t="s">
        <v>41</v>
      </c>
      <c r="G132" s="9" t="s">
        <v>612</v>
      </c>
      <c r="H132" s="9" t="s">
        <v>616</v>
      </c>
      <c r="I132" s="9" t="s">
        <v>623</v>
      </c>
      <c r="J132" s="9" t="s">
        <v>618</v>
      </c>
      <c r="K132" s="9">
        <v>5</v>
      </c>
      <c r="L132" s="9">
        <v>300</v>
      </c>
      <c r="M132" s="5">
        <v>1500</v>
      </c>
      <c r="N132" s="9">
        <v>1065</v>
      </c>
      <c r="O132" s="9">
        <v>435</v>
      </c>
      <c r="P132" s="17">
        <v>0.28999999999999998</v>
      </c>
    </row>
    <row r="133" spans="1:16" ht="15.75" thickBot="1" x14ac:dyDescent="0.3">
      <c r="A133" s="13" t="s">
        <v>186</v>
      </c>
      <c r="B133" s="6">
        <v>45378</v>
      </c>
      <c r="C133" s="8" t="s">
        <v>59</v>
      </c>
      <c r="D133" s="5">
        <v>2024</v>
      </c>
      <c r="E133" s="7" t="s">
        <v>605</v>
      </c>
      <c r="F133" s="7" t="s">
        <v>40</v>
      </c>
      <c r="G133" s="7" t="s">
        <v>611</v>
      </c>
      <c r="H133" s="7" t="s">
        <v>621</v>
      </c>
      <c r="I133" s="9" t="s">
        <v>645</v>
      </c>
      <c r="J133" s="7" t="s">
        <v>618</v>
      </c>
      <c r="K133" s="7">
        <v>4</v>
      </c>
      <c r="L133" s="7">
        <v>9000</v>
      </c>
      <c r="M133" s="5">
        <v>36000</v>
      </c>
      <c r="N133" s="7">
        <v>32400</v>
      </c>
      <c r="O133" s="7">
        <v>3600</v>
      </c>
      <c r="P133" s="16">
        <v>0.1</v>
      </c>
    </row>
    <row r="134" spans="1:16" ht="15.75" thickBot="1" x14ac:dyDescent="0.3">
      <c r="A134" s="14" t="s">
        <v>187</v>
      </c>
      <c r="B134" s="6">
        <v>45388</v>
      </c>
      <c r="C134" s="10" t="s">
        <v>83</v>
      </c>
      <c r="D134" s="5">
        <v>2024</v>
      </c>
      <c r="E134" s="9" t="s">
        <v>603</v>
      </c>
      <c r="F134" s="9" t="s">
        <v>42</v>
      </c>
      <c r="G134" s="9" t="s">
        <v>611</v>
      </c>
      <c r="H134" s="9" t="s">
        <v>625</v>
      </c>
      <c r="I134" s="9" t="s">
        <v>614</v>
      </c>
      <c r="J134" s="9" t="s">
        <v>618</v>
      </c>
      <c r="K134" s="9">
        <v>9</v>
      </c>
      <c r="L134" s="9">
        <v>150</v>
      </c>
      <c r="M134" s="5">
        <v>1350</v>
      </c>
      <c r="N134" s="9">
        <v>810</v>
      </c>
      <c r="O134" s="9">
        <v>540</v>
      </c>
      <c r="P134" s="17">
        <v>0.4</v>
      </c>
    </row>
    <row r="135" spans="1:16" ht="15.75" thickBot="1" x14ac:dyDescent="0.3">
      <c r="A135" s="13" t="s">
        <v>188</v>
      </c>
      <c r="B135" s="6">
        <v>45357</v>
      </c>
      <c r="C135" s="8" t="s">
        <v>55</v>
      </c>
      <c r="D135" s="5">
        <v>2024</v>
      </c>
      <c r="E135" s="7" t="s">
        <v>597</v>
      </c>
      <c r="F135" s="7" t="s">
        <v>41</v>
      </c>
      <c r="G135" s="7" t="s">
        <v>612</v>
      </c>
      <c r="H135" s="7" t="s">
        <v>620</v>
      </c>
      <c r="I135" s="7" t="s">
        <v>614</v>
      </c>
      <c r="J135" s="7" t="s">
        <v>618</v>
      </c>
      <c r="K135" s="7">
        <v>2</v>
      </c>
      <c r="L135" s="7">
        <v>9000</v>
      </c>
      <c r="M135" s="5">
        <v>18000</v>
      </c>
      <c r="N135" s="7">
        <v>11340</v>
      </c>
      <c r="O135" s="7">
        <v>6660</v>
      </c>
      <c r="P135" s="16">
        <v>0.37</v>
      </c>
    </row>
    <row r="136" spans="1:16" ht="15.75" thickBot="1" x14ac:dyDescent="0.3">
      <c r="A136" s="14" t="s">
        <v>189</v>
      </c>
      <c r="B136" s="6">
        <v>45571</v>
      </c>
      <c r="C136" s="10" t="s">
        <v>59</v>
      </c>
      <c r="D136" s="5">
        <v>2024</v>
      </c>
      <c r="E136" s="9" t="s">
        <v>598</v>
      </c>
      <c r="F136" s="9" t="s">
        <v>40</v>
      </c>
      <c r="G136" s="9" t="s">
        <v>608</v>
      </c>
      <c r="H136" s="9" t="s">
        <v>624</v>
      </c>
      <c r="I136" s="9" t="s">
        <v>623</v>
      </c>
      <c r="J136" s="9" t="s">
        <v>618</v>
      </c>
      <c r="K136" s="9">
        <v>15</v>
      </c>
      <c r="L136" s="9">
        <v>700</v>
      </c>
      <c r="M136" s="5">
        <v>10500</v>
      </c>
      <c r="N136" s="9">
        <v>6510</v>
      </c>
      <c r="O136" s="9">
        <v>3990</v>
      </c>
      <c r="P136" s="17">
        <v>0.38</v>
      </c>
    </row>
    <row r="137" spans="1:16" ht="15.75" thickBot="1" x14ac:dyDescent="0.3">
      <c r="A137" s="13" t="s">
        <v>190</v>
      </c>
      <c r="B137" s="6">
        <v>45480</v>
      </c>
      <c r="C137" s="8" t="s">
        <v>62</v>
      </c>
      <c r="D137" s="5">
        <v>2024</v>
      </c>
      <c r="E137" s="7" t="s">
        <v>596</v>
      </c>
      <c r="F137" s="7" t="s">
        <v>39</v>
      </c>
      <c r="G137" s="7" t="s">
        <v>608</v>
      </c>
      <c r="H137" s="7" t="s">
        <v>628</v>
      </c>
      <c r="I137" s="7" t="s">
        <v>617</v>
      </c>
      <c r="J137" s="7" t="s">
        <v>615</v>
      </c>
      <c r="K137" s="7">
        <v>9</v>
      </c>
      <c r="L137" s="7">
        <v>15000</v>
      </c>
      <c r="M137" s="5">
        <v>135000</v>
      </c>
      <c r="N137" s="7">
        <v>117450</v>
      </c>
      <c r="O137" s="7">
        <v>17550</v>
      </c>
      <c r="P137" s="16">
        <v>0.13</v>
      </c>
    </row>
    <row r="138" spans="1:16" ht="15.75" thickBot="1" x14ac:dyDescent="0.3">
      <c r="A138" s="14" t="s">
        <v>191</v>
      </c>
      <c r="B138" s="6">
        <v>45462</v>
      </c>
      <c r="C138" s="10" t="s">
        <v>48</v>
      </c>
      <c r="D138" s="5">
        <v>2024</v>
      </c>
      <c r="E138" s="9" t="s">
        <v>599</v>
      </c>
      <c r="F138" s="9" t="s">
        <v>39</v>
      </c>
      <c r="G138" s="9" t="s">
        <v>612</v>
      </c>
      <c r="H138" s="9" t="s">
        <v>622</v>
      </c>
      <c r="I138" s="9" t="s">
        <v>645</v>
      </c>
      <c r="J138" s="9" t="s">
        <v>615</v>
      </c>
      <c r="K138" s="9">
        <v>15</v>
      </c>
      <c r="L138" s="9">
        <v>50</v>
      </c>
      <c r="M138" s="5">
        <v>750</v>
      </c>
      <c r="N138" s="9">
        <v>577.5</v>
      </c>
      <c r="O138" s="9">
        <v>172.5</v>
      </c>
      <c r="P138" s="17">
        <v>0.23</v>
      </c>
    </row>
    <row r="139" spans="1:16" ht="15.75" thickBot="1" x14ac:dyDescent="0.3">
      <c r="A139" s="13" t="s">
        <v>192</v>
      </c>
      <c r="B139" s="6">
        <v>45456</v>
      </c>
      <c r="C139" s="8" t="s">
        <v>83</v>
      </c>
      <c r="D139" s="5">
        <v>2024</v>
      </c>
      <c r="E139" s="7" t="s">
        <v>605</v>
      </c>
      <c r="F139" s="7" t="s">
        <v>40</v>
      </c>
      <c r="G139" s="7" t="s">
        <v>608</v>
      </c>
      <c r="H139" s="7" t="s">
        <v>626</v>
      </c>
      <c r="I139" s="7" t="s">
        <v>623</v>
      </c>
      <c r="J139" s="7" t="s">
        <v>615</v>
      </c>
      <c r="K139" s="7">
        <v>13</v>
      </c>
      <c r="L139" s="7">
        <v>8000</v>
      </c>
      <c r="M139" s="5">
        <v>104000</v>
      </c>
      <c r="N139" s="7">
        <v>79040</v>
      </c>
      <c r="O139" s="7">
        <v>24960</v>
      </c>
      <c r="P139" s="16">
        <v>0.24</v>
      </c>
    </row>
    <row r="140" spans="1:16" ht="15.75" thickBot="1" x14ac:dyDescent="0.3">
      <c r="A140" s="14" t="s">
        <v>193</v>
      </c>
      <c r="B140" s="6">
        <v>45472</v>
      </c>
      <c r="C140" s="10" t="s">
        <v>62</v>
      </c>
      <c r="D140" s="5">
        <v>2024</v>
      </c>
      <c r="E140" s="9" t="s">
        <v>598</v>
      </c>
      <c r="F140" s="9" t="s">
        <v>40</v>
      </c>
      <c r="G140" s="9" t="s">
        <v>611</v>
      </c>
      <c r="H140" s="9" t="s">
        <v>625</v>
      </c>
      <c r="I140" s="9" t="s">
        <v>617</v>
      </c>
      <c r="J140" s="9" t="s">
        <v>618</v>
      </c>
      <c r="K140" s="9">
        <v>15</v>
      </c>
      <c r="L140" s="9">
        <v>45000</v>
      </c>
      <c r="M140" s="5">
        <v>675000</v>
      </c>
      <c r="N140" s="9">
        <v>553500</v>
      </c>
      <c r="O140" s="9">
        <v>121500</v>
      </c>
      <c r="P140" s="17">
        <v>0.18</v>
      </c>
    </row>
    <row r="141" spans="1:16" ht="15.75" thickBot="1" x14ac:dyDescent="0.3">
      <c r="A141" s="13" t="s">
        <v>194</v>
      </c>
      <c r="B141" s="6">
        <v>45608</v>
      </c>
      <c r="C141" s="8" t="s">
        <v>46</v>
      </c>
      <c r="D141" s="5">
        <v>2024</v>
      </c>
      <c r="E141" s="7" t="s">
        <v>602</v>
      </c>
      <c r="F141" s="7" t="s">
        <v>42</v>
      </c>
      <c r="G141" s="7" t="s">
        <v>612</v>
      </c>
      <c r="H141" s="7" t="s">
        <v>613</v>
      </c>
      <c r="I141" s="7" t="s">
        <v>630</v>
      </c>
      <c r="J141" s="7" t="s">
        <v>615</v>
      </c>
      <c r="K141" s="7">
        <v>20</v>
      </c>
      <c r="L141" s="7">
        <v>50</v>
      </c>
      <c r="M141" s="5">
        <v>1000</v>
      </c>
      <c r="N141" s="7">
        <v>890</v>
      </c>
      <c r="O141" s="7">
        <v>110</v>
      </c>
      <c r="P141" s="16">
        <v>0.11</v>
      </c>
    </row>
    <row r="142" spans="1:16" ht="15.75" thickBot="1" x14ac:dyDescent="0.3">
      <c r="A142" s="14" t="s">
        <v>195</v>
      </c>
      <c r="B142" s="6">
        <v>45486</v>
      </c>
      <c r="C142" s="10" t="s">
        <v>65</v>
      </c>
      <c r="D142" s="5">
        <v>2024</v>
      </c>
      <c r="E142" s="9" t="s">
        <v>599</v>
      </c>
      <c r="F142" s="9" t="s">
        <v>39</v>
      </c>
      <c r="G142" s="9" t="s">
        <v>611</v>
      </c>
      <c r="H142" s="9" t="s">
        <v>620</v>
      </c>
      <c r="I142" s="9" t="s">
        <v>630</v>
      </c>
      <c r="J142" s="9" t="s">
        <v>615</v>
      </c>
      <c r="K142" s="9">
        <v>8</v>
      </c>
      <c r="L142" s="9">
        <v>150</v>
      </c>
      <c r="M142" s="5">
        <v>1200</v>
      </c>
      <c r="N142" s="9">
        <v>1020</v>
      </c>
      <c r="O142" s="9">
        <v>180</v>
      </c>
      <c r="P142" s="17">
        <v>0.15</v>
      </c>
    </row>
    <row r="143" spans="1:16" ht="15.75" thickBot="1" x14ac:dyDescent="0.3">
      <c r="A143" s="13" t="s">
        <v>196</v>
      </c>
      <c r="B143" s="6">
        <v>45600</v>
      </c>
      <c r="C143" s="8" t="s">
        <v>83</v>
      </c>
      <c r="D143" s="5">
        <v>2024</v>
      </c>
      <c r="E143" s="7" t="s">
        <v>597</v>
      </c>
      <c r="F143" s="7" t="s">
        <v>41</v>
      </c>
      <c r="G143" s="7" t="s">
        <v>611</v>
      </c>
      <c r="H143" s="7" t="s">
        <v>624</v>
      </c>
      <c r="I143" s="7" t="s">
        <v>617</v>
      </c>
      <c r="J143" s="7" t="s">
        <v>615</v>
      </c>
      <c r="K143" s="7">
        <v>17</v>
      </c>
      <c r="L143" s="7">
        <v>15000</v>
      </c>
      <c r="M143" s="5">
        <v>255000</v>
      </c>
      <c r="N143" s="7">
        <v>165750</v>
      </c>
      <c r="O143" s="7">
        <v>89250</v>
      </c>
      <c r="P143" s="16">
        <v>0.35</v>
      </c>
    </row>
    <row r="144" spans="1:16" ht="15.75" thickBot="1" x14ac:dyDescent="0.3">
      <c r="A144" s="14" t="s">
        <v>197</v>
      </c>
      <c r="B144" s="6">
        <v>45497</v>
      </c>
      <c r="C144" s="10" t="s">
        <v>59</v>
      </c>
      <c r="D144" s="5">
        <v>2024</v>
      </c>
      <c r="E144" s="9" t="s">
        <v>603</v>
      </c>
      <c r="F144" s="9" t="s">
        <v>42</v>
      </c>
      <c r="G144" s="9" t="s">
        <v>609</v>
      </c>
      <c r="H144" s="9" t="s">
        <v>625</v>
      </c>
      <c r="I144" s="9" t="s">
        <v>614</v>
      </c>
      <c r="J144" s="9" t="s">
        <v>618</v>
      </c>
      <c r="K144" s="9">
        <v>17</v>
      </c>
      <c r="L144" s="9">
        <v>12000</v>
      </c>
      <c r="M144" s="5">
        <v>204000</v>
      </c>
      <c r="N144" s="9">
        <v>177480</v>
      </c>
      <c r="O144" s="9">
        <v>26520</v>
      </c>
      <c r="P144" s="17">
        <v>0.13</v>
      </c>
    </row>
    <row r="145" spans="1:16" ht="15.75" thickBot="1" x14ac:dyDescent="0.3">
      <c r="A145" s="13" t="s">
        <v>198</v>
      </c>
      <c r="B145" s="6">
        <v>45541</v>
      </c>
      <c r="C145" s="8" t="s">
        <v>80</v>
      </c>
      <c r="D145" s="5">
        <v>2024</v>
      </c>
      <c r="E145" s="7" t="s">
        <v>592</v>
      </c>
      <c r="F145" s="7" t="s">
        <v>40</v>
      </c>
      <c r="G145" s="7" t="s">
        <v>608</v>
      </c>
      <c r="H145" s="7" t="s">
        <v>624</v>
      </c>
      <c r="I145" s="7" t="s">
        <v>617</v>
      </c>
      <c r="J145" s="7" t="s">
        <v>615</v>
      </c>
      <c r="K145" s="7">
        <v>4</v>
      </c>
      <c r="L145" s="7">
        <v>150</v>
      </c>
      <c r="M145" s="5">
        <v>600</v>
      </c>
      <c r="N145" s="7">
        <v>432</v>
      </c>
      <c r="O145" s="7">
        <v>168</v>
      </c>
      <c r="P145" s="16">
        <v>0.28000000000000003</v>
      </c>
    </row>
    <row r="146" spans="1:16" ht="15.75" thickBot="1" x14ac:dyDescent="0.3">
      <c r="A146" s="14" t="s">
        <v>199</v>
      </c>
      <c r="B146" s="6">
        <v>45448</v>
      </c>
      <c r="C146" s="10" t="s">
        <v>80</v>
      </c>
      <c r="D146" s="5">
        <v>2024</v>
      </c>
      <c r="E146" s="9" t="s">
        <v>602</v>
      </c>
      <c r="F146" s="9" t="s">
        <v>42</v>
      </c>
      <c r="G146" s="9" t="s">
        <v>612</v>
      </c>
      <c r="H146" s="9" t="s">
        <v>625</v>
      </c>
      <c r="I146" s="9" t="s">
        <v>627</v>
      </c>
      <c r="J146" s="9" t="s">
        <v>615</v>
      </c>
      <c r="K146" s="9">
        <v>17</v>
      </c>
      <c r="L146" s="9">
        <v>150</v>
      </c>
      <c r="M146" s="5">
        <v>2550</v>
      </c>
      <c r="N146" s="9">
        <v>2269.5</v>
      </c>
      <c r="O146" s="9">
        <v>280.5</v>
      </c>
      <c r="P146" s="17">
        <v>0.11</v>
      </c>
    </row>
    <row r="147" spans="1:16" ht="15.75" thickBot="1" x14ac:dyDescent="0.3">
      <c r="A147" s="13" t="s">
        <v>200</v>
      </c>
      <c r="B147" s="6">
        <v>45620</v>
      </c>
      <c r="C147" s="8" t="s">
        <v>48</v>
      </c>
      <c r="D147" s="5">
        <v>2024</v>
      </c>
      <c r="E147" s="7" t="s">
        <v>600</v>
      </c>
      <c r="F147" s="7" t="s">
        <v>39</v>
      </c>
      <c r="G147" s="7" t="s">
        <v>610</v>
      </c>
      <c r="H147" s="7" t="s">
        <v>616</v>
      </c>
      <c r="I147" s="7" t="s">
        <v>630</v>
      </c>
      <c r="J147" s="7" t="s">
        <v>615</v>
      </c>
      <c r="K147" s="7">
        <v>1</v>
      </c>
      <c r="L147" s="7">
        <v>8000</v>
      </c>
      <c r="M147" s="5">
        <v>8000</v>
      </c>
      <c r="N147" s="7">
        <v>5200</v>
      </c>
      <c r="O147" s="7">
        <v>2800</v>
      </c>
      <c r="P147" s="16">
        <v>0.35</v>
      </c>
    </row>
    <row r="148" spans="1:16" ht="15.75" thickBot="1" x14ac:dyDescent="0.3">
      <c r="A148" s="14" t="s">
        <v>201</v>
      </c>
      <c r="B148" s="6">
        <v>45329</v>
      </c>
      <c r="C148" s="10" t="s">
        <v>44</v>
      </c>
      <c r="D148" s="5">
        <v>2024</v>
      </c>
      <c r="E148" s="9" t="s">
        <v>598</v>
      </c>
      <c r="F148" s="9" t="s">
        <v>40</v>
      </c>
      <c r="G148" s="9" t="s">
        <v>609</v>
      </c>
      <c r="H148" s="9" t="s">
        <v>629</v>
      </c>
      <c r="I148" s="9" t="s">
        <v>630</v>
      </c>
      <c r="J148" s="9" t="s">
        <v>615</v>
      </c>
      <c r="K148" s="9">
        <v>5</v>
      </c>
      <c r="L148" s="9">
        <v>150</v>
      </c>
      <c r="M148" s="5">
        <v>750</v>
      </c>
      <c r="N148" s="9">
        <v>675</v>
      </c>
      <c r="O148" s="9">
        <v>75</v>
      </c>
      <c r="P148" s="17">
        <v>0.1</v>
      </c>
    </row>
    <row r="149" spans="1:16" ht="15.75" thickBot="1" x14ac:dyDescent="0.3">
      <c r="A149" s="13" t="s">
        <v>202</v>
      </c>
      <c r="B149" s="6">
        <v>45477</v>
      </c>
      <c r="C149" s="8" t="s">
        <v>80</v>
      </c>
      <c r="D149" s="5">
        <v>2024</v>
      </c>
      <c r="E149" s="7" t="s">
        <v>594</v>
      </c>
      <c r="F149" s="7" t="s">
        <v>39</v>
      </c>
      <c r="G149" s="7" t="s">
        <v>609</v>
      </c>
      <c r="H149" s="7" t="s">
        <v>613</v>
      </c>
      <c r="I149" s="7" t="s">
        <v>630</v>
      </c>
      <c r="J149" s="7" t="s">
        <v>618</v>
      </c>
      <c r="K149" s="7">
        <v>18</v>
      </c>
      <c r="L149" s="7">
        <v>4000</v>
      </c>
      <c r="M149" s="5">
        <v>72000</v>
      </c>
      <c r="N149" s="7">
        <v>53280</v>
      </c>
      <c r="O149" s="7">
        <v>18720</v>
      </c>
      <c r="P149" s="16">
        <v>0.26</v>
      </c>
    </row>
    <row r="150" spans="1:16" ht="15.75" thickBot="1" x14ac:dyDescent="0.3">
      <c r="A150" s="14" t="s">
        <v>203</v>
      </c>
      <c r="B150" s="6">
        <v>45434</v>
      </c>
      <c r="C150" s="10" t="s">
        <v>48</v>
      </c>
      <c r="D150" s="5">
        <v>2024</v>
      </c>
      <c r="E150" s="9" t="s">
        <v>593</v>
      </c>
      <c r="F150" s="9" t="s">
        <v>41</v>
      </c>
      <c r="G150" s="9" t="s">
        <v>610</v>
      </c>
      <c r="H150" s="9" t="s">
        <v>613</v>
      </c>
      <c r="I150" s="9" t="s">
        <v>617</v>
      </c>
      <c r="J150" s="9" t="s">
        <v>618</v>
      </c>
      <c r="K150" s="9">
        <v>14</v>
      </c>
      <c r="L150" s="9">
        <v>12000</v>
      </c>
      <c r="M150" s="5">
        <v>168000</v>
      </c>
      <c r="N150" s="9">
        <v>115920</v>
      </c>
      <c r="O150" s="9">
        <v>52080</v>
      </c>
      <c r="P150" s="17">
        <v>0.31</v>
      </c>
    </row>
    <row r="151" spans="1:16" ht="15.75" thickBot="1" x14ac:dyDescent="0.3">
      <c r="A151" s="13" t="s">
        <v>204</v>
      </c>
      <c r="B151" s="6">
        <v>45609</v>
      </c>
      <c r="C151" s="8" t="s">
        <v>83</v>
      </c>
      <c r="D151" s="5">
        <v>2024</v>
      </c>
      <c r="E151" s="7" t="s">
        <v>594</v>
      </c>
      <c r="F151" s="7" t="s">
        <v>39</v>
      </c>
      <c r="G151" s="7" t="s">
        <v>609</v>
      </c>
      <c r="H151" s="7" t="s">
        <v>626</v>
      </c>
      <c r="I151" s="9" t="s">
        <v>645</v>
      </c>
      <c r="J151" s="7" t="s">
        <v>618</v>
      </c>
      <c r="K151" s="7">
        <v>11</v>
      </c>
      <c r="L151" s="7">
        <v>4000</v>
      </c>
      <c r="M151" s="5">
        <v>44000</v>
      </c>
      <c r="N151" s="7">
        <v>27280</v>
      </c>
      <c r="O151" s="7">
        <v>16720</v>
      </c>
      <c r="P151" s="16">
        <v>0.38</v>
      </c>
    </row>
    <row r="152" spans="1:16" ht="15.75" thickBot="1" x14ac:dyDescent="0.3">
      <c r="A152" s="14" t="s">
        <v>205</v>
      </c>
      <c r="B152" s="6">
        <v>45522</v>
      </c>
      <c r="C152" s="10" t="s">
        <v>50</v>
      </c>
      <c r="D152" s="5">
        <v>2024</v>
      </c>
      <c r="E152" s="9" t="s">
        <v>592</v>
      </c>
      <c r="F152" s="9" t="s">
        <v>40</v>
      </c>
      <c r="G152" s="9" t="s">
        <v>611</v>
      </c>
      <c r="H152" s="9" t="s">
        <v>616</v>
      </c>
      <c r="I152" s="9" t="s">
        <v>645</v>
      </c>
      <c r="J152" s="9" t="s">
        <v>618</v>
      </c>
      <c r="K152" s="9">
        <v>17</v>
      </c>
      <c r="L152" s="9">
        <v>300</v>
      </c>
      <c r="M152" s="5">
        <v>5100</v>
      </c>
      <c r="N152" s="9">
        <v>4080</v>
      </c>
      <c r="O152" s="9">
        <v>1020</v>
      </c>
      <c r="P152" s="17">
        <v>0.2</v>
      </c>
    </row>
    <row r="153" spans="1:16" ht="15.75" thickBot="1" x14ac:dyDescent="0.3">
      <c r="A153" s="13" t="s">
        <v>206</v>
      </c>
      <c r="B153" s="6">
        <v>45485</v>
      </c>
      <c r="C153" s="8" t="s">
        <v>46</v>
      </c>
      <c r="D153" s="5">
        <v>2024</v>
      </c>
      <c r="E153" s="7" t="s">
        <v>604</v>
      </c>
      <c r="F153" s="7" t="s">
        <v>41</v>
      </c>
      <c r="G153" s="7" t="s">
        <v>609</v>
      </c>
      <c r="H153" s="7" t="s">
        <v>621</v>
      </c>
      <c r="I153" s="7" t="s">
        <v>614</v>
      </c>
      <c r="J153" s="7" t="s">
        <v>615</v>
      </c>
      <c r="K153" s="7">
        <v>18</v>
      </c>
      <c r="L153" s="7">
        <v>15000</v>
      </c>
      <c r="M153" s="5">
        <v>270000</v>
      </c>
      <c r="N153" s="7">
        <v>162000</v>
      </c>
      <c r="O153" s="7">
        <v>108000</v>
      </c>
      <c r="P153" s="16">
        <v>0.4</v>
      </c>
    </row>
    <row r="154" spans="1:16" ht="15.75" thickBot="1" x14ac:dyDescent="0.3">
      <c r="A154" s="14" t="s">
        <v>207</v>
      </c>
      <c r="B154" s="6">
        <v>45448</v>
      </c>
      <c r="C154" s="10" t="s">
        <v>48</v>
      </c>
      <c r="D154" s="5">
        <v>2024</v>
      </c>
      <c r="E154" s="9" t="s">
        <v>606</v>
      </c>
      <c r="F154" s="9" t="s">
        <v>40</v>
      </c>
      <c r="G154" s="9" t="s">
        <v>610</v>
      </c>
      <c r="H154" s="9" t="s">
        <v>613</v>
      </c>
      <c r="I154" s="9" t="s">
        <v>614</v>
      </c>
      <c r="J154" s="9" t="s">
        <v>615</v>
      </c>
      <c r="K154" s="9">
        <v>4</v>
      </c>
      <c r="L154" s="9">
        <v>12000</v>
      </c>
      <c r="M154" s="5">
        <v>48000</v>
      </c>
      <c r="N154" s="9">
        <v>30240</v>
      </c>
      <c r="O154" s="9">
        <v>17760</v>
      </c>
      <c r="P154" s="17">
        <v>0.37</v>
      </c>
    </row>
    <row r="155" spans="1:16" ht="15.75" thickBot="1" x14ac:dyDescent="0.3">
      <c r="A155" s="13" t="s">
        <v>208</v>
      </c>
      <c r="B155" s="6">
        <v>45297</v>
      </c>
      <c r="C155" s="8" t="s">
        <v>62</v>
      </c>
      <c r="D155" s="5">
        <v>2024</v>
      </c>
      <c r="E155" s="7" t="s">
        <v>598</v>
      </c>
      <c r="F155" s="7" t="s">
        <v>40</v>
      </c>
      <c r="G155" s="7" t="s">
        <v>609</v>
      </c>
      <c r="H155" s="7" t="s">
        <v>613</v>
      </c>
      <c r="I155" s="7" t="s">
        <v>619</v>
      </c>
      <c r="J155" s="7" t="s">
        <v>618</v>
      </c>
      <c r="K155" s="7">
        <v>12</v>
      </c>
      <c r="L155" s="7">
        <v>150</v>
      </c>
      <c r="M155" s="5">
        <v>1800</v>
      </c>
      <c r="N155" s="7">
        <v>1332</v>
      </c>
      <c r="O155" s="7">
        <v>468</v>
      </c>
      <c r="P155" s="16">
        <v>0.26</v>
      </c>
    </row>
    <row r="156" spans="1:16" ht="15.75" thickBot="1" x14ac:dyDescent="0.3">
      <c r="A156" s="14" t="s">
        <v>209</v>
      </c>
      <c r="B156" s="6">
        <v>45498</v>
      </c>
      <c r="C156" s="10" t="s">
        <v>80</v>
      </c>
      <c r="D156" s="5">
        <v>2024</v>
      </c>
      <c r="E156" s="9" t="s">
        <v>592</v>
      </c>
      <c r="F156" s="9" t="s">
        <v>40</v>
      </c>
      <c r="G156" s="9" t="s">
        <v>611</v>
      </c>
      <c r="H156" s="9" t="s">
        <v>621</v>
      </c>
      <c r="I156" s="9" t="s">
        <v>630</v>
      </c>
      <c r="J156" s="9" t="s">
        <v>618</v>
      </c>
      <c r="K156" s="9">
        <v>15</v>
      </c>
      <c r="L156" s="9">
        <v>700</v>
      </c>
      <c r="M156" s="5">
        <v>10500</v>
      </c>
      <c r="N156" s="9">
        <v>9450</v>
      </c>
      <c r="O156" s="9">
        <v>1050</v>
      </c>
      <c r="P156" s="17">
        <v>0.1</v>
      </c>
    </row>
    <row r="157" spans="1:16" ht="15.75" thickBot="1" x14ac:dyDescent="0.3">
      <c r="A157" s="13" t="s">
        <v>210</v>
      </c>
      <c r="B157" s="6">
        <v>45552</v>
      </c>
      <c r="C157" s="8" t="s">
        <v>44</v>
      </c>
      <c r="D157" s="5">
        <v>2024</v>
      </c>
      <c r="E157" s="7" t="s">
        <v>604</v>
      </c>
      <c r="F157" s="7" t="s">
        <v>41</v>
      </c>
      <c r="G157" s="7" t="s">
        <v>611</v>
      </c>
      <c r="H157" s="7" t="s">
        <v>621</v>
      </c>
      <c r="I157" s="7" t="s">
        <v>630</v>
      </c>
      <c r="J157" s="7" t="s">
        <v>618</v>
      </c>
      <c r="K157" s="7">
        <v>20</v>
      </c>
      <c r="L157" s="7">
        <v>700</v>
      </c>
      <c r="M157" s="5">
        <v>14000</v>
      </c>
      <c r="N157" s="7">
        <v>12320</v>
      </c>
      <c r="O157" s="7">
        <v>1680</v>
      </c>
      <c r="P157" s="16">
        <v>0.12</v>
      </c>
    </row>
    <row r="158" spans="1:16" ht="15.75" thickBot="1" x14ac:dyDescent="0.3">
      <c r="A158" s="14" t="s">
        <v>211</v>
      </c>
      <c r="B158" s="6">
        <v>45338</v>
      </c>
      <c r="C158" s="10" t="s">
        <v>46</v>
      </c>
      <c r="D158" s="5">
        <v>2024</v>
      </c>
      <c r="E158" s="9" t="s">
        <v>592</v>
      </c>
      <c r="F158" s="9" t="s">
        <v>40</v>
      </c>
      <c r="G158" s="9" t="s">
        <v>608</v>
      </c>
      <c r="H158" s="9" t="s">
        <v>621</v>
      </c>
      <c r="I158" s="9" t="s">
        <v>623</v>
      </c>
      <c r="J158" s="9" t="s">
        <v>618</v>
      </c>
      <c r="K158" s="9">
        <v>10</v>
      </c>
      <c r="L158" s="9">
        <v>3500</v>
      </c>
      <c r="M158" s="5">
        <v>35000</v>
      </c>
      <c r="N158" s="9">
        <v>24850</v>
      </c>
      <c r="O158" s="9">
        <v>10150</v>
      </c>
      <c r="P158" s="17">
        <v>0.28999999999999998</v>
      </c>
    </row>
    <row r="159" spans="1:16" ht="15.75" thickBot="1" x14ac:dyDescent="0.3">
      <c r="A159" s="13" t="s">
        <v>212</v>
      </c>
      <c r="B159" s="6">
        <v>45513</v>
      </c>
      <c r="C159" s="8" t="s">
        <v>83</v>
      </c>
      <c r="D159" s="5">
        <v>2024</v>
      </c>
      <c r="E159" s="7" t="s">
        <v>595</v>
      </c>
      <c r="F159" s="7" t="s">
        <v>39</v>
      </c>
      <c r="G159" s="7" t="s">
        <v>610</v>
      </c>
      <c r="H159" s="7" t="s">
        <v>622</v>
      </c>
      <c r="I159" s="7" t="s">
        <v>630</v>
      </c>
      <c r="J159" s="7" t="s">
        <v>615</v>
      </c>
      <c r="K159" s="7">
        <v>18</v>
      </c>
      <c r="L159" s="7">
        <v>12000</v>
      </c>
      <c r="M159" s="5">
        <v>216000</v>
      </c>
      <c r="N159" s="7">
        <v>159840</v>
      </c>
      <c r="O159" s="7">
        <v>56160</v>
      </c>
      <c r="P159" s="16">
        <v>0.26</v>
      </c>
    </row>
    <row r="160" spans="1:16" ht="15.75" thickBot="1" x14ac:dyDescent="0.3">
      <c r="A160" s="14" t="s">
        <v>213</v>
      </c>
      <c r="B160" s="6">
        <v>45469</v>
      </c>
      <c r="C160" s="10" t="s">
        <v>46</v>
      </c>
      <c r="D160" s="5">
        <v>2024</v>
      </c>
      <c r="E160" s="9" t="s">
        <v>600</v>
      </c>
      <c r="F160" s="9" t="s">
        <v>39</v>
      </c>
      <c r="G160" s="9" t="s">
        <v>610</v>
      </c>
      <c r="H160" s="9" t="s">
        <v>625</v>
      </c>
      <c r="I160" s="9" t="s">
        <v>614</v>
      </c>
      <c r="J160" s="9" t="s">
        <v>615</v>
      </c>
      <c r="K160" s="9">
        <v>10</v>
      </c>
      <c r="L160" s="9">
        <v>50</v>
      </c>
      <c r="M160" s="5">
        <v>500</v>
      </c>
      <c r="N160" s="9">
        <v>330</v>
      </c>
      <c r="O160" s="9">
        <v>170</v>
      </c>
      <c r="P160" s="17">
        <v>0.34</v>
      </c>
    </row>
    <row r="161" spans="1:16" ht="15.75" thickBot="1" x14ac:dyDescent="0.3">
      <c r="A161" s="13" t="s">
        <v>214</v>
      </c>
      <c r="B161" s="6">
        <v>45618</v>
      </c>
      <c r="C161" s="8" t="s">
        <v>80</v>
      </c>
      <c r="D161" s="5">
        <v>2024</v>
      </c>
      <c r="E161" s="7" t="s">
        <v>606</v>
      </c>
      <c r="F161" s="7" t="s">
        <v>40</v>
      </c>
      <c r="G161" s="7" t="s">
        <v>609</v>
      </c>
      <c r="H161" s="7" t="s">
        <v>629</v>
      </c>
      <c r="I161" s="7" t="s">
        <v>617</v>
      </c>
      <c r="J161" s="7" t="s">
        <v>615</v>
      </c>
      <c r="K161" s="7">
        <v>20</v>
      </c>
      <c r="L161" s="7">
        <v>15000</v>
      </c>
      <c r="M161" s="5">
        <v>300000</v>
      </c>
      <c r="N161" s="7">
        <v>207000</v>
      </c>
      <c r="O161" s="7">
        <v>93000</v>
      </c>
      <c r="P161" s="16">
        <v>0.31</v>
      </c>
    </row>
    <row r="162" spans="1:16" ht="15.75" thickBot="1" x14ac:dyDescent="0.3">
      <c r="A162" s="14" t="s">
        <v>215</v>
      </c>
      <c r="B162" s="6">
        <v>45339</v>
      </c>
      <c r="C162" s="10" t="s">
        <v>80</v>
      </c>
      <c r="D162" s="5">
        <v>2024</v>
      </c>
      <c r="E162" s="9" t="s">
        <v>604</v>
      </c>
      <c r="F162" s="9" t="s">
        <v>41</v>
      </c>
      <c r="G162" s="9" t="s">
        <v>608</v>
      </c>
      <c r="H162" s="9" t="s">
        <v>626</v>
      </c>
      <c r="I162" s="9" t="s">
        <v>627</v>
      </c>
      <c r="J162" s="9" t="s">
        <v>618</v>
      </c>
      <c r="K162" s="9">
        <v>18</v>
      </c>
      <c r="L162" s="9">
        <v>12000</v>
      </c>
      <c r="M162" s="5">
        <v>216000</v>
      </c>
      <c r="N162" s="9">
        <v>129600</v>
      </c>
      <c r="O162" s="9">
        <v>86400</v>
      </c>
      <c r="P162" s="17">
        <v>0.4</v>
      </c>
    </row>
    <row r="163" spans="1:16" ht="15.75" thickBot="1" x14ac:dyDescent="0.3">
      <c r="A163" s="13" t="s">
        <v>216</v>
      </c>
      <c r="B163" s="6">
        <v>45514</v>
      </c>
      <c r="C163" s="8" t="s">
        <v>46</v>
      </c>
      <c r="D163" s="5">
        <v>2024</v>
      </c>
      <c r="E163" s="7" t="s">
        <v>600</v>
      </c>
      <c r="F163" s="7" t="s">
        <v>39</v>
      </c>
      <c r="G163" s="7" t="s">
        <v>610</v>
      </c>
      <c r="H163" s="7" t="s">
        <v>625</v>
      </c>
      <c r="I163" s="7" t="s">
        <v>630</v>
      </c>
      <c r="J163" s="7" t="s">
        <v>615</v>
      </c>
      <c r="K163" s="7">
        <v>14</v>
      </c>
      <c r="L163" s="7">
        <v>45000</v>
      </c>
      <c r="M163" s="5">
        <v>630000</v>
      </c>
      <c r="N163" s="7">
        <v>510300</v>
      </c>
      <c r="O163" s="7">
        <v>119700</v>
      </c>
      <c r="P163" s="16">
        <v>0.19</v>
      </c>
    </row>
    <row r="164" spans="1:16" ht="15.75" thickBot="1" x14ac:dyDescent="0.3">
      <c r="A164" s="14" t="s">
        <v>217</v>
      </c>
      <c r="B164" s="6">
        <v>45376</v>
      </c>
      <c r="C164" s="10" t="s">
        <v>44</v>
      </c>
      <c r="D164" s="5">
        <v>2024</v>
      </c>
      <c r="E164" s="9" t="s">
        <v>605</v>
      </c>
      <c r="F164" s="9" t="s">
        <v>40</v>
      </c>
      <c r="G164" s="9" t="s">
        <v>612</v>
      </c>
      <c r="H164" s="9" t="s">
        <v>620</v>
      </c>
      <c r="I164" s="9" t="s">
        <v>630</v>
      </c>
      <c r="J164" s="9" t="s">
        <v>618</v>
      </c>
      <c r="K164" s="9">
        <v>20</v>
      </c>
      <c r="L164" s="9">
        <v>55000</v>
      </c>
      <c r="M164" s="5">
        <v>1100000</v>
      </c>
      <c r="N164" s="9">
        <v>704000</v>
      </c>
      <c r="O164" s="9">
        <v>396000</v>
      </c>
      <c r="P164" s="17">
        <v>0.36</v>
      </c>
    </row>
    <row r="165" spans="1:16" ht="15.75" thickBot="1" x14ac:dyDescent="0.3">
      <c r="A165" s="13" t="s">
        <v>218</v>
      </c>
      <c r="B165" s="6">
        <v>45546</v>
      </c>
      <c r="C165" s="8" t="s">
        <v>48</v>
      </c>
      <c r="D165" s="5">
        <v>2024</v>
      </c>
      <c r="E165" s="7" t="s">
        <v>599</v>
      </c>
      <c r="F165" s="7" t="s">
        <v>39</v>
      </c>
      <c r="G165" s="7" t="s">
        <v>609</v>
      </c>
      <c r="H165" s="7" t="s">
        <v>620</v>
      </c>
      <c r="I165" s="9" t="s">
        <v>645</v>
      </c>
      <c r="J165" s="7" t="s">
        <v>618</v>
      </c>
      <c r="K165" s="7">
        <v>3</v>
      </c>
      <c r="L165" s="7">
        <v>15000</v>
      </c>
      <c r="M165" s="5">
        <v>45000</v>
      </c>
      <c r="N165" s="7">
        <v>32850</v>
      </c>
      <c r="O165" s="7">
        <v>12150</v>
      </c>
      <c r="P165" s="16">
        <v>0.27</v>
      </c>
    </row>
    <row r="166" spans="1:16" ht="15.75" thickBot="1" x14ac:dyDescent="0.3">
      <c r="A166" s="14" t="s">
        <v>219</v>
      </c>
      <c r="B166" s="6">
        <v>45407</v>
      </c>
      <c r="C166" s="10" t="s">
        <v>62</v>
      </c>
      <c r="D166" s="5">
        <v>2024</v>
      </c>
      <c r="E166" s="9" t="s">
        <v>599</v>
      </c>
      <c r="F166" s="9" t="s">
        <v>39</v>
      </c>
      <c r="G166" s="9" t="s">
        <v>611</v>
      </c>
      <c r="H166" s="9" t="s">
        <v>616</v>
      </c>
      <c r="I166" s="9" t="s">
        <v>614</v>
      </c>
      <c r="J166" s="9" t="s">
        <v>615</v>
      </c>
      <c r="K166" s="9">
        <v>17</v>
      </c>
      <c r="L166" s="9">
        <v>8000</v>
      </c>
      <c r="M166" s="5">
        <v>136000</v>
      </c>
      <c r="N166" s="9">
        <v>82960</v>
      </c>
      <c r="O166" s="9">
        <v>53040</v>
      </c>
      <c r="P166" s="17">
        <v>0.39</v>
      </c>
    </row>
    <row r="167" spans="1:16" ht="15.75" thickBot="1" x14ac:dyDescent="0.3">
      <c r="A167" s="13" t="s">
        <v>220</v>
      </c>
      <c r="B167" s="6">
        <v>45470</v>
      </c>
      <c r="C167" s="8" t="s">
        <v>50</v>
      </c>
      <c r="D167" s="5">
        <v>2024</v>
      </c>
      <c r="E167" s="7" t="s">
        <v>607</v>
      </c>
      <c r="F167" s="7" t="s">
        <v>42</v>
      </c>
      <c r="G167" s="7" t="s">
        <v>609</v>
      </c>
      <c r="H167" s="7" t="s">
        <v>620</v>
      </c>
      <c r="I167" s="7" t="s">
        <v>623</v>
      </c>
      <c r="J167" s="7" t="s">
        <v>618</v>
      </c>
      <c r="K167" s="7">
        <v>1</v>
      </c>
      <c r="L167" s="7">
        <v>8000</v>
      </c>
      <c r="M167" s="5">
        <v>8000</v>
      </c>
      <c r="N167" s="7">
        <v>5920</v>
      </c>
      <c r="O167" s="7">
        <v>2080</v>
      </c>
      <c r="P167" s="16">
        <v>0.26</v>
      </c>
    </row>
    <row r="168" spans="1:16" ht="15.75" thickBot="1" x14ac:dyDescent="0.3">
      <c r="A168" s="14" t="s">
        <v>221</v>
      </c>
      <c r="B168" s="6">
        <v>45491</v>
      </c>
      <c r="C168" s="10" t="s">
        <v>46</v>
      </c>
      <c r="D168" s="5">
        <v>2024</v>
      </c>
      <c r="E168" s="9" t="s">
        <v>593</v>
      </c>
      <c r="F168" s="9" t="s">
        <v>41</v>
      </c>
      <c r="G168" s="9" t="s">
        <v>610</v>
      </c>
      <c r="H168" s="9" t="s">
        <v>626</v>
      </c>
      <c r="I168" s="9" t="s">
        <v>645</v>
      </c>
      <c r="J168" s="9" t="s">
        <v>618</v>
      </c>
      <c r="K168" s="9">
        <v>3</v>
      </c>
      <c r="L168" s="9">
        <v>7000</v>
      </c>
      <c r="M168" s="5">
        <v>21000</v>
      </c>
      <c r="N168" s="9">
        <v>12600</v>
      </c>
      <c r="O168" s="9">
        <v>8400</v>
      </c>
      <c r="P168" s="17">
        <v>0.4</v>
      </c>
    </row>
    <row r="169" spans="1:16" ht="15.75" thickBot="1" x14ac:dyDescent="0.3">
      <c r="A169" s="13" t="s">
        <v>222</v>
      </c>
      <c r="B169" s="6">
        <v>45651</v>
      </c>
      <c r="C169" s="8" t="s">
        <v>80</v>
      </c>
      <c r="D169" s="5">
        <v>2024</v>
      </c>
      <c r="E169" s="7" t="s">
        <v>593</v>
      </c>
      <c r="F169" s="7" t="s">
        <v>41</v>
      </c>
      <c r="G169" s="7" t="s">
        <v>609</v>
      </c>
      <c r="H169" s="7" t="s">
        <v>625</v>
      </c>
      <c r="I169" s="7" t="s">
        <v>630</v>
      </c>
      <c r="J169" s="7" t="s">
        <v>615</v>
      </c>
      <c r="K169" s="7">
        <v>3</v>
      </c>
      <c r="L169" s="7">
        <v>4000</v>
      </c>
      <c r="M169" s="5">
        <v>12000</v>
      </c>
      <c r="N169" s="7">
        <v>8760</v>
      </c>
      <c r="O169" s="7">
        <v>3240</v>
      </c>
      <c r="P169" s="16">
        <v>0.27</v>
      </c>
    </row>
    <row r="170" spans="1:16" ht="15.75" thickBot="1" x14ac:dyDescent="0.3">
      <c r="A170" s="14" t="s">
        <v>223</v>
      </c>
      <c r="B170" s="6">
        <v>45434</v>
      </c>
      <c r="C170" s="10" t="s">
        <v>62</v>
      </c>
      <c r="D170" s="5">
        <v>2024</v>
      </c>
      <c r="E170" s="9" t="s">
        <v>594</v>
      </c>
      <c r="F170" s="9" t="s">
        <v>39</v>
      </c>
      <c r="G170" s="9" t="s">
        <v>609</v>
      </c>
      <c r="H170" s="9" t="s">
        <v>625</v>
      </c>
      <c r="I170" s="9" t="s">
        <v>617</v>
      </c>
      <c r="J170" s="9" t="s">
        <v>615</v>
      </c>
      <c r="K170" s="9">
        <v>17</v>
      </c>
      <c r="L170" s="9">
        <v>25000</v>
      </c>
      <c r="M170" s="5">
        <v>425000</v>
      </c>
      <c r="N170" s="9">
        <v>280500</v>
      </c>
      <c r="O170" s="9">
        <v>144500</v>
      </c>
      <c r="P170" s="17">
        <v>0.34</v>
      </c>
    </row>
    <row r="171" spans="1:16" ht="15.75" thickBot="1" x14ac:dyDescent="0.3">
      <c r="A171" s="13" t="s">
        <v>224</v>
      </c>
      <c r="B171" s="6">
        <v>45408</v>
      </c>
      <c r="C171" s="8" t="s">
        <v>62</v>
      </c>
      <c r="D171" s="5">
        <v>2024</v>
      </c>
      <c r="E171" s="7" t="s">
        <v>606</v>
      </c>
      <c r="F171" s="7" t="s">
        <v>40</v>
      </c>
      <c r="G171" s="7" t="s">
        <v>608</v>
      </c>
      <c r="H171" s="7" t="s">
        <v>626</v>
      </c>
      <c r="I171" s="9" t="s">
        <v>645</v>
      </c>
      <c r="J171" s="7" t="s">
        <v>615</v>
      </c>
      <c r="K171" s="7">
        <v>19</v>
      </c>
      <c r="L171" s="7">
        <v>12000</v>
      </c>
      <c r="M171" s="5">
        <v>228000</v>
      </c>
      <c r="N171" s="7">
        <v>205200</v>
      </c>
      <c r="O171" s="7">
        <v>22800</v>
      </c>
      <c r="P171" s="16">
        <v>0.1</v>
      </c>
    </row>
    <row r="172" spans="1:16" ht="15.75" thickBot="1" x14ac:dyDescent="0.3">
      <c r="A172" s="14" t="s">
        <v>225</v>
      </c>
      <c r="B172" s="6">
        <v>45319</v>
      </c>
      <c r="C172" s="10" t="s">
        <v>48</v>
      </c>
      <c r="D172" s="5">
        <v>2024</v>
      </c>
      <c r="E172" s="9" t="s">
        <v>600</v>
      </c>
      <c r="F172" s="9" t="s">
        <v>39</v>
      </c>
      <c r="G172" s="9" t="s">
        <v>609</v>
      </c>
      <c r="H172" s="9" t="s">
        <v>620</v>
      </c>
      <c r="I172" s="9" t="s">
        <v>645</v>
      </c>
      <c r="J172" s="9" t="s">
        <v>615</v>
      </c>
      <c r="K172" s="9">
        <v>6</v>
      </c>
      <c r="L172" s="9">
        <v>50</v>
      </c>
      <c r="M172" s="5">
        <v>300</v>
      </c>
      <c r="N172" s="9">
        <v>255</v>
      </c>
      <c r="O172" s="9">
        <v>45</v>
      </c>
      <c r="P172" s="17">
        <v>0.15</v>
      </c>
    </row>
    <row r="173" spans="1:16" ht="15.75" thickBot="1" x14ac:dyDescent="0.3">
      <c r="A173" s="13" t="s">
        <v>226</v>
      </c>
      <c r="B173" s="6">
        <v>45490</v>
      </c>
      <c r="C173" s="8" t="s">
        <v>57</v>
      </c>
      <c r="D173" s="5">
        <v>2024</v>
      </c>
      <c r="E173" s="7" t="s">
        <v>596</v>
      </c>
      <c r="F173" s="7" t="s">
        <v>39</v>
      </c>
      <c r="G173" s="7" t="s">
        <v>612</v>
      </c>
      <c r="H173" s="7" t="s">
        <v>620</v>
      </c>
      <c r="I173" s="7" t="s">
        <v>623</v>
      </c>
      <c r="J173" s="7" t="s">
        <v>615</v>
      </c>
      <c r="K173" s="7">
        <v>15</v>
      </c>
      <c r="L173" s="7">
        <v>25000</v>
      </c>
      <c r="M173" s="5">
        <v>375000</v>
      </c>
      <c r="N173" s="7">
        <v>240000</v>
      </c>
      <c r="O173" s="7">
        <v>135000</v>
      </c>
      <c r="P173" s="16">
        <v>0.36</v>
      </c>
    </row>
    <row r="174" spans="1:16" ht="15.75" thickBot="1" x14ac:dyDescent="0.3">
      <c r="A174" s="14" t="s">
        <v>227</v>
      </c>
      <c r="B174" s="6">
        <v>45381</v>
      </c>
      <c r="C174" s="10" t="s">
        <v>46</v>
      </c>
      <c r="D174" s="5">
        <v>2024</v>
      </c>
      <c r="E174" s="9" t="s">
        <v>605</v>
      </c>
      <c r="F174" s="9" t="s">
        <v>40</v>
      </c>
      <c r="G174" s="9" t="s">
        <v>612</v>
      </c>
      <c r="H174" s="9" t="s">
        <v>624</v>
      </c>
      <c r="I174" s="9" t="s">
        <v>623</v>
      </c>
      <c r="J174" s="9" t="s">
        <v>618</v>
      </c>
      <c r="K174" s="9">
        <v>16</v>
      </c>
      <c r="L174" s="9">
        <v>25000</v>
      </c>
      <c r="M174" s="5">
        <v>400000</v>
      </c>
      <c r="N174" s="9">
        <v>336000</v>
      </c>
      <c r="O174" s="9">
        <v>64000</v>
      </c>
      <c r="P174" s="17">
        <v>0.16</v>
      </c>
    </row>
    <row r="175" spans="1:16" ht="15.75" thickBot="1" x14ac:dyDescent="0.3">
      <c r="A175" s="13" t="s">
        <v>228</v>
      </c>
      <c r="B175" s="6">
        <v>45615</v>
      </c>
      <c r="C175" s="8" t="s">
        <v>48</v>
      </c>
      <c r="D175" s="5">
        <v>2024</v>
      </c>
      <c r="E175" s="7" t="s">
        <v>598</v>
      </c>
      <c r="F175" s="7" t="s">
        <v>40</v>
      </c>
      <c r="G175" s="7" t="s">
        <v>610</v>
      </c>
      <c r="H175" s="7" t="s">
        <v>620</v>
      </c>
      <c r="I175" s="7" t="s">
        <v>614</v>
      </c>
      <c r="J175" s="7" t="s">
        <v>615</v>
      </c>
      <c r="K175" s="7">
        <v>11</v>
      </c>
      <c r="L175" s="7">
        <v>55000</v>
      </c>
      <c r="M175" s="5">
        <v>605000</v>
      </c>
      <c r="N175" s="7">
        <v>544500</v>
      </c>
      <c r="O175" s="7">
        <v>60500</v>
      </c>
      <c r="P175" s="16">
        <v>0.1</v>
      </c>
    </row>
    <row r="176" spans="1:16" ht="15.75" thickBot="1" x14ac:dyDescent="0.3">
      <c r="A176" s="14" t="s">
        <v>229</v>
      </c>
      <c r="B176" s="6">
        <v>45436</v>
      </c>
      <c r="C176" s="10" t="s">
        <v>65</v>
      </c>
      <c r="D176" s="5">
        <v>2024</v>
      </c>
      <c r="E176" s="9" t="s">
        <v>601</v>
      </c>
      <c r="F176" s="9" t="s">
        <v>41</v>
      </c>
      <c r="G176" s="9" t="s">
        <v>609</v>
      </c>
      <c r="H176" s="9" t="s">
        <v>628</v>
      </c>
      <c r="I176" s="9" t="s">
        <v>630</v>
      </c>
      <c r="J176" s="9" t="s">
        <v>615</v>
      </c>
      <c r="K176" s="9">
        <v>4</v>
      </c>
      <c r="L176" s="9">
        <v>3500</v>
      </c>
      <c r="M176" s="5">
        <v>14000</v>
      </c>
      <c r="N176" s="9">
        <v>10920</v>
      </c>
      <c r="O176" s="9">
        <v>3080</v>
      </c>
      <c r="P176" s="17">
        <v>0.22</v>
      </c>
    </row>
    <row r="177" spans="1:16" ht="15.75" thickBot="1" x14ac:dyDescent="0.3">
      <c r="A177" s="13" t="s">
        <v>230</v>
      </c>
      <c r="B177" s="6">
        <v>45490</v>
      </c>
      <c r="C177" s="8" t="s">
        <v>48</v>
      </c>
      <c r="D177" s="5">
        <v>2024</v>
      </c>
      <c r="E177" s="7" t="s">
        <v>595</v>
      </c>
      <c r="F177" s="7" t="s">
        <v>39</v>
      </c>
      <c r="G177" s="7" t="s">
        <v>609</v>
      </c>
      <c r="H177" s="7" t="s">
        <v>626</v>
      </c>
      <c r="I177" s="9" t="s">
        <v>645</v>
      </c>
      <c r="J177" s="7" t="s">
        <v>618</v>
      </c>
      <c r="K177" s="7">
        <v>6</v>
      </c>
      <c r="L177" s="7">
        <v>9000</v>
      </c>
      <c r="M177" s="5">
        <v>54000</v>
      </c>
      <c r="N177" s="7">
        <v>36180</v>
      </c>
      <c r="O177" s="7">
        <v>17820</v>
      </c>
      <c r="P177" s="16">
        <v>0.33</v>
      </c>
    </row>
    <row r="178" spans="1:16" ht="15.75" thickBot="1" x14ac:dyDescent="0.3">
      <c r="A178" s="14" t="s">
        <v>231</v>
      </c>
      <c r="B178" s="6">
        <v>45615</v>
      </c>
      <c r="C178" s="10" t="s">
        <v>55</v>
      </c>
      <c r="D178" s="5">
        <v>2024</v>
      </c>
      <c r="E178" s="9" t="s">
        <v>599</v>
      </c>
      <c r="F178" s="9" t="s">
        <v>39</v>
      </c>
      <c r="G178" s="9" t="s">
        <v>609</v>
      </c>
      <c r="H178" s="9" t="s">
        <v>613</v>
      </c>
      <c r="I178" s="9" t="s">
        <v>645</v>
      </c>
      <c r="J178" s="9" t="s">
        <v>618</v>
      </c>
      <c r="K178" s="9">
        <v>15</v>
      </c>
      <c r="L178" s="9">
        <v>50</v>
      </c>
      <c r="M178" s="5">
        <v>750</v>
      </c>
      <c r="N178" s="9">
        <v>457.5</v>
      </c>
      <c r="O178" s="9">
        <v>292.5</v>
      </c>
      <c r="P178" s="17">
        <v>0.39</v>
      </c>
    </row>
    <row r="179" spans="1:16" ht="15.75" thickBot="1" x14ac:dyDescent="0.3">
      <c r="A179" s="13" t="s">
        <v>232</v>
      </c>
      <c r="B179" s="6">
        <v>45536</v>
      </c>
      <c r="C179" s="8" t="s">
        <v>46</v>
      </c>
      <c r="D179" s="5">
        <v>2024</v>
      </c>
      <c r="E179" s="7" t="s">
        <v>598</v>
      </c>
      <c r="F179" s="7" t="s">
        <v>40</v>
      </c>
      <c r="G179" s="7" t="s">
        <v>612</v>
      </c>
      <c r="H179" s="7" t="s">
        <v>616</v>
      </c>
      <c r="I179" s="7" t="s">
        <v>623</v>
      </c>
      <c r="J179" s="7" t="s">
        <v>615</v>
      </c>
      <c r="K179" s="7">
        <v>18</v>
      </c>
      <c r="L179" s="7">
        <v>8000</v>
      </c>
      <c r="M179" s="5">
        <v>144000</v>
      </c>
      <c r="N179" s="7">
        <v>105120</v>
      </c>
      <c r="O179" s="7">
        <v>38880</v>
      </c>
      <c r="P179" s="16">
        <v>0.27</v>
      </c>
    </row>
    <row r="180" spans="1:16" ht="15.75" thickBot="1" x14ac:dyDescent="0.3">
      <c r="A180" s="14" t="s">
        <v>233</v>
      </c>
      <c r="B180" s="6">
        <v>45333</v>
      </c>
      <c r="C180" s="10" t="s">
        <v>55</v>
      </c>
      <c r="D180" s="5">
        <v>2024</v>
      </c>
      <c r="E180" s="9" t="s">
        <v>597</v>
      </c>
      <c r="F180" s="9" t="s">
        <v>41</v>
      </c>
      <c r="G180" s="9" t="s">
        <v>610</v>
      </c>
      <c r="H180" s="9" t="s">
        <v>625</v>
      </c>
      <c r="I180" s="9" t="s">
        <v>645</v>
      </c>
      <c r="J180" s="9" t="s">
        <v>615</v>
      </c>
      <c r="K180" s="9">
        <v>13</v>
      </c>
      <c r="L180" s="9">
        <v>50</v>
      </c>
      <c r="M180" s="5">
        <v>650</v>
      </c>
      <c r="N180" s="9">
        <v>455</v>
      </c>
      <c r="O180" s="9">
        <v>195</v>
      </c>
      <c r="P180" s="17">
        <v>0.3</v>
      </c>
    </row>
    <row r="181" spans="1:16" ht="15.75" thickBot="1" x14ac:dyDescent="0.3">
      <c r="A181" s="13" t="s">
        <v>234</v>
      </c>
      <c r="B181" s="6">
        <v>45352</v>
      </c>
      <c r="C181" s="8" t="s">
        <v>55</v>
      </c>
      <c r="D181" s="5">
        <v>2024</v>
      </c>
      <c r="E181" s="7" t="s">
        <v>593</v>
      </c>
      <c r="F181" s="7" t="s">
        <v>41</v>
      </c>
      <c r="G181" s="7" t="s">
        <v>611</v>
      </c>
      <c r="H181" s="7" t="s">
        <v>628</v>
      </c>
      <c r="I181" s="7" t="s">
        <v>623</v>
      </c>
      <c r="J181" s="7" t="s">
        <v>615</v>
      </c>
      <c r="K181" s="7">
        <v>9</v>
      </c>
      <c r="L181" s="7">
        <v>150</v>
      </c>
      <c r="M181" s="5">
        <v>1350</v>
      </c>
      <c r="N181" s="7">
        <v>958.5</v>
      </c>
      <c r="O181" s="7">
        <v>391.5</v>
      </c>
      <c r="P181" s="16">
        <v>0.28999999999999998</v>
      </c>
    </row>
    <row r="182" spans="1:16" ht="15.75" thickBot="1" x14ac:dyDescent="0.3">
      <c r="A182" s="14" t="s">
        <v>235</v>
      </c>
      <c r="B182" s="6">
        <v>45408</v>
      </c>
      <c r="C182" s="10" t="s">
        <v>65</v>
      </c>
      <c r="D182" s="5">
        <v>2024</v>
      </c>
      <c r="E182" s="9" t="s">
        <v>601</v>
      </c>
      <c r="F182" s="9" t="s">
        <v>41</v>
      </c>
      <c r="G182" s="9" t="s">
        <v>608</v>
      </c>
      <c r="H182" s="9" t="s">
        <v>624</v>
      </c>
      <c r="I182" s="9" t="s">
        <v>614</v>
      </c>
      <c r="J182" s="9" t="s">
        <v>615</v>
      </c>
      <c r="K182" s="9">
        <v>14</v>
      </c>
      <c r="L182" s="9">
        <v>3500</v>
      </c>
      <c r="M182" s="5">
        <v>49000</v>
      </c>
      <c r="N182" s="9">
        <v>40670</v>
      </c>
      <c r="O182" s="9">
        <v>8330</v>
      </c>
      <c r="P182" s="17">
        <v>0.17</v>
      </c>
    </row>
    <row r="183" spans="1:16" ht="15.75" thickBot="1" x14ac:dyDescent="0.3">
      <c r="A183" s="13" t="s">
        <v>236</v>
      </c>
      <c r="B183" s="6">
        <v>45324</v>
      </c>
      <c r="C183" s="8" t="s">
        <v>50</v>
      </c>
      <c r="D183" s="5">
        <v>2024</v>
      </c>
      <c r="E183" s="7" t="s">
        <v>601</v>
      </c>
      <c r="F183" s="7" t="s">
        <v>41</v>
      </c>
      <c r="G183" s="7" t="s">
        <v>610</v>
      </c>
      <c r="H183" s="7" t="s">
        <v>628</v>
      </c>
      <c r="I183" s="7" t="s">
        <v>617</v>
      </c>
      <c r="J183" s="7" t="s">
        <v>615</v>
      </c>
      <c r="K183" s="7">
        <v>9</v>
      </c>
      <c r="L183" s="7">
        <v>300</v>
      </c>
      <c r="M183" s="5">
        <v>2700</v>
      </c>
      <c r="N183" s="7">
        <v>2079</v>
      </c>
      <c r="O183" s="7">
        <v>621</v>
      </c>
      <c r="P183" s="16">
        <v>0.23</v>
      </c>
    </row>
    <row r="184" spans="1:16" ht="15.75" thickBot="1" x14ac:dyDescent="0.3">
      <c r="A184" s="14" t="s">
        <v>237</v>
      </c>
      <c r="B184" s="6">
        <v>45565</v>
      </c>
      <c r="C184" s="10" t="s">
        <v>59</v>
      </c>
      <c r="D184" s="5">
        <v>2024</v>
      </c>
      <c r="E184" s="9" t="s">
        <v>596</v>
      </c>
      <c r="F184" s="9" t="s">
        <v>39</v>
      </c>
      <c r="G184" s="9" t="s">
        <v>610</v>
      </c>
      <c r="H184" s="9" t="s">
        <v>625</v>
      </c>
      <c r="I184" s="9" t="s">
        <v>645</v>
      </c>
      <c r="J184" s="9" t="s">
        <v>618</v>
      </c>
      <c r="K184" s="9">
        <v>1</v>
      </c>
      <c r="L184" s="9">
        <v>15000</v>
      </c>
      <c r="M184" s="5">
        <v>15000</v>
      </c>
      <c r="N184" s="9">
        <v>11700</v>
      </c>
      <c r="O184" s="9">
        <v>3300</v>
      </c>
      <c r="P184" s="17">
        <v>0.22</v>
      </c>
    </row>
    <row r="185" spans="1:16" ht="15.75" thickBot="1" x14ac:dyDescent="0.3">
      <c r="A185" s="13" t="s">
        <v>238</v>
      </c>
      <c r="B185" s="6">
        <v>45550</v>
      </c>
      <c r="C185" s="8" t="s">
        <v>80</v>
      </c>
      <c r="D185" s="5">
        <v>2024</v>
      </c>
      <c r="E185" s="7" t="s">
        <v>600</v>
      </c>
      <c r="F185" s="7" t="s">
        <v>39</v>
      </c>
      <c r="G185" s="7" t="s">
        <v>608</v>
      </c>
      <c r="H185" s="7" t="s">
        <v>620</v>
      </c>
      <c r="I185" s="7" t="s">
        <v>623</v>
      </c>
      <c r="J185" s="7" t="s">
        <v>615</v>
      </c>
      <c r="K185" s="7">
        <v>9</v>
      </c>
      <c r="L185" s="7">
        <v>1200</v>
      </c>
      <c r="M185" s="5">
        <v>10800</v>
      </c>
      <c r="N185" s="7">
        <v>8208</v>
      </c>
      <c r="O185" s="7">
        <v>2592</v>
      </c>
      <c r="P185" s="16">
        <v>0.24</v>
      </c>
    </row>
    <row r="186" spans="1:16" ht="15.75" thickBot="1" x14ac:dyDescent="0.3">
      <c r="A186" s="14" t="s">
        <v>239</v>
      </c>
      <c r="B186" s="6">
        <v>45627</v>
      </c>
      <c r="C186" s="10" t="s">
        <v>83</v>
      </c>
      <c r="D186" s="5">
        <v>2024</v>
      </c>
      <c r="E186" s="9" t="s">
        <v>607</v>
      </c>
      <c r="F186" s="9" t="s">
        <v>42</v>
      </c>
      <c r="G186" s="9" t="s">
        <v>610</v>
      </c>
      <c r="H186" s="9" t="s">
        <v>629</v>
      </c>
      <c r="I186" s="9" t="s">
        <v>645</v>
      </c>
      <c r="J186" s="9" t="s">
        <v>618</v>
      </c>
      <c r="K186" s="9">
        <v>20</v>
      </c>
      <c r="L186" s="9">
        <v>9000</v>
      </c>
      <c r="M186" s="5">
        <v>180000</v>
      </c>
      <c r="N186" s="9">
        <v>122400</v>
      </c>
      <c r="O186" s="9">
        <v>57600</v>
      </c>
      <c r="P186" s="17">
        <v>0.32</v>
      </c>
    </row>
    <row r="187" spans="1:16" ht="15.75" thickBot="1" x14ac:dyDescent="0.3">
      <c r="A187" s="13" t="s">
        <v>240</v>
      </c>
      <c r="B187" s="6">
        <v>45609</v>
      </c>
      <c r="C187" s="8" t="s">
        <v>80</v>
      </c>
      <c r="D187" s="5">
        <v>2024</v>
      </c>
      <c r="E187" s="7" t="s">
        <v>594</v>
      </c>
      <c r="F187" s="7" t="s">
        <v>39</v>
      </c>
      <c r="G187" s="7" t="s">
        <v>608</v>
      </c>
      <c r="H187" s="7" t="s">
        <v>625</v>
      </c>
      <c r="I187" s="7" t="s">
        <v>623</v>
      </c>
      <c r="J187" s="7" t="s">
        <v>615</v>
      </c>
      <c r="K187" s="7">
        <v>10</v>
      </c>
      <c r="L187" s="7">
        <v>8000</v>
      </c>
      <c r="M187" s="5">
        <v>80000</v>
      </c>
      <c r="N187" s="7">
        <v>64000</v>
      </c>
      <c r="O187" s="7">
        <v>16000</v>
      </c>
      <c r="P187" s="16">
        <v>0.2</v>
      </c>
    </row>
    <row r="188" spans="1:16" ht="15.75" thickBot="1" x14ac:dyDescent="0.3">
      <c r="A188" s="14" t="s">
        <v>241</v>
      </c>
      <c r="B188" s="6">
        <v>45628</v>
      </c>
      <c r="C188" s="10" t="s">
        <v>46</v>
      </c>
      <c r="D188" s="5">
        <v>2024</v>
      </c>
      <c r="E188" s="9" t="s">
        <v>592</v>
      </c>
      <c r="F188" s="9" t="s">
        <v>40</v>
      </c>
      <c r="G188" s="9" t="s">
        <v>612</v>
      </c>
      <c r="H188" s="9" t="s">
        <v>628</v>
      </c>
      <c r="I188" s="9" t="s">
        <v>623</v>
      </c>
      <c r="J188" s="9" t="s">
        <v>618</v>
      </c>
      <c r="K188" s="9">
        <v>17</v>
      </c>
      <c r="L188" s="9">
        <v>15000</v>
      </c>
      <c r="M188" s="5">
        <v>255000</v>
      </c>
      <c r="N188" s="9">
        <v>229500</v>
      </c>
      <c r="O188" s="9">
        <v>25500</v>
      </c>
      <c r="P188" s="17">
        <v>0.1</v>
      </c>
    </row>
    <row r="189" spans="1:16" ht="15.75" thickBot="1" x14ac:dyDescent="0.3">
      <c r="A189" s="13" t="s">
        <v>242</v>
      </c>
      <c r="B189" s="6">
        <v>45361</v>
      </c>
      <c r="C189" s="8" t="s">
        <v>46</v>
      </c>
      <c r="D189" s="5">
        <v>2024</v>
      </c>
      <c r="E189" s="7" t="s">
        <v>598</v>
      </c>
      <c r="F189" s="7" t="s">
        <v>40</v>
      </c>
      <c r="G189" s="7" t="s">
        <v>612</v>
      </c>
      <c r="H189" s="7" t="s">
        <v>625</v>
      </c>
      <c r="I189" s="7" t="s">
        <v>619</v>
      </c>
      <c r="J189" s="7" t="s">
        <v>618</v>
      </c>
      <c r="K189" s="7">
        <v>14</v>
      </c>
      <c r="L189" s="7">
        <v>12000</v>
      </c>
      <c r="M189" s="5">
        <v>168000</v>
      </c>
      <c r="N189" s="7">
        <v>126000</v>
      </c>
      <c r="O189" s="7">
        <v>42000</v>
      </c>
      <c r="P189" s="16">
        <v>0.25</v>
      </c>
    </row>
    <row r="190" spans="1:16" ht="15.75" thickBot="1" x14ac:dyDescent="0.3">
      <c r="A190" s="14" t="s">
        <v>243</v>
      </c>
      <c r="B190" s="6">
        <v>45606</v>
      </c>
      <c r="C190" s="10" t="s">
        <v>80</v>
      </c>
      <c r="D190" s="5">
        <v>2024</v>
      </c>
      <c r="E190" s="9" t="s">
        <v>601</v>
      </c>
      <c r="F190" s="9" t="s">
        <v>41</v>
      </c>
      <c r="G190" s="9" t="s">
        <v>610</v>
      </c>
      <c r="H190" s="9" t="s">
        <v>625</v>
      </c>
      <c r="I190" s="9" t="s">
        <v>630</v>
      </c>
      <c r="J190" s="9" t="s">
        <v>615</v>
      </c>
      <c r="K190" s="9">
        <v>5</v>
      </c>
      <c r="L190" s="9">
        <v>8000</v>
      </c>
      <c r="M190" s="5">
        <v>40000</v>
      </c>
      <c r="N190" s="9">
        <v>30400</v>
      </c>
      <c r="O190" s="9">
        <v>9600</v>
      </c>
      <c r="P190" s="17">
        <v>0.24</v>
      </c>
    </row>
    <row r="191" spans="1:16" ht="15.75" thickBot="1" x14ac:dyDescent="0.3">
      <c r="A191" s="13" t="s">
        <v>244</v>
      </c>
      <c r="B191" s="6">
        <v>45369</v>
      </c>
      <c r="C191" s="8" t="s">
        <v>62</v>
      </c>
      <c r="D191" s="5">
        <v>2024</v>
      </c>
      <c r="E191" s="7" t="s">
        <v>606</v>
      </c>
      <c r="F191" s="7" t="s">
        <v>40</v>
      </c>
      <c r="G191" s="7" t="s">
        <v>611</v>
      </c>
      <c r="H191" s="7" t="s">
        <v>625</v>
      </c>
      <c r="I191" s="9" t="s">
        <v>645</v>
      </c>
      <c r="J191" s="7" t="s">
        <v>618</v>
      </c>
      <c r="K191" s="7">
        <v>6</v>
      </c>
      <c r="L191" s="7">
        <v>50</v>
      </c>
      <c r="M191" s="5">
        <v>300</v>
      </c>
      <c r="N191" s="7">
        <v>183</v>
      </c>
      <c r="O191" s="7">
        <v>117</v>
      </c>
      <c r="P191" s="16">
        <v>0.39</v>
      </c>
    </row>
    <row r="192" spans="1:16" ht="15.75" thickBot="1" x14ac:dyDescent="0.3">
      <c r="A192" s="14" t="s">
        <v>245</v>
      </c>
      <c r="B192" s="6">
        <v>45588</v>
      </c>
      <c r="C192" s="10" t="s">
        <v>65</v>
      </c>
      <c r="D192" s="5">
        <v>2024</v>
      </c>
      <c r="E192" s="9" t="s">
        <v>605</v>
      </c>
      <c r="F192" s="9" t="s">
        <v>40</v>
      </c>
      <c r="G192" s="9" t="s">
        <v>609</v>
      </c>
      <c r="H192" s="9" t="s">
        <v>629</v>
      </c>
      <c r="I192" s="9" t="s">
        <v>645</v>
      </c>
      <c r="J192" s="9" t="s">
        <v>618</v>
      </c>
      <c r="K192" s="9">
        <v>9</v>
      </c>
      <c r="L192" s="9">
        <v>12000</v>
      </c>
      <c r="M192" s="5">
        <v>108000</v>
      </c>
      <c r="N192" s="9">
        <v>69120</v>
      </c>
      <c r="O192" s="9">
        <v>38880</v>
      </c>
      <c r="P192" s="17">
        <v>0.36</v>
      </c>
    </row>
    <row r="193" spans="1:16" ht="15.75" thickBot="1" x14ac:dyDescent="0.3">
      <c r="A193" s="13" t="s">
        <v>246</v>
      </c>
      <c r="B193" s="6">
        <v>45529</v>
      </c>
      <c r="C193" s="8" t="s">
        <v>46</v>
      </c>
      <c r="D193" s="5">
        <v>2024</v>
      </c>
      <c r="E193" s="7" t="s">
        <v>601</v>
      </c>
      <c r="F193" s="7" t="s">
        <v>41</v>
      </c>
      <c r="G193" s="7" t="s">
        <v>612</v>
      </c>
      <c r="H193" s="7" t="s">
        <v>624</v>
      </c>
      <c r="I193" s="7" t="s">
        <v>630</v>
      </c>
      <c r="J193" s="7" t="s">
        <v>615</v>
      </c>
      <c r="K193" s="7">
        <v>15</v>
      </c>
      <c r="L193" s="7">
        <v>45000</v>
      </c>
      <c r="M193" s="5">
        <v>675000</v>
      </c>
      <c r="N193" s="7">
        <v>425250</v>
      </c>
      <c r="O193" s="7">
        <v>249750</v>
      </c>
      <c r="P193" s="16">
        <v>0.37</v>
      </c>
    </row>
    <row r="194" spans="1:16" ht="15.75" thickBot="1" x14ac:dyDescent="0.3">
      <c r="A194" s="14" t="s">
        <v>247</v>
      </c>
      <c r="B194" s="6">
        <v>45624</v>
      </c>
      <c r="C194" s="10" t="s">
        <v>53</v>
      </c>
      <c r="D194" s="5">
        <v>2024</v>
      </c>
      <c r="E194" s="9" t="s">
        <v>598</v>
      </c>
      <c r="F194" s="9" t="s">
        <v>40</v>
      </c>
      <c r="G194" s="9" t="s">
        <v>608</v>
      </c>
      <c r="H194" s="9" t="s">
        <v>624</v>
      </c>
      <c r="I194" s="9" t="s">
        <v>623</v>
      </c>
      <c r="J194" s="9" t="s">
        <v>618</v>
      </c>
      <c r="K194" s="9">
        <v>20</v>
      </c>
      <c r="L194" s="9">
        <v>700</v>
      </c>
      <c r="M194" s="5">
        <v>14000</v>
      </c>
      <c r="N194" s="9">
        <v>11200</v>
      </c>
      <c r="O194" s="9">
        <v>2800</v>
      </c>
      <c r="P194" s="17">
        <v>0.2</v>
      </c>
    </row>
    <row r="195" spans="1:16" ht="15.75" thickBot="1" x14ac:dyDescent="0.3">
      <c r="A195" s="13" t="s">
        <v>248</v>
      </c>
      <c r="B195" s="6">
        <v>45460</v>
      </c>
      <c r="C195" s="8" t="s">
        <v>62</v>
      </c>
      <c r="D195" s="5">
        <v>2024</v>
      </c>
      <c r="E195" s="7" t="s">
        <v>593</v>
      </c>
      <c r="F195" s="7" t="s">
        <v>41</v>
      </c>
      <c r="G195" s="7" t="s">
        <v>609</v>
      </c>
      <c r="H195" s="7" t="s">
        <v>624</v>
      </c>
      <c r="I195" s="7" t="s">
        <v>614</v>
      </c>
      <c r="J195" s="7" t="s">
        <v>615</v>
      </c>
      <c r="K195" s="7">
        <v>8</v>
      </c>
      <c r="L195" s="7">
        <v>300</v>
      </c>
      <c r="M195" s="5">
        <v>2400</v>
      </c>
      <c r="N195" s="7">
        <v>1848</v>
      </c>
      <c r="O195" s="7">
        <v>552</v>
      </c>
      <c r="P195" s="16">
        <v>0.23</v>
      </c>
    </row>
    <row r="196" spans="1:16" ht="15.75" thickBot="1" x14ac:dyDescent="0.3">
      <c r="A196" s="14" t="s">
        <v>249</v>
      </c>
      <c r="B196" s="6">
        <v>45507</v>
      </c>
      <c r="C196" s="10" t="s">
        <v>59</v>
      </c>
      <c r="D196" s="5">
        <v>2024</v>
      </c>
      <c r="E196" s="9" t="s">
        <v>594</v>
      </c>
      <c r="F196" s="9" t="s">
        <v>39</v>
      </c>
      <c r="G196" s="9" t="s">
        <v>612</v>
      </c>
      <c r="H196" s="9" t="s">
        <v>620</v>
      </c>
      <c r="I196" s="9" t="s">
        <v>630</v>
      </c>
      <c r="J196" s="9" t="s">
        <v>618</v>
      </c>
      <c r="K196" s="9">
        <v>16</v>
      </c>
      <c r="L196" s="9">
        <v>7000</v>
      </c>
      <c r="M196" s="5">
        <v>112000</v>
      </c>
      <c r="N196" s="9">
        <v>82880</v>
      </c>
      <c r="O196" s="9">
        <v>29120</v>
      </c>
      <c r="P196" s="17">
        <v>0.26</v>
      </c>
    </row>
    <row r="197" spans="1:16" ht="15.75" thickBot="1" x14ac:dyDescent="0.3">
      <c r="A197" s="13" t="s">
        <v>250</v>
      </c>
      <c r="B197" s="6">
        <v>45595</v>
      </c>
      <c r="C197" s="8" t="s">
        <v>44</v>
      </c>
      <c r="D197" s="5">
        <v>2024</v>
      </c>
      <c r="E197" s="7" t="s">
        <v>603</v>
      </c>
      <c r="F197" s="7" t="s">
        <v>42</v>
      </c>
      <c r="G197" s="7" t="s">
        <v>609</v>
      </c>
      <c r="H197" s="7" t="s">
        <v>620</v>
      </c>
      <c r="I197" s="7" t="s">
        <v>623</v>
      </c>
      <c r="J197" s="7" t="s">
        <v>615</v>
      </c>
      <c r="K197" s="7">
        <v>7</v>
      </c>
      <c r="L197" s="7">
        <v>20</v>
      </c>
      <c r="M197" s="5">
        <v>140</v>
      </c>
      <c r="N197" s="7">
        <v>121.8</v>
      </c>
      <c r="O197" s="7">
        <v>18.200000000000003</v>
      </c>
      <c r="P197" s="16">
        <v>0.13000000000000003</v>
      </c>
    </row>
    <row r="198" spans="1:16" ht="15.75" thickBot="1" x14ac:dyDescent="0.3">
      <c r="A198" s="14" t="s">
        <v>251</v>
      </c>
      <c r="B198" s="6">
        <v>45638</v>
      </c>
      <c r="C198" s="10" t="s">
        <v>65</v>
      </c>
      <c r="D198" s="5">
        <v>2024</v>
      </c>
      <c r="E198" s="9" t="s">
        <v>596</v>
      </c>
      <c r="F198" s="9" t="s">
        <v>39</v>
      </c>
      <c r="G198" s="9" t="s">
        <v>610</v>
      </c>
      <c r="H198" s="9" t="s">
        <v>622</v>
      </c>
      <c r="I198" s="9" t="s">
        <v>645</v>
      </c>
      <c r="J198" s="9" t="s">
        <v>618</v>
      </c>
      <c r="K198" s="9">
        <v>10</v>
      </c>
      <c r="L198" s="9">
        <v>45000</v>
      </c>
      <c r="M198" s="5">
        <v>450000</v>
      </c>
      <c r="N198" s="9">
        <v>324000</v>
      </c>
      <c r="O198" s="9">
        <v>126000</v>
      </c>
      <c r="P198" s="17">
        <v>0.28000000000000003</v>
      </c>
    </row>
    <row r="199" spans="1:16" ht="15.75" thickBot="1" x14ac:dyDescent="0.3">
      <c r="A199" s="13" t="s">
        <v>252</v>
      </c>
      <c r="B199" s="6">
        <v>45321</v>
      </c>
      <c r="C199" s="8" t="s">
        <v>80</v>
      </c>
      <c r="D199" s="5">
        <v>2024</v>
      </c>
      <c r="E199" s="7" t="s">
        <v>592</v>
      </c>
      <c r="F199" s="7" t="s">
        <v>40</v>
      </c>
      <c r="G199" s="7" t="s">
        <v>609</v>
      </c>
      <c r="H199" s="7" t="s">
        <v>629</v>
      </c>
      <c r="I199" s="7" t="s">
        <v>617</v>
      </c>
      <c r="J199" s="7" t="s">
        <v>618</v>
      </c>
      <c r="K199" s="7">
        <v>11</v>
      </c>
      <c r="L199" s="7">
        <v>55000</v>
      </c>
      <c r="M199" s="5">
        <v>605000</v>
      </c>
      <c r="N199" s="7">
        <v>477950</v>
      </c>
      <c r="O199" s="7">
        <v>127050</v>
      </c>
      <c r="P199" s="16">
        <v>0.21</v>
      </c>
    </row>
    <row r="200" spans="1:16" ht="15.75" thickBot="1" x14ac:dyDescent="0.3">
      <c r="A200" s="14" t="s">
        <v>253</v>
      </c>
      <c r="B200" s="6">
        <v>45315</v>
      </c>
      <c r="C200" s="10" t="s">
        <v>83</v>
      </c>
      <c r="D200" s="5">
        <v>2024</v>
      </c>
      <c r="E200" s="9" t="s">
        <v>601</v>
      </c>
      <c r="F200" s="9" t="s">
        <v>41</v>
      </c>
      <c r="G200" s="9" t="s">
        <v>610</v>
      </c>
      <c r="H200" s="9" t="s">
        <v>620</v>
      </c>
      <c r="I200" s="9" t="s">
        <v>619</v>
      </c>
      <c r="J200" s="9" t="s">
        <v>615</v>
      </c>
      <c r="K200" s="9">
        <v>1</v>
      </c>
      <c r="L200" s="9">
        <v>4000</v>
      </c>
      <c r="M200" s="5">
        <v>4000</v>
      </c>
      <c r="N200" s="9">
        <v>3600</v>
      </c>
      <c r="O200" s="9">
        <v>400</v>
      </c>
      <c r="P200" s="17">
        <v>0.1</v>
      </c>
    </row>
    <row r="201" spans="1:16" ht="15.75" thickBot="1" x14ac:dyDescent="0.3">
      <c r="A201" s="13" t="s">
        <v>254</v>
      </c>
      <c r="B201" s="6">
        <v>45352</v>
      </c>
      <c r="C201" s="8" t="s">
        <v>80</v>
      </c>
      <c r="D201" s="5">
        <v>2024</v>
      </c>
      <c r="E201" s="7" t="s">
        <v>603</v>
      </c>
      <c r="F201" s="7" t="s">
        <v>42</v>
      </c>
      <c r="G201" s="7" t="s">
        <v>611</v>
      </c>
      <c r="H201" s="7" t="s">
        <v>626</v>
      </c>
      <c r="I201" s="9" t="s">
        <v>645</v>
      </c>
      <c r="J201" s="7" t="s">
        <v>615</v>
      </c>
      <c r="K201" s="7">
        <v>2</v>
      </c>
      <c r="L201" s="7">
        <v>9000</v>
      </c>
      <c r="M201" s="5">
        <v>18000</v>
      </c>
      <c r="N201" s="7">
        <v>10980</v>
      </c>
      <c r="O201" s="7">
        <v>7020</v>
      </c>
      <c r="P201" s="16">
        <v>0.39</v>
      </c>
    </row>
    <row r="202" spans="1:16" ht="15.75" thickBot="1" x14ac:dyDescent="0.3">
      <c r="A202" s="14" t="s">
        <v>255</v>
      </c>
      <c r="B202" s="6">
        <v>45445</v>
      </c>
      <c r="C202" s="10" t="s">
        <v>59</v>
      </c>
      <c r="D202" s="5">
        <v>2024</v>
      </c>
      <c r="E202" s="9" t="s">
        <v>597</v>
      </c>
      <c r="F202" s="9" t="s">
        <v>41</v>
      </c>
      <c r="G202" s="9" t="s">
        <v>608</v>
      </c>
      <c r="H202" s="9" t="s">
        <v>626</v>
      </c>
      <c r="I202" s="9" t="s">
        <v>627</v>
      </c>
      <c r="J202" s="9" t="s">
        <v>615</v>
      </c>
      <c r="K202" s="9">
        <v>8</v>
      </c>
      <c r="L202" s="9">
        <v>7000</v>
      </c>
      <c r="M202" s="5">
        <v>56000</v>
      </c>
      <c r="N202" s="9">
        <v>39760</v>
      </c>
      <c r="O202" s="9">
        <v>16240</v>
      </c>
      <c r="P202" s="17">
        <v>0.28999999999999998</v>
      </c>
    </row>
    <row r="203" spans="1:16" ht="15.75" thickBot="1" x14ac:dyDescent="0.3">
      <c r="A203" s="13" t="s">
        <v>256</v>
      </c>
      <c r="B203" s="6">
        <v>45301</v>
      </c>
      <c r="C203" s="8" t="s">
        <v>48</v>
      </c>
      <c r="D203" s="5">
        <v>2024</v>
      </c>
      <c r="E203" s="7" t="s">
        <v>601</v>
      </c>
      <c r="F203" s="7" t="s">
        <v>41</v>
      </c>
      <c r="G203" s="7" t="s">
        <v>608</v>
      </c>
      <c r="H203" s="7" t="s">
        <v>626</v>
      </c>
      <c r="I203" s="7" t="s">
        <v>614</v>
      </c>
      <c r="J203" s="7" t="s">
        <v>618</v>
      </c>
      <c r="K203" s="7">
        <v>8</v>
      </c>
      <c r="L203" s="7">
        <v>50</v>
      </c>
      <c r="M203" s="5">
        <v>400</v>
      </c>
      <c r="N203" s="7">
        <v>248</v>
      </c>
      <c r="O203" s="7">
        <v>152</v>
      </c>
      <c r="P203" s="16">
        <v>0.38</v>
      </c>
    </row>
    <row r="204" spans="1:16" ht="15.75" thickBot="1" x14ac:dyDescent="0.3">
      <c r="A204" s="14" t="s">
        <v>257</v>
      </c>
      <c r="B204" s="6">
        <v>45335</v>
      </c>
      <c r="C204" s="10" t="s">
        <v>57</v>
      </c>
      <c r="D204" s="5">
        <v>2024</v>
      </c>
      <c r="E204" s="9" t="s">
        <v>602</v>
      </c>
      <c r="F204" s="9" t="s">
        <v>42</v>
      </c>
      <c r="G204" s="9" t="s">
        <v>608</v>
      </c>
      <c r="H204" s="9" t="s">
        <v>626</v>
      </c>
      <c r="I204" s="9" t="s">
        <v>614</v>
      </c>
      <c r="J204" s="9" t="s">
        <v>618</v>
      </c>
      <c r="K204" s="9">
        <v>13</v>
      </c>
      <c r="L204" s="9">
        <v>20</v>
      </c>
      <c r="M204" s="5">
        <v>260</v>
      </c>
      <c r="N204" s="9">
        <v>228.8</v>
      </c>
      <c r="O204" s="9">
        <v>31.199999999999989</v>
      </c>
      <c r="P204" s="17">
        <v>0.11999999999999995</v>
      </c>
    </row>
    <row r="205" spans="1:16" ht="15.75" thickBot="1" x14ac:dyDescent="0.3">
      <c r="A205" s="13" t="s">
        <v>258</v>
      </c>
      <c r="B205" s="6">
        <v>45304</v>
      </c>
      <c r="C205" s="8" t="s">
        <v>53</v>
      </c>
      <c r="D205" s="5">
        <v>2024</v>
      </c>
      <c r="E205" s="7" t="s">
        <v>593</v>
      </c>
      <c r="F205" s="7" t="s">
        <v>41</v>
      </c>
      <c r="G205" s="7" t="s">
        <v>609</v>
      </c>
      <c r="H205" s="7" t="s">
        <v>613</v>
      </c>
      <c r="I205" s="7" t="s">
        <v>619</v>
      </c>
      <c r="J205" s="7" t="s">
        <v>615</v>
      </c>
      <c r="K205" s="7">
        <v>17</v>
      </c>
      <c r="L205" s="7">
        <v>50</v>
      </c>
      <c r="M205" s="5">
        <v>850</v>
      </c>
      <c r="N205" s="7">
        <v>586.5</v>
      </c>
      <c r="O205" s="7">
        <v>263.5</v>
      </c>
      <c r="P205" s="16">
        <v>0.31</v>
      </c>
    </row>
    <row r="206" spans="1:16" ht="15.75" thickBot="1" x14ac:dyDescent="0.3">
      <c r="A206" s="14" t="s">
        <v>259</v>
      </c>
      <c r="B206" s="6">
        <v>45474</v>
      </c>
      <c r="C206" s="10" t="s">
        <v>44</v>
      </c>
      <c r="D206" s="5">
        <v>2024</v>
      </c>
      <c r="E206" s="9" t="s">
        <v>607</v>
      </c>
      <c r="F206" s="9" t="s">
        <v>42</v>
      </c>
      <c r="G206" s="9" t="s">
        <v>608</v>
      </c>
      <c r="H206" s="9" t="s">
        <v>629</v>
      </c>
      <c r="I206" s="9" t="s">
        <v>617</v>
      </c>
      <c r="J206" s="9" t="s">
        <v>615</v>
      </c>
      <c r="K206" s="9">
        <v>20</v>
      </c>
      <c r="L206" s="9">
        <v>9000</v>
      </c>
      <c r="M206" s="5">
        <v>180000</v>
      </c>
      <c r="N206" s="9">
        <v>153000</v>
      </c>
      <c r="O206" s="9">
        <v>27000</v>
      </c>
      <c r="P206" s="17">
        <v>0.15</v>
      </c>
    </row>
    <row r="207" spans="1:16" ht="15.75" thickBot="1" x14ac:dyDescent="0.3">
      <c r="A207" s="13" t="s">
        <v>260</v>
      </c>
      <c r="B207" s="6">
        <v>45335</v>
      </c>
      <c r="C207" s="8" t="s">
        <v>48</v>
      </c>
      <c r="D207" s="5">
        <v>2024</v>
      </c>
      <c r="E207" s="7" t="s">
        <v>596</v>
      </c>
      <c r="F207" s="7" t="s">
        <v>39</v>
      </c>
      <c r="G207" s="7" t="s">
        <v>609</v>
      </c>
      <c r="H207" s="7" t="s">
        <v>628</v>
      </c>
      <c r="I207" s="7" t="s">
        <v>619</v>
      </c>
      <c r="J207" s="7" t="s">
        <v>618</v>
      </c>
      <c r="K207" s="7">
        <v>4</v>
      </c>
      <c r="L207" s="7">
        <v>25000</v>
      </c>
      <c r="M207" s="5">
        <v>100000</v>
      </c>
      <c r="N207" s="7">
        <v>73000</v>
      </c>
      <c r="O207" s="7">
        <v>27000</v>
      </c>
      <c r="P207" s="16">
        <v>0.27</v>
      </c>
    </row>
    <row r="208" spans="1:16" ht="15.75" thickBot="1" x14ac:dyDescent="0.3">
      <c r="A208" s="14" t="s">
        <v>261</v>
      </c>
      <c r="B208" s="6">
        <v>45551</v>
      </c>
      <c r="C208" s="10" t="s">
        <v>59</v>
      </c>
      <c r="D208" s="5">
        <v>2024</v>
      </c>
      <c r="E208" s="9" t="s">
        <v>603</v>
      </c>
      <c r="F208" s="9" t="s">
        <v>42</v>
      </c>
      <c r="G208" s="9" t="s">
        <v>609</v>
      </c>
      <c r="H208" s="9" t="s">
        <v>620</v>
      </c>
      <c r="I208" s="9" t="s">
        <v>627</v>
      </c>
      <c r="J208" s="9" t="s">
        <v>615</v>
      </c>
      <c r="K208" s="9">
        <v>11</v>
      </c>
      <c r="L208" s="9">
        <v>3500</v>
      </c>
      <c r="M208" s="5">
        <v>38500</v>
      </c>
      <c r="N208" s="9">
        <v>28490</v>
      </c>
      <c r="O208" s="9">
        <v>10010</v>
      </c>
      <c r="P208" s="17">
        <v>0.26</v>
      </c>
    </row>
    <row r="209" spans="1:16" ht="15.75" thickBot="1" x14ac:dyDescent="0.3">
      <c r="A209" s="13" t="s">
        <v>262</v>
      </c>
      <c r="B209" s="6">
        <v>45489</v>
      </c>
      <c r="C209" s="8" t="s">
        <v>65</v>
      </c>
      <c r="D209" s="5">
        <v>2024</v>
      </c>
      <c r="E209" s="7" t="s">
        <v>599</v>
      </c>
      <c r="F209" s="7" t="s">
        <v>39</v>
      </c>
      <c r="G209" s="7" t="s">
        <v>610</v>
      </c>
      <c r="H209" s="7" t="s">
        <v>621</v>
      </c>
      <c r="I209" s="7" t="s">
        <v>614</v>
      </c>
      <c r="J209" s="7" t="s">
        <v>618</v>
      </c>
      <c r="K209" s="7">
        <v>8</v>
      </c>
      <c r="L209" s="7">
        <v>4000</v>
      </c>
      <c r="M209" s="5">
        <v>32000</v>
      </c>
      <c r="N209" s="7">
        <v>24640</v>
      </c>
      <c r="O209" s="7">
        <v>7360</v>
      </c>
      <c r="P209" s="16">
        <v>0.23</v>
      </c>
    </row>
    <row r="210" spans="1:16" ht="15.75" thickBot="1" x14ac:dyDescent="0.3">
      <c r="A210" s="14" t="s">
        <v>263</v>
      </c>
      <c r="B210" s="6">
        <v>45456</v>
      </c>
      <c r="C210" s="10" t="s">
        <v>57</v>
      </c>
      <c r="D210" s="5">
        <v>2024</v>
      </c>
      <c r="E210" s="9" t="s">
        <v>593</v>
      </c>
      <c r="F210" s="9" t="s">
        <v>41</v>
      </c>
      <c r="G210" s="9" t="s">
        <v>611</v>
      </c>
      <c r="H210" s="9" t="s">
        <v>624</v>
      </c>
      <c r="I210" s="9" t="s">
        <v>614</v>
      </c>
      <c r="J210" s="9" t="s">
        <v>618</v>
      </c>
      <c r="K210" s="9">
        <v>2</v>
      </c>
      <c r="L210" s="9">
        <v>8000</v>
      </c>
      <c r="M210" s="5">
        <v>16000</v>
      </c>
      <c r="N210" s="9">
        <v>10880</v>
      </c>
      <c r="O210" s="9">
        <v>5120</v>
      </c>
      <c r="P210" s="17">
        <v>0.32</v>
      </c>
    </row>
    <row r="211" spans="1:16" ht="15.75" thickBot="1" x14ac:dyDescent="0.3">
      <c r="A211" s="13" t="s">
        <v>264</v>
      </c>
      <c r="B211" s="6">
        <v>45583</v>
      </c>
      <c r="C211" s="8" t="s">
        <v>65</v>
      </c>
      <c r="D211" s="5">
        <v>2024</v>
      </c>
      <c r="E211" s="7" t="s">
        <v>594</v>
      </c>
      <c r="F211" s="7" t="s">
        <v>39</v>
      </c>
      <c r="G211" s="7" t="s">
        <v>611</v>
      </c>
      <c r="H211" s="7" t="s">
        <v>616</v>
      </c>
      <c r="I211" s="7" t="s">
        <v>617</v>
      </c>
      <c r="J211" s="7" t="s">
        <v>615</v>
      </c>
      <c r="K211" s="7">
        <v>9</v>
      </c>
      <c r="L211" s="7">
        <v>4000</v>
      </c>
      <c r="M211" s="5">
        <v>36000</v>
      </c>
      <c r="N211" s="7">
        <v>24480</v>
      </c>
      <c r="O211" s="7">
        <v>11520</v>
      </c>
      <c r="P211" s="16">
        <v>0.32</v>
      </c>
    </row>
    <row r="212" spans="1:16" ht="15.75" thickBot="1" x14ac:dyDescent="0.3">
      <c r="A212" s="14" t="s">
        <v>265</v>
      </c>
      <c r="B212" s="6">
        <v>45523</v>
      </c>
      <c r="C212" s="10" t="s">
        <v>55</v>
      </c>
      <c r="D212" s="5">
        <v>2024</v>
      </c>
      <c r="E212" s="9" t="s">
        <v>602</v>
      </c>
      <c r="F212" s="9" t="s">
        <v>42</v>
      </c>
      <c r="G212" s="9" t="s">
        <v>610</v>
      </c>
      <c r="H212" s="9" t="s">
        <v>620</v>
      </c>
      <c r="I212" s="9" t="s">
        <v>614</v>
      </c>
      <c r="J212" s="9" t="s">
        <v>615</v>
      </c>
      <c r="K212" s="9">
        <v>17</v>
      </c>
      <c r="L212" s="9">
        <v>45000</v>
      </c>
      <c r="M212" s="5">
        <v>765000</v>
      </c>
      <c r="N212" s="9">
        <v>459000</v>
      </c>
      <c r="O212" s="9">
        <v>306000</v>
      </c>
      <c r="P212" s="17">
        <v>0.4</v>
      </c>
    </row>
    <row r="213" spans="1:16" ht="15.75" thickBot="1" x14ac:dyDescent="0.3">
      <c r="A213" s="13" t="s">
        <v>266</v>
      </c>
      <c r="B213" s="6">
        <v>45545</v>
      </c>
      <c r="C213" s="8" t="s">
        <v>53</v>
      </c>
      <c r="D213" s="5">
        <v>2024</v>
      </c>
      <c r="E213" s="7" t="s">
        <v>598</v>
      </c>
      <c r="F213" s="7" t="s">
        <v>40</v>
      </c>
      <c r="G213" s="7" t="s">
        <v>608</v>
      </c>
      <c r="H213" s="7" t="s">
        <v>624</v>
      </c>
      <c r="I213" s="7" t="s">
        <v>623</v>
      </c>
      <c r="J213" s="7" t="s">
        <v>615</v>
      </c>
      <c r="K213" s="7">
        <v>14</v>
      </c>
      <c r="L213" s="7">
        <v>3500</v>
      </c>
      <c r="M213" s="5">
        <v>49000</v>
      </c>
      <c r="N213" s="7">
        <v>41650</v>
      </c>
      <c r="O213" s="7">
        <v>7350</v>
      </c>
      <c r="P213" s="16">
        <v>0.15</v>
      </c>
    </row>
    <row r="214" spans="1:16" ht="15.75" thickBot="1" x14ac:dyDescent="0.3">
      <c r="A214" s="14" t="s">
        <v>267</v>
      </c>
      <c r="B214" s="6">
        <v>45446</v>
      </c>
      <c r="C214" s="10" t="s">
        <v>55</v>
      </c>
      <c r="D214" s="5">
        <v>2024</v>
      </c>
      <c r="E214" s="9" t="s">
        <v>601</v>
      </c>
      <c r="F214" s="9" t="s">
        <v>41</v>
      </c>
      <c r="G214" s="9" t="s">
        <v>610</v>
      </c>
      <c r="H214" s="9" t="s">
        <v>625</v>
      </c>
      <c r="I214" s="9" t="s">
        <v>623</v>
      </c>
      <c r="J214" s="9" t="s">
        <v>618</v>
      </c>
      <c r="K214" s="9">
        <v>1</v>
      </c>
      <c r="L214" s="9">
        <v>20</v>
      </c>
      <c r="M214" s="5">
        <v>20</v>
      </c>
      <c r="N214" s="9">
        <v>13.2</v>
      </c>
      <c r="O214" s="9">
        <v>6.8000000000000007</v>
      </c>
      <c r="P214" s="17">
        <v>0.34</v>
      </c>
    </row>
    <row r="215" spans="1:16" ht="15.75" thickBot="1" x14ac:dyDescent="0.3">
      <c r="A215" s="13" t="s">
        <v>268</v>
      </c>
      <c r="B215" s="6">
        <v>45327</v>
      </c>
      <c r="C215" s="8" t="s">
        <v>55</v>
      </c>
      <c r="D215" s="5">
        <v>2024</v>
      </c>
      <c r="E215" s="7" t="s">
        <v>606</v>
      </c>
      <c r="F215" s="7" t="s">
        <v>40</v>
      </c>
      <c r="G215" s="7" t="s">
        <v>612</v>
      </c>
      <c r="H215" s="7" t="s">
        <v>622</v>
      </c>
      <c r="I215" s="7" t="s">
        <v>627</v>
      </c>
      <c r="J215" s="7" t="s">
        <v>618</v>
      </c>
      <c r="K215" s="7">
        <v>3</v>
      </c>
      <c r="L215" s="7">
        <v>45000</v>
      </c>
      <c r="M215" s="5">
        <v>135000</v>
      </c>
      <c r="N215" s="7">
        <v>101250</v>
      </c>
      <c r="O215" s="7">
        <v>33750</v>
      </c>
      <c r="P215" s="16">
        <v>0.25</v>
      </c>
    </row>
    <row r="216" spans="1:16" ht="15.75" thickBot="1" x14ac:dyDescent="0.3">
      <c r="A216" s="14" t="s">
        <v>269</v>
      </c>
      <c r="B216" s="6">
        <v>45352</v>
      </c>
      <c r="C216" s="10" t="s">
        <v>55</v>
      </c>
      <c r="D216" s="5">
        <v>2024</v>
      </c>
      <c r="E216" s="9" t="s">
        <v>598</v>
      </c>
      <c r="F216" s="9" t="s">
        <v>40</v>
      </c>
      <c r="G216" s="9" t="s">
        <v>608</v>
      </c>
      <c r="H216" s="9" t="s">
        <v>620</v>
      </c>
      <c r="I216" s="9" t="s">
        <v>627</v>
      </c>
      <c r="J216" s="9" t="s">
        <v>618</v>
      </c>
      <c r="K216" s="9">
        <v>6</v>
      </c>
      <c r="L216" s="9">
        <v>1200</v>
      </c>
      <c r="M216" s="5">
        <v>7200</v>
      </c>
      <c r="N216" s="9">
        <v>5328</v>
      </c>
      <c r="O216" s="9">
        <v>1872</v>
      </c>
      <c r="P216" s="17">
        <v>0.26</v>
      </c>
    </row>
    <row r="217" spans="1:16" ht="15.75" thickBot="1" x14ac:dyDescent="0.3">
      <c r="A217" s="13" t="s">
        <v>270</v>
      </c>
      <c r="B217" s="6">
        <v>45542</v>
      </c>
      <c r="C217" s="8" t="s">
        <v>55</v>
      </c>
      <c r="D217" s="5">
        <v>2024</v>
      </c>
      <c r="E217" s="7" t="s">
        <v>603</v>
      </c>
      <c r="F217" s="7" t="s">
        <v>42</v>
      </c>
      <c r="G217" s="7" t="s">
        <v>612</v>
      </c>
      <c r="H217" s="7" t="s">
        <v>621</v>
      </c>
      <c r="I217" s="7" t="s">
        <v>614</v>
      </c>
      <c r="J217" s="7" t="s">
        <v>618</v>
      </c>
      <c r="K217" s="7">
        <v>11</v>
      </c>
      <c r="L217" s="7">
        <v>8000</v>
      </c>
      <c r="M217" s="5">
        <v>88000</v>
      </c>
      <c r="N217" s="7">
        <v>76560</v>
      </c>
      <c r="O217" s="7">
        <v>11440</v>
      </c>
      <c r="P217" s="16">
        <v>0.13</v>
      </c>
    </row>
    <row r="218" spans="1:16" ht="15.75" thickBot="1" x14ac:dyDescent="0.3">
      <c r="A218" s="14" t="s">
        <v>271</v>
      </c>
      <c r="B218" s="6">
        <v>45480</v>
      </c>
      <c r="C218" s="10" t="s">
        <v>57</v>
      </c>
      <c r="D218" s="5">
        <v>2024</v>
      </c>
      <c r="E218" s="9" t="s">
        <v>600</v>
      </c>
      <c r="F218" s="9" t="s">
        <v>39</v>
      </c>
      <c r="G218" s="9" t="s">
        <v>610</v>
      </c>
      <c r="H218" s="9" t="s">
        <v>621</v>
      </c>
      <c r="I218" s="9" t="s">
        <v>617</v>
      </c>
      <c r="J218" s="9" t="s">
        <v>615</v>
      </c>
      <c r="K218" s="9">
        <v>8</v>
      </c>
      <c r="L218" s="9">
        <v>700</v>
      </c>
      <c r="M218" s="5">
        <v>5600</v>
      </c>
      <c r="N218" s="9">
        <v>3696</v>
      </c>
      <c r="O218" s="9">
        <v>1904</v>
      </c>
      <c r="P218" s="17">
        <v>0.34</v>
      </c>
    </row>
    <row r="219" spans="1:16" ht="15.75" thickBot="1" x14ac:dyDescent="0.3">
      <c r="A219" s="13" t="s">
        <v>272</v>
      </c>
      <c r="B219" s="6">
        <v>45583</v>
      </c>
      <c r="C219" s="8" t="s">
        <v>57</v>
      </c>
      <c r="D219" s="5">
        <v>2024</v>
      </c>
      <c r="E219" s="7" t="s">
        <v>605</v>
      </c>
      <c r="F219" s="7" t="s">
        <v>40</v>
      </c>
      <c r="G219" s="7" t="s">
        <v>610</v>
      </c>
      <c r="H219" s="7" t="s">
        <v>621</v>
      </c>
      <c r="I219" s="9" t="s">
        <v>645</v>
      </c>
      <c r="J219" s="7" t="s">
        <v>618</v>
      </c>
      <c r="K219" s="7">
        <v>12</v>
      </c>
      <c r="L219" s="7">
        <v>15000</v>
      </c>
      <c r="M219" s="5">
        <v>180000</v>
      </c>
      <c r="N219" s="7">
        <v>144000</v>
      </c>
      <c r="O219" s="7">
        <v>36000</v>
      </c>
      <c r="P219" s="16">
        <v>0.2</v>
      </c>
    </row>
    <row r="220" spans="1:16" ht="15.75" thickBot="1" x14ac:dyDescent="0.3">
      <c r="A220" s="14" t="s">
        <v>273</v>
      </c>
      <c r="B220" s="6">
        <v>45348</v>
      </c>
      <c r="C220" s="10" t="s">
        <v>44</v>
      </c>
      <c r="D220" s="5">
        <v>2024</v>
      </c>
      <c r="E220" s="9" t="s">
        <v>605</v>
      </c>
      <c r="F220" s="9" t="s">
        <v>40</v>
      </c>
      <c r="G220" s="9" t="s">
        <v>609</v>
      </c>
      <c r="H220" s="9" t="s">
        <v>613</v>
      </c>
      <c r="I220" s="9" t="s">
        <v>614</v>
      </c>
      <c r="J220" s="9" t="s">
        <v>615</v>
      </c>
      <c r="K220" s="9">
        <v>19</v>
      </c>
      <c r="L220" s="9">
        <v>12000</v>
      </c>
      <c r="M220" s="5">
        <v>228000</v>
      </c>
      <c r="N220" s="9">
        <v>173280</v>
      </c>
      <c r="O220" s="9">
        <v>54720</v>
      </c>
      <c r="P220" s="17">
        <v>0.24</v>
      </c>
    </row>
    <row r="221" spans="1:16" ht="15.75" thickBot="1" x14ac:dyDescent="0.3">
      <c r="A221" s="13" t="s">
        <v>274</v>
      </c>
      <c r="B221" s="6">
        <v>45433</v>
      </c>
      <c r="C221" s="8" t="s">
        <v>65</v>
      </c>
      <c r="D221" s="5">
        <v>2024</v>
      </c>
      <c r="E221" s="7" t="s">
        <v>606</v>
      </c>
      <c r="F221" s="7" t="s">
        <v>40</v>
      </c>
      <c r="G221" s="7" t="s">
        <v>612</v>
      </c>
      <c r="H221" s="7" t="s">
        <v>620</v>
      </c>
      <c r="I221" s="7" t="s">
        <v>627</v>
      </c>
      <c r="J221" s="7" t="s">
        <v>615</v>
      </c>
      <c r="K221" s="7">
        <v>11</v>
      </c>
      <c r="L221" s="7">
        <v>4000</v>
      </c>
      <c r="M221" s="5">
        <v>44000</v>
      </c>
      <c r="N221" s="7">
        <v>34320</v>
      </c>
      <c r="O221" s="7">
        <v>9680</v>
      </c>
      <c r="P221" s="16">
        <v>0.22</v>
      </c>
    </row>
    <row r="222" spans="1:16" ht="15.75" thickBot="1" x14ac:dyDescent="0.3">
      <c r="A222" s="14" t="s">
        <v>275</v>
      </c>
      <c r="B222" s="6">
        <v>45601</v>
      </c>
      <c r="C222" s="10" t="s">
        <v>50</v>
      </c>
      <c r="D222" s="5">
        <v>2024</v>
      </c>
      <c r="E222" s="9" t="s">
        <v>593</v>
      </c>
      <c r="F222" s="9" t="s">
        <v>41</v>
      </c>
      <c r="G222" s="9" t="s">
        <v>609</v>
      </c>
      <c r="H222" s="9" t="s">
        <v>613</v>
      </c>
      <c r="I222" s="9" t="s">
        <v>645</v>
      </c>
      <c r="J222" s="9" t="s">
        <v>615</v>
      </c>
      <c r="K222" s="9">
        <v>14</v>
      </c>
      <c r="L222" s="9">
        <v>7000</v>
      </c>
      <c r="M222" s="5">
        <v>98000</v>
      </c>
      <c r="N222" s="9">
        <v>76440</v>
      </c>
      <c r="O222" s="9">
        <v>21560</v>
      </c>
      <c r="P222" s="17">
        <v>0.22</v>
      </c>
    </row>
    <row r="223" spans="1:16" ht="15.75" thickBot="1" x14ac:dyDescent="0.3">
      <c r="A223" s="13" t="s">
        <v>276</v>
      </c>
      <c r="B223" s="6">
        <v>45586</v>
      </c>
      <c r="C223" s="8" t="s">
        <v>62</v>
      </c>
      <c r="D223" s="5">
        <v>2024</v>
      </c>
      <c r="E223" s="7" t="s">
        <v>592</v>
      </c>
      <c r="F223" s="7" t="s">
        <v>40</v>
      </c>
      <c r="G223" s="7" t="s">
        <v>608</v>
      </c>
      <c r="H223" s="7" t="s">
        <v>622</v>
      </c>
      <c r="I223" s="7" t="s">
        <v>617</v>
      </c>
      <c r="J223" s="7" t="s">
        <v>615</v>
      </c>
      <c r="K223" s="7">
        <v>17</v>
      </c>
      <c r="L223" s="7">
        <v>8000</v>
      </c>
      <c r="M223" s="5">
        <v>136000</v>
      </c>
      <c r="N223" s="7">
        <v>103360</v>
      </c>
      <c r="O223" s="7">
        <v>32640</v>
      </c>
      <c r="P223" s="16">
        <v>0.24</v>
      </c>
    </row>
    <row r="224" spans="1:16" ht="15.75" thickBot="1" x14ac:dyDescent="0.3">
      <c r="A224" s="14" t="s">
        <v>277</v>
      </c>
      <c r="B224" s="6">
        <v>45482</v>
      </c>
      <c r="C224" s="10" t="s">
        <v>55</v>
      </c>
      <c r="D224" s="5">
        <v>2024</v>
      </c>
      <c r="E224" s="9" t="s">
        <v>605</v>
      </c>
      <c r="F224" s="9" t="s">
        <v>40</v>
      </c>
      <c r="G224" s="9" t="s">
        <v>608</v>
      </c>
      <c r="H224" s="9" t="s">
        <v>622</v>
      </c>
      <c r="I224" s="9" t="s">
        <v>623</v>
      </c>
      <c r="J224" s="9" t="s">
        <v>615</v>
      </c>
      <c r="K224" s="9">
        <v>13</v>
      </c>
      <c r="L224" s="9">
        <v>7000</v>
      </c>
      <c r="M224" s="5">
        <v>91000</v>
      </c>
      <c r="N224" s="9">
        <v>69160</v>
      </c>
      <c r="O224" s="9">
        <v>21840</v>
      </c>
      <c r="P224" s="17">
        <v>0.24</v>
      </c>
    </row>
    <row r="225" spans="1:16" ht="15.75" thickBot="1" x14ac:dyDescent="0.3">
      <c r="A225" s="13" t="s">
        <v>278</v>
      </c>
      <c r="B225" s="6">
        <v>45323</v>
      </c>
      <c r="C225" s="8" t="s">
        <v>44</v>
      </c>
      <c r="D225" s="5">
        <v>2024</v>
      </c>
      <c r="E225" s="7" t="s">
        <v>595</v>
      </c>
      <c r="F225" s="7" t="s">
        <v>39</v>
      </c>
      <c r="G225" s="7" t="s">
        <v>611</v>
      </c>
      <c r="H225" s="7" t="s">
        <v>625</v>
      </c>
      <c r="I225" s="9" t="s">
        <v>645</v>
      </c>
      <c r="J225" s="7" t="s">
        <v>618</v>
      </c>
      <c r="K225" s="7">
        <v>10</v>
      </c>
      <c r="L225" s="7">
        <v>1200</v>
      </c>
      <c r="M225" s="5">
        <v>12000</v>
      </c>
      <c r="N225" s="7">
        <v>7560</v>
      </c>
      <c r="O225" s="7">
        <v>4440</v>
      </c>
      <c r="P225" s="16">
        <v>0.37</v>
      </c>
    </row>
    <row r="226" spans="1:16" ht="15.75" thickBot="1" x14ac:dyDescent="0.3">
      <c r="A226" s="14" t="s">
        <v>279</v>
      </c>
      <c r="B226" s="6">
        <v>45641</v>
      </c>
      <c r="C226" s="10" t="s">
        <v>53</v>
      </c>
      <c r="D226" s="5">
        <v>2024</v>
      </c>
      <c r="E226" s="9" t="s">
        <v>600</v>
      </c>
      <c r="F226" s="9" t="s">
        <v>39</v>
      </c>
      <c r="G226" s="9" t="s">
        <v>610</v>
      </c>
      <c r="H226" s="9" t="s">
        <v>628</v>
      </c>
      <c r="I226" s="9" t="s">
        <v>645</v>
      </c>
      <c r="J226" s="9" t="s">
        <v>615</v>
      </c>
      <c r="K226" s="9">
        <v>2</v>
      </c>
      <c r="L226" s="9">
        <v>20</v>
      </c>
      <c r="M226" s="5">
        <v>40</v>
      </c>
      <c r="N226" s="9">
        <v>31.6</v>
      </c>
      <c r="O226" s="9">
        <v>8.3999999999999986</v>
      </c>
      <c r="P226" s="17">
        <v>0.20999999999999996</v>
      </c>
    </row>
    <row r="227" spans="1:16" ht="15.75" thickBot="1" x14ac:dyDescent="0.3">
      <c r="A227" s="13" t="s">
        <v>280</v>
      </c>
      <c r="B227" s="6">
        <v>45326</v>
      </c>
      <c r="C227" s="8" t="s">
        <v>53</v>
      </c>
      <c r="D227" s="5">
        <v>2024</v>
      </c>
      <c r="E227" s="7" t="s">
        <v>595</v>
      </c>
      <c r="F227" s="7" t="s">
        <v>39</v>
      </c>
      <c r="G227" s="7" t="s">
        <v>609</v>
      </c>
      <c r="H227" s="7" t="s">
        <v>624</v>
      </c>
      <c r="I227" s="7" t="s">
        <v>623</v>
      </c>
      <c r="J227" s="7" t="s">
        <v>615</v>
      </c>
      <c r="K227" s="7">
        <v>14</v>
      </c>
      <c r="L227" s="7">
        <v>4000</v>
      </c>
      <c r="M227" s="5">
        <v>56000</v>
      </c>
      <c r="N227" s="7">
        <v>39760</v>
      </c>
      <c r="O227" s="7">
        <v>16240</v>
      </c>
      <c r="P227" s="16">
        <v>0.28999999999999998</v>
      </c>
    </row>
    <row r="228" spans="1:16" ht="15.75" thickBot="1" x14ac:dyDescent="0.3">
      <c r="A228" s="14" t="s">
        <v>281</v>
      </c>
      <c r="B228" s="6">
        <v>45385</v>
      </c>
      <c r="C228" s="10" t="s">
        <v>57</v>
      </c>
      <c r="D228" s="5">
        <v>2024</v>
      </c>
      <c r="E228" s="9" t="s">
        <v>599</v>
      </c>
      <c r="F228" s="9" t="s">
        <v>39</v>
      </c>
      <c r="G228" s="9" t="s">
        <v>612</v>
      </c>
      <c r="H228" s="9" t="s">
        <v>626</v>
      </c>
      <c r="I228" s="9" t="s">
        <v>614</v>
      </c>
      <c r="J228" s="9" t="s">
        <v>615</v>
      </c>
      <c r="K228" s="9">
        <v>19</v>
      </c>
      <c r="L228" s="9">
        <v>20</v>
      </c>
      <c r="M228" s="5">
        <v>380</v>
      </c>
      <c r="N228" s="9">
        <v>235.6</v>
      </c>
      <c r="O228" s="9">
        <v>144.4</v>
      </c>
      <c r="P228" s="17">
        <v>0.38</v>
      </c>
    </row>
    <row r="229" spans="1:16" ht="15.75" thickBot="1" x14ac:dyDescent="0.3">
      <c r="A229" s="13" t="s">
        <v>282</v>
      </c>
      <c r="B229" s="6">
        <v>45550</v>
      </c>
      <c r="C229" s="8" t="s">
        <v>50</v>
      </c>
      <c r="D229" s="5">
        <v>2024</v>
      </c>
      <c r="E229" s="7" t="s">
        <v>603</v>
      </c>
      <c r="F229" s="7" t="s">
        <v>42</v>
      </c>
      <c r="G229" s="7" t="s">
        <v>608</v>
      </c>
      <c r="H229" s="7" t="s">
        <v>622</v>
      </c>
      <c r="I229" s="9" t="s">
        <v>645</v>
      </c>
      <c r="J229" s="7" t="s">
        <v>615</v>
      </c>
      <c r="K229" s="7">
        <v>18</v>
      </c>
      <c r="L229" s="7">
        <v>45000</v>
      </c>
      <c r="M229" s="5">
        <v>810000</v>
      </c>
      <c r="N229" s="7">
        <v>639900</v>
      </c>
      <c r="O229" s="7">
        <v>170100</v>
      </c>
      <c r="P229" s="16">
        <v>0.21</v>
      </c>
    </row>
    <row r="230" spans="1:16" ht="15.75" thickBot="1" x14ac:dyDescent="0.3">
      <c r="A230" s="14" t="s">
        <v>283</v>
      </c>
      <c r="B230" s="6">
        <v>45631</v>
      </c>
      <c r="C230" s="10" t="s">
        <v>50</v>
      </c>
      <c r="D230" s="5">
        <v>2024</v>
      </c>
      <c r="E230" s="9" t="s">
        <v>597</v>
      </c>
      <c r="F230" s="9" t="s">
        <v>41</v>
      </c>
      <c r="G230" s="9" t="s">
        <v>610</v>
      </c>
      <c r="H230" s="9" t="s">
        <v>621</v>
      </c>
      <c r="I230" s="9" t="s">
        <v>630</v>
      </c>
      <c r="J230" s="9" t="s">
        <v>615</v>
      </c>
      <c r="K230" s="9">
        <v>14</v>
      </c>
      <c r="L230" s="9">
        <v>300</v>
      </c>
      <c r="M230" s="5">
        <v>4200</v>
      </c>
      <c r="N230" s="9">
        <v>3738</v>
      </c>
      <c r="O230" s="9">
        <v>462</v>
      </c>
      <c r="P230" s="17">
        <v>0.11</v>
      </c>
    </row>
    <row r="231" spans="1:16" ht="15.75" thickBot="1" x14ac:dyDescent="0.3">
      <c r="A231" s="13" t="s">
        <v>284</v>
      </c>
      <c r="B231" s="6">
        <v>45301</v>
      </c>
      <c r="C231" s="8" t="s">
        <v>48</v>
      </c>
      <c r="D231" s="5">
        <v>2024</v>
      </c>
      <c r="E231" s="7" t="s">
        <v>601</v>
      </c>
      <c r="F231" s="7" t="s">
        <v>41</v>
      </c>
      <c r="G231" s="7" t="s">
        <v>608</v>
      </c>
      <c r="H231" s="7" t="s">
        <v>626</v>
      </c>
      <c r="I231" s="7" t="s">
        <v>619</v>
      </c>
      <c r="J231" s="7" t="s">
        <v>618</v>
      </c>
      <c r="K231" s="7">
        <v>8</v>
      </c>
      <c r="L231" s="7">
        <v>25000</v>
      </c>
      <c r="M231" s="5">
        <v>200000</v>
      </c>
      <c r="N231" s="7">
        <v>172000</v>
      </c>
      <c r="O231" s="7">
        <v>28000</v>
      </c>
      <c r="P231" s="16">
        <v>0.14000000000000001</v>
      </c>
    </row>
    <row r="232" spans="1:16" ht="15.75" thickBot="1" x14ac:dyDescent="0.3">
      <c r="A232" s="14" t="s">
        <v>285</v>
      </c>
      <c r="B232" s="6">
        <v>45299</v>
      </c>
      <c r="C232" s="10" t="s">
        <v>59</v>
      </c>
      <c r="D232" s="5">
        <v>2024</v>
      </c>
      <c r="E232" s="9" t="s">
        <v>602</v>
      </c>
      <c r="F232" s="9" t="s">
        <v>42</v>
      </c>
      <c r="G232" s="9" t="s">
        <v>608</v>
      </c>
      <c r="H232" s="9" t="s">
        <v>628</v>
      </c>
      <c r="I232" s="9" t="s">
        <v>627</v>
      </c>
      <c r="J232" s="9" t="s">
        <v>615</v>
      </c>
      <c r="K232" s="9">
        <v>7</v>
      </c>
      <c r="L232" s="9">
        <v>300</v>
      </c>
      <c r="M232" s="5">
        <v>2100</v>
      </c>
      <c r="N232" s="9">
        <v>1491</v>
      </c>
      <c r="O232" s="9">
        <v>609</v>
      </c>
      <c r="P232" s="17">
        <v>0.28999999999999998</v>
      </c>
    </row>
    <row r="233" spans="1:16" ht="15.75" thickBot="1" x14ac:dyDescent="0.3">
      <c r="A233" s="13" t="s">
        <v>286</v>
      </c>
      <c r="B233" s="6">
        <v>45434</v>
      </c>
      <c r="C233" s="8" t="s">
        <v>57</v>
      </c>
      <c r="D233" s="5">
        <v>2024</v>
      </c>
      <c r="E233" s="7" t="s">
        <v>592</v>
      </c>
      <c r="F233" s="7" t="s">
        <v>40</v>
      </c>
      <c r="G233" s="7" t="s">
        <v>610</v>
      </c>
      <c r="H233" s="7" t="s">
        <v>626</v>
      </c>
      <c r="I233" s="9" t="s">
        <v>645</v>
      </c>
      <c r="J233" s="7" t="s">
        <v>615</v>
      </c>
      <c r="K233" s="7">
        <v>16</v>
      </c>
      <c r="L233" s="7">
        <v>3500</v>
      </c>
      <c r="M233" s="5">
        <v>56000</v>
      </c>
      <c r="N233" s="7">
        <v>45360</v>
      </c>
      <c r="O233" s="7">
        <v>10640</v>
      </c>
      <c r="P233" s="16">
        <v>0.19</v>
      </c>
    </row>
    <row r="234" spans="1:16" ht="15.75" thickBot="1" x14ac:dyDescent="0.3">
      <c r="A234" s="14" t="s">
        <v>287</v>
      </c>
      <c r="B234" s="6">
        <v>45554</v>
      </c>
      <c r="C234" s="10" t="s">
        <v>80</v>
      </c>
      <c r="D234" s="5">
        <v>2024</v>
      </c>
      <c r="E234" s="9" t="s">
        <v>604</v>
      </c>
      <c r="F234" s="9" t="s">
        <v>41</v>
      </c>
      <c r="G234" s="9" t="s">
        <v>609</v>
      </c>
      <c r="H234" s="9" t="s">
        <v>613</v>
      </c>
      <c r="I234" s="9" t="s">
        <v>617</v>
      </c>
      <c r="J234" s="9" t="s">
        <v>618</v>
      </c>
      <c r="K234" s="9">
        <v>15</v>
      </c>
      <c r="L234" s="9">
        <v>9000</v>
      </c>
      <c r="M234" s="5">
        <v>135000</v>
      </c>
      <c r="N234" s="9">
        <v>106650</v>
      </c>
      <c r="O234" s="9">
        <v>28350</v>
      </c>
      <c r="P234" s="17">
        <v>0.21</v>
      </c>
    </row>
    <row r="235" spans="1:16" ht="15.75" thickBot="1" x14ac:dyDescent="0.3">
      <c r="A235" s="13" t="s">
        <v>288</v>
      </c>
      <c r="B235" s="6">
        <v>45393</v>
      </c>
      <c r="C235" s="8" t="s">
        <v>50</v>
      </c>
      <c r="D235" s="5">
        <v>2024</v>
      </c>
      <c r="E235" s="7" t="s">
        <v>607</v>
      </c>
      <c r="F235" s="7" t="s">
        <v>42</v>
      </c>
      <c r="G235" s="7" t="s">
        <v>608</v>
      </c>
      <c r="H235" s="7" t="s">
        <v>622</v>
      </c>
      <c r="I235" s="7" t="s">
        <v>623</v>
      </c>
      <c r="J235" s="7" t="s">
        <v>615</v>
      </c>
      <c r="K235" s="7">
        <v>18</v>
      </c>
      <c r="L235" s="7">
        <v>25000</v>
      </c>
      <c r="M235" s="5">
        <v>450000</v>
      </c>
      <c r="N235" s="7">
        <v>328500</v>
      </c>
      <c r="O235" s="7">
        <v>121500</v>
      </c>
      <c r="P235" s="16">
        <v>0.27</v>
      </c>
    </row>
    <row r="236" spans="1:16" ht="15.75" thickBot="1" x14ac:dyDescent="0.3">
      <c r="A236" s="14" t="s">
        <v>289</v>
      </c>
      <c r="B236" s="6">
        <v>45466</v>
      </c>
      <c r="C236" s="10" t="s">
        <v>53</v>
      </c>
      <c r="D236" s="5">
        <v>2024</v>
      </c>
      <c r="E236" s="9" t="s">
        <v>592</v>
      </c>
      <c r="F236" s="9" t="s">
        <v>40</v>
      </c>
      <c r="G236" s="9" t="s">
        <v>608</v>
      </c>
      <c r="H236" s="9" t="s">
        <v>626</v>
      </c>
      <c r="I236" s="9" t="s">
        <v>614</v>
      </c>
      <c r="J236" s="9" t="s">
        <v>618</v>
      </c>
      <c r="K236" s="9">
        <v>1</v>
      </c>
      <c r="L236" s="9">
        <v>9000</v>
      </c>
      <c r="M236" s="5">
        <v>9000</v>
      </c>
      <c r="N236" s="9">
        <v>7290</v>
      </c>
      <c r="O236" s="9">
        <v>1710</v>
      </c>
      <c r="P236" s="17">
        <v>0.19</v>
      </c>
    </row>
    <row r="237" spans="1:16" ht="15.75" thickBot="1" x14ac:dyDescent="0.3">
      <c r="A237" s="13" t="s">
        <v>290</v>
      </c>
      <c r="B237" s="6">
        <v>45515</v>
      </c>
      <c r="C237" s="8" t="s">
        <v>59</v>
      </c>
      <c r="D237" s="5">
        <v>2024</v>
      </c>
      <c r="E237" s="7" t="s">
        <v>599</v>
      </c>
      <c r="F237" s="7" t="s">
        <v>39</v>
      </c>
      <c r="G237" s="7" t="s">
        <v>611</v>
      </c>
      <c r="H237" s="7" t="s">
        <v>629</v>
      </c>
      <c r="I237" s="9" t="s">
        <v>645</v>
      </c>
      <c r="J237" s="7" t="s">
        <v>615</v>
      </c>
      <c r="K237" s="7">
        <v>17</v>
      </c>
      <c r="L237" s="7">
        <v>45000</v>
      </c>
      <c r="M237" s="5">
        <v>765000</v>
      </c>
      <c r="N237" s="7">
        <v>527850</v>
      </c>
      <c r="O237" s="7">
        <v>237150</v>
      </c>
      <c r="P237" s="16">
        <v>0.31</v>
      </c>
    </row>
    <row r="238" spans="1:16" ht="15.75" thickBot="1" x14ac:dyDescent="0.3">
      <c r="A238" s="14" t="s">
        <v>291</v>
      </c>
      <c r="B238" s="6">
        <v>45298</v>
      </c>
      <c r="C238" s="10" t="s">
        <v>50</v>
      </c>
      <c r="D238" s="5">
        <v>2024</v>
      </c>
      <c r="E238" s="9" t="s">
        <v>604</v>
      </c>
      <c r="F238" s="9" t="s">
        <v>41</v>
      </c>
      <c r="G238" s="9" t="s">
        <v>609</v>
      </c>
      <c r="H238" s="9" t="s">
        <v>620</v>
      </c>
      <c r="I238" s="9" t="s">
        <v>619</v>
      </c>
      <c r="J238" s="9" t="s">
        <v>618</v>
      </c>
      <c r="K238" s="9">
        <v>1</v>
      </c>
      <c r="L238" s="9">
        <v>150</v>
      </c>
      <c r="M238" s="5">
        <v>150</v>
      </c>
      <c r="N238" s="9">
        <v>97.5</v>
      </c>
      <c r="O238" s="9">
        <v>52.5</v>
      </c>
      <c r="P238" s="17">
        <v>0.35</v>
      </c>
    </row>
    <row r="239" spans="1:16" ht="15.75" thickBot="1" x14ac:dyDescent="0.3">
      <c r="A239" s="13" t="s">
        <v>292</v>
      </c>
      <c r="B239" s="6">
        <v>45416</v>
      </c>
      <c r="C239" s="8" t="s">
        <v>80</v>
      </c>
      <c r="D239" s="5">
        <v>2024</v>
      </c>
      <c r="E239" s="7" t="s">
        <v>594</v>
      </c>
      <c r="F239" s="7" t="s">
        <v>39</v>
      </c>
      <c r="G239" s="7" t="s">
        <v>612</v>
      </c>
      <c r="H239" s="7" t="s">
        <v>613</v>
      </c>
      <c r="I239" s="7" t="s">
        <v>619</v>
      </c>
      <c r="J239" s="7" t="s">
        <v>615</v>
      </c>
      <c r="K239" s="7">
        <v>11</v>
      </c>
      <c r="L239" s="7">
        <v>12000</v>
      </c>
      <c r="M239" s="5">
        <v>132000</v>
      </c>
      <c r="N239" s="7">
        <v>110880</v>
      </c>
      <c r="O239" s="7">
        <v>21120</v>
      </c>
      <c r="P239" s="16">
        <v>0.16</v>
      </c>
    </row>
    <row r="240" spans="1:16" ht="15.75" thickBot="1" x14ac:dyDescent="0.3">
      <c r="A240" s="14" t="s">
        <v>293</v>
      </c>
      <c r="B240" s="6">
        <v>45339</v>
      </c>
      <c r="C240" s="10" t="s">
        <v>55</v>
      </c>
      <c r="D240" s="5">
        <v>2024</v>
      </c>
      <c r="E240" s="9" t="s">
        <v>604</v>
      </c>
      <c r="F240" s="9" t="s">
        <v>41</v>
      </c>
      <c r="G240" s="9" t="s">
        <v>610</v>
      </c>
      <c r="H240" s="9" t="s">
        <v>629</v>
      </c>
      <c r="I240" s="9" t="s">
        <v>617</v>
      </c>
      <c r="J240" s="9" t="s">
        <v>618</v>
      </c>
      <c r="K240" s="9">
        <v>3</v>
      </c>
      <c r="L240" s="9">
        <v>45000</v>
      </c>
      <c r="M240" s="5">
        <v>135000</v>
      </c>
      <c r="N240" s="9">
        <v>91800</v>
      </c>
      <c r="O240" s="9">
        <v>43200</v>
      </c>
      <c r="P240" s="17">
        <v>0.32</v>
      </c>
    </row>
    <row r="241" spans="1:16" ht="15.75" thickBot="1" x14ac:dyDescent="0.3">
      <c r="A241" s="13" t="s">
        <v>294</v>
      </c>
      <c r="B241" s="6">
        <v>45646</v>
      </c>
      <c r="C241" s="8" t="s">
        <v>50</v>
      </c>
      <c r="D241" s="5">
        <v>2024</v>
      </c>
      <c r="E241" s="7" t="s">
        <v>607</v>
      </c>
      <c r="F241" s="7" t="s">
        <v>42</v>
      </c>
      <c r="G241" s="7" t="s">
        <v>611</v>
      </c>
      <c r="H241" s="7" t="s">
        <v>620</v>
      </c>
      <c r="I241" s="7" t="s">
        <v>617</v>
      </c>
      <c r="J241" s="7" t="s">
        <v>615</v>
      </c>
      <c r="K241" s="7">
        <v>9</v>
      </c>
      <c r="L241" s="7">
        <v>3500</v>
      </c>
      <c r="M241" s="5">
        <v>31500</v>
      </c>
      <c r="N241" s="7">
        <v>24570</v>
      </c>
      <c r="O241" s="7">
        <v>6930</v>
      </c>
      <c r="P241" s="16">
        <v>0.22</v>
      </c>
    </row>
    <row r="242" spans="1:16" ht="15.75" thickBot="1" x14ac:dyDescent="0.3">
      <c r="A242" s="14" t="s">
        <v>295</v>
      </c>
      <c r="B242" s="6">
        <v>45370</v>
      </c>
      <c r="C242" s="10" t="s">
        <v>55</v>
      </c>
      <c r="D242" s="5">
        <v>2024</v>
      </c>
      <c r="E242" s="9" t="s">
        <v>599</v>
      </c>
      <c r="F242" s="9" t="s">
        <v>39</v>
      </c>
      <c r="G242" s="9" t="s">
        <v>609</v>
      </c>
      <c r="H242" s="9" t="s">
        <v>624</v>
      </c>
      <c r="I242" s="9" t="s">
        <v>619</v>
      </c>
      <c r="J242" s="9" t="s">
        <v>618</v>
      </c>
      <c r="K242" s="9">
        <v>8</v>
      </c>
      <c r="L242" s="9">
        <v>12000</v>
      </c>
      <c r="M242" s="5">
        <v>96000</v>
      </c>
      <c r="N242" s="9">
        <v>79680</v>
      </c>
      <c r="O242" s="9">
        <v>16320</v>
      </c>
      <c r="P242" s="17">
        <v>0.17</v>
      </c>
    </row>
    <row r="243" spans="1:16" ht="15.75" thickBot="1" x14ac:dyDescent="0.3">
      <c r="A243" s="13" t="s">
        <v>296</v>
      </c>
      <c r="B243" s="6">
        <v>45629</v>
      </c>
      <c r="C243" s="8" t="s">
        <v>48</v>
      </c>
      <c r="D243" s="5">
        <v>2024</v>
      </c>
      <c r="E243" s="7" t="s">
        <v>593</v>
      </c>
      <c r="F243" s="7" t="s">
        <v>41</v>
      </c>
      <c r="G243" s="7" t="s">
        <v>611</v>
      </c>
      <c r="H243" s="7" t="s">
        <v>621</v>
      </c>
      <c r="I243" s="9" t="s">
        <v>645</v>
      </c>
      <c r="J243" s="7" t="s">
        <v>615</v>
      </c>
      <c r="K243" s="7">
        <v>16</v>
      </c>
      <c r="L243" s="7">
        <v>25000</v>
      </c>
      <c r="M243" s="5">
        <v>400000</v>
      </c>
      <c r="N243" s="7">
        <v>360000</v>
      </c>
      <c r="O243" s="7">
        <v>40000</v>
      </c>
      <c r="P243" s="16">
        <v>0.1</v>
      </c>
    </row>
    <row r="244" spans="1:16" ht="15.75" thickBot="1" x14ac:dyDescent="0.3">
      <c r="A244" s="14" t="s">
        <v>297</v>
      </c>
      <c r="B244" s="6">
        <v>45376</v>
      </c>
      <c r="C244" s="10" t="s">
        <v>53</v>
      </c>
      <c r="D244" s="5">
        <v>2024</v>
      </c>
      <c r="E244" s="9" t="s">
        <v>594</v>
      </c>
      <c r="F244" s="9" t="s">
        <v>39</v>
      </c>
      <c r="G244" s="9" t="s">
        <v>610</v>
      </c>
      <c r="H244" s="9" t="s">
        <v>629</v>
      </c>
      <c r="I244" s="9" t="s">
        <v>617</v>
      </c>
      <c r="J244" s="9" t="s">
        <v>618</v>
      </c>
      <c r="K244" s="9">
        <v>7</v>
      </c>
      <c r="L244" s="9">
        <v>20</v>
      </c>
      <c r="M244" s="5">
        <v>140</v>
      </c>
      <c r="N244" s="9">
        <v>85.4</v>
      </c>
      <c r="O244" s="9">
        <v>54.599999999999994</v>
      </c>
      <c r="P244" s="17">
        <v>0.38999999999999996</v>
      </c>
    </row>
    <row r="245" spans="1:16" ht="15.75" thickBot="1" x14ac:dyDescent="0.3">
      <c r="A245" s="13" t="s">
        <v>298</v>
      </c>
      <c r="B245" s="6">
        <v>45432</v>
      </c>
      <c r="C245" s="8" t="s">
        <v>50</v>
      </c>
      <c r="D245" s="5">
        <v>2024</v>
      </c>
      <c r="E245" s="7" t="s">
        <v>598</v>
      </c>
      <c r="F245" s="7" t="s">
        <v>40</v>
      </c>
      <c r="G245" s="7" t="s">
        <v>609</v>
      </c>
      <c r="H245" s="7" t="s">
        <v>624</v>
      </c>
      <c r="I245" s="9" t="s">
        <v>645</v>
      </c>
      <c r="J245" s="7" t="s">
        <v>615</v>
      </c>
      <c r="K245" s="7">
        <v>19</v>
      </c>
      <c r="L245" s="7">
        <v>300</v>
      </c>
      <c r="M245" s="5">
        <v>5700</v>
      </c>
      <c r="N245" s="7">
        <v>4845</v>
      </c>
      <c r="O245" s="7">
        <v>855</v>
      </c>
      <c r="P245" s="16">
        <v>0.15</v>
      </c>
    </row>
    <row r="246" spans="1:16" ht="15.75" thickBot="1" x14ac:dyDescent="0.3">
      <c r="A246" s="14" t="s">
        <v>299</v>
      </c>
      <c r="B246" s="6">
        <v>45303</v>
      </c>
      <c r="C246" s="10" t="s">
        <v>55</v>
      </c>
      <c r="D246" s="5">
        <v>2024</v>
      </c>
      <c r="E246" s="9" t="s">
        <v>607</v>
      </c>
      <c r="F246" s="9" t="s">
        <v>42</v>
      </c>
      <c r="G246" s="9" t="s">
        <v>608</v>
      </c>
      <c r="H246" s="9" t="s">
        <v>616</v>
      </c>
      <c r="I246" s="9" t="s">
        <v>630</v>
      </c>
      <c r="J246" s="9" t="s">
        <v>615</v>
      </c>
      <c r="K246" s="9">
        <v>13</v>
      </c>
      <c r="L246" s="9">
        <v>1200</v>
      </c>
      <c r="M246" s="5">
        <v>15600</v>
      </c>
      <c r="N246" s="9">
        <v>12324</v>
      </c>
      <c r="O246" s="9">
        <v>3276</v>
      </c>
      <c r="P246" s="17">
        <v>0.21</v>
      </c>
    </row>
    <row r="247" spans="1:16" ht="15.75" thickBot="1" x14ac:dyDescent="0.3">
      <c r="A247" s="13" t="s">
        <v>300</v>
      </c>
      <c r="B247" s="6">
        <v>45477</v>
      </c>
      <c r="C247" s="8" t="s">
        <v>55</v>
      </c>
      <c r="D247" s="5">
        <v>2024</v>
      </c>
      <c r="E247" s="7" t="s">
        <v>601</v>
      </c>
      <c r="F247" s="7" t="s">
        <v>41</v>
      </c>
      <c r="G247" s="7" t="s">
        <v>611</v>
      </c>
      <c r="H247" s="7" t="s">
        <v>625</v>
      </c>
      <c r="I247" s="9" t="s">
        <v>645</v>
      </c>
      <c r="J247" s="7" t="s">
        <v>618</v>
      </c>
      <c r="K247" s="7">
        <v>19</v>
      </c>
      <c r="L247" s="7">
        <v>1200</v>
      </c>
      <c r="M247" s="5">
        <v>22800</v>
      </c>
      <c r="N247" s="7">
        <v>16644</v>
      </c>
      <c r="O247" s="7">
        <v>6156</v>
      </c>
      <c r="P247" s="16">
        <v>0.27</v>
      </c>
    </row>
    <row r="248" spans="1:16" ht="15.75" thickBot="1" x14ac:dyDescent="0.3">
      <c r="A248" s="14" t="s">
        <v>301</v>
      </c>
      <c r="B248" s="6">
        <v>45313</v>
      </c>
      <c r="C248" s="10" t="s">
        <v>62</v>
      </c>
      <c r="D248" s="5">
        <v>2024</v>
      </c>
      <c r="E248" s="9" t="s">
        <v>604</v>
      </c>
      <c r="F248" s="9" t="s">
        <v>41</v>
      </c>
      <c r="G248" s="9" t="s">
        <v>608</v>
      </c>
      <c r="H248" s="9" t="s">
        <v>620</v>
      </c>
      <c r="I248" s="9" t="s">
        <v>645</v>
      </c>
      <c r="J248" s="9" t="s">
        <v>618</v>
      </c>
      <c r="K248" s="9">
        <v>20</v>
      </c>
      <c r="L248" s="9">
        <v>50</v>
      </c>
      <c r="M248" s="5">
        <v>1000</v>
      </c>
      <c r="N248" s="9">
        <v>610</v>
      </c>
      <c r="O248" s="9">
        <v>390</v>
      </c>
      <c r="P248" s="17">
        <v>0.39</v>
      </c>
    </row>
    <row r="249" spans="1:16" ht="15.75" thickBot="1" x14ac:dyDescent="0.3">
      <c r="A249" s="13" t="s">
        <v>302</v>
      </c>
      <c r="B249" s="6">
        <v>45380</v>
      </c>
      <c r="C249" s="8" t="s">
        <v>83</v>
      </c>
      <c r="D249" s="5">
        <v>2024</v>
      </c>
      <c r="E249" s="7" t="s">
        <v>607</v>
      </c>
      <c r="F249" s="7" t="s">
        <v>42</v>
      </c>
      <c r="G249" s="7" t="s">
        <v>609</v>
      </c>
      <c r="H249" s="7" t="s">
        <v>621</v>
      </c>
      <c r="I249" s="7" t="s">
        <v>630</v>
      </c>
      <c r="J249" s="7" t="s">
        <v>615</v>
      </c>
      <c r="K249" s="7">
        <v>13</v>
      </c>
      <c r="L249" s="7">
        <v>20</v>
      </c>
      <c r="M249" s="5">
        <v>260</v>
      </c>
      <c r="N249" s="7">
        <v>166.4</v>
      </c>
      <c r="O249" s="7">
        <v>93.6</v>
      </c>
      <c r="P249" s="16">
        <v>0.36</v>
      </c>
    </row>
    <row r="250" spans="1:16" ht="15.75" thickBot="1" x14ac:dyDescent="0.3">
      <c r="A250" s="14" t="s">
        <v>303</v>
      </c>
      <c r="B250" s="6">
        <v>45334</v>
      </c>
      <c r="C250" s="10" t="s">
        <v>50</v>
      </c>
      <c r="D250" s="5">
        <v>2024</v>
      </c>
      <c r="E250" s="9" t="s">
        <v>605</v>
      </c>
      <c r="F250" s="9" t="s">
        <v>40</v>
      </c>
      <c r="G250" s="9" t="s">
        <v>610</v>
      </c>
      <c r="H250" s="9" t="s">
        <v>616</v>
      </c>
      <c r="I250" s="9" t="s">
        <v>645</v>
      </c>
      <c r="J250" s="9" t="s">
        <v>615</v>
      </c>
      <c r="K250" s="9">
        <v>16</v>
      </c>
      <c r="L250" s="9">
        <v>3500</v>
      </c>
      <c r="M250" s="5">
        <v>56000</v>
      </c>
      <c r="N250" s="9">
        <v>36960</v>
      </c>
      <c r="O250" s="9">
        <v>19040</v>
      </c>
      <c r="P250" s="17">
        <v>0.34</v>
      </c>
    </row>
    <row r="251" spans="1:16" ht="15.75" thickBot="1" x14ac:dyDescent="0.3">
      <c r="A251" s="13" t="s">
        <v>304</v>
      </c>
      <c r="B251" s="6">
        <v>45324</v>
      </c>
      <c r="C251" s="8" t="s">
        <v>80</v>
      </c>
      <c r="D251" s="5">
        <v>2024</v>
      </c>
      <c r="E251" s="7" t="s">
        <v>603</v>
      </c>
      <c r="F251" s="7" t="s">
        <v>42</v>
      </c>
      <c r="G251" s="7" t="s">
        <v>612</v>
      </c>
      <c r="H251" s="7" t="s">
        <v>626</v>
      </c>
      <c r="I251" s="7" t="s">
        <v>617</v>
      </c>
      <c r="J251" s="7" t="s">
        <v>615</v>
      </c>
      <c r="K251" s="7">
        <v>16</v>
      </c>
      <c r="L251" s="7">
        <v>150</v>
      </c>
      <c r="M251" s="5">
        <v>2400</v>
      </c>
      <c r="N251" s="7">
        <v>2088</v>
      </c>
      <c r="O251" s="7">
        <v>312</v>
      </c>
      <c r="P251" s="16">
        <v>0.13</v>
      </c>
    </row>
    <row r="252" spans="1:16" ht="15.75" thickBot="1" x14ac:dyDescent="0.3">
      <c r="A252" s="14" t="s">
        <v>305</v>
      </c>
      <c r="B252" s="6">
        <v>45538</v>
      </c>
      <c r="C252" s="10" t="s">
        <v>80</v>
      </c>
      <c r="D252" s="5">
        <v>2024</v>
      </c>
      <c r="E252" s="9" t="s">
        <v>594</v>
      </c>
      <c r="F252" s="9" t="s">
        <v>39</v>
      </c>
      <c r="G252" s="9" t="s">
        <v>608</v>
      </c>
      <c r="H252" s="9" t="s">
        <v>625</v>
      </c>
      <c r="I252" s="9" t="s">
        <v>627</v>
      </c>
      <c r="J252" s="9" t="s">
        <v>618</v>
      </c>
      <c r="K252" s="9">
        <v>4</v>
      </c>
      <c r="L252" s="9">
        <v>7000</v>
      </c>
      <c r="M252" s="5">
        <v>28000</v>
      </c>
      <c r="N252" s="9">
        <v>21280</v>
      </c>
      <c r="O252" s="9">
        <v>6720</v>
      </c>
      <c r="P252" s="17">
        <v>0.24</v>
      </c>
    </row>
    <row r="253" spans="1:16" ht="15.75" thickBot="1" x14ac:dyDescent="0.3">
      <c r="A253" s="13" t="s">
        <v>306</v>
      </c>
      <c r="B253" s="6">
        <v>45384</v>
      </c>
      <c r="C253" s="8" t="s">
        <v>62</v>
      </c>
      <c r="D253" s="5">
        <v>2024</v>
      </c>
      <c r="E253" s="7" t="s">
        <v>592</v>
      </c>
      <c r="F253" s="7" t="s">
        <v>40</v>
      </c>
      <c r="G253" s="7" t="s">
        <v>610</v>
      </c>
      <c r="H253" s="7" t="s">
        <v>613</v>
      </c>
      <c r="I253" s="9" t="s">
        <v>645</v>
      </c>
      <c r="J253" s="7" t="s">
        <v>615</v>
      </c>
      <c r="K253" s="7">
        <v>19</v>
      </c>
      <c r="L253" s="7">
        <v>7000</v>
      </c>
      <c r="M253" s="5">
        <v>133000</v>
      </c>
      <c r="N253" s="7">
        <v>86450</v>
      </c>
      <c r="O253" s="7">
        <v>46550</v>
      </c>
      <c r="P253" s="16">
        <v>0.35</v>
      </c>
    </row>
    <row r="254" spans="1:16" ht="15.75" thickBot="1" x14ac:dyDescent="0.3">
      <c r="A254" s="14" t="s">
        <v>307</v>
      </c>
      <c r="B254" s="6">
        <v>45602</v>
      </c>
      <c r="C254" s="10" t="s">
        <v>53</v>
      </c>
      <c r="D254" s="5">
        <v>2024</v>
      </c>
      <c r="E254" s="9" t="s">
        <v>601</v>
      </c>
      <c r="F254" s="9" t="s">
        <v>41</v>
      </c>
      <c r="G254" s="9" t="s">
        <v>612</v>
      </c>
      <c r="H254" s="9" t="s">
        <v>621</v>
      </c>
      <c r="I254" s="9" t="s">
        <v>645</v>
      </c>
      <c r="J254" s="9" t="s">
        <v>615</v>
      </c>
      <c r="K254" s="9">
        <v>7</v>
      </c>
      <c r="L254" s="9">
        <v>25000</v>
      </c>
      <c r="M254" s="5">
        <v>175000</v>
      </c>
      <c r="N254" s="9">
        <v>124250</v>
      </c>
      <c r="O254" s="9">
        <v>50750</v>
      </c>
      <c r="P254" s="17">
        <v>0.28999999999999998</v>
      </c>
    </row>
    <row r="255" spans="1:16" ht="15.75" thickBot="1" x14ac:dyDescent="0.3">
      <c r="A255" s="13" t="s">
        <v>308</v>
      </c>
      <c r="B255" s="6">
        <v>45500</v>
      </c>
      <c r="C255" s="8" t="s">
        <v>55</v>
      </c>
      <c r="D255" s="5">
        <v>2024</v>
      </c>
      <c r="E255" s="7" t="s">
        <v>597</v>
      </c>
      <c r="F255" s="7" t="s">
        <v>41</v>
      </c>
      <c r="G255" s="7" t="s">
        <v>609</v>
      </c>
      <c r="H255" s="7" t="s">
        <v>629</v>
      </c>
      <c r="I255" s="7" t="s">
        <v>623</v>
      </c>
      <c r="J255" s="7" t="s">
        <v>615</v>
      </c>
      <c r="K255" s="7">
        <v>18</v>
      </c>
      <c r="L255" s="7">
        <v>55000</v>
      </c>
      <c r="M255" s="5">
        <v>990000</v>
      </c>
      <c r="N255" s="7">
        <v>792000</v>
      </c>
      <c r="O255" s="7">
        <v>198000</v>
      </c>
      <c r="P255" s="16">
        <v>0.2</v>
      </c>
    </row>
    <row r="256" spans="1:16" ht="15.75" thickBot="1" x14ac:dyDescent="0.3">
      <c r="A256" s="14" t="s">
        <v>309</v>
      </c>
      <c r="B256" s="6">
        <v>45412</v>
      </c>
      <c r="C256" s="10" t="s">
        <v>80</v>
      </c>
      <c r="D256" s="5">
        <v>2024</v>
      </c>
      <c r="E256" s="9" t="s">
        <v>596</v>
      </c>
      <c r="F256" s="9" t="s">
        <v>39</v>
      </c>
      <c r="G256" s="9" t="s">
        <v>608</v>
      </c>
      <c r="H256" s="9" t="s">
        <v>625</v>
      </c>
      <c r="I256" s="9" t="s">
        <v>645</v>
      </c>
      <c r="J256" s="9" t="s">
        <v>615</v>
      </c>
      <c r="K256" s="9">
        <v>7</v>
      </c>
      <c r="L256" s="9">
        <v>25000</v>
      </c>
      <c r="M256" s="5">
        <v>175000</v>
      </c>
      <c r="N256" s="9">
        <v>127750</v>
      </c>
      <c r="O256" s="9">
        <v>47250</v>
      </c>
      <c r="P256" s="17">
        <v>0.27</v>
      </c>
    </row>
    <row r="257" spans="1:16" ht="15.75" thickBot="1" x14ac:dyDescent="0.3">
      <c r="A257" s="13" t="s">
        <v>310</v>
      </c>
      <c r="B257" s="6">
        <v>45451</v>
      </c>
      <c r="C257" s="8" t="s">
        <v>57</v>
      </c>
      <c r="D257" s="5">
        <v>2024</v>
      </c>
      <c r="E257" s="7" t="s">
        <v>597</v>
      </c>
      <c r="F257" s="7" t="s">
        <v>41</v>
      </c>
      <c r="G257" s="7" t="s">
        <v>608</v>
      </c>
      <c r="H257" s="7" t="s">
        <v>620</v>
      </c>
      <c r="I257" s="9" t="s">
        <v>645</v>
      </c>
      <c r="J257" s="7" t="s">
        <v>615</v>
      </c>
      <c r="K257" s="7">
        <v>3</v>
      </c>
      <c r="L257" s="7">
        <v>4000</v>
      </c>
      <c r="M257" s="5">
        <v>12000</v>
      </c>
      <c r="N257" s="7">
        <v>9120</v>
      </c>
      <c r="O257" s="7">
        <v>2880</v>
      </c>
      <c r="P257" s="16">
        <v>0.24</v>
      </c>
    </row>
    <row r="258" spans="1:16" ht="15.75" thickBot="1" x14ac:dyDescent="0.3">
      <c r="A258" s="14" t="s">
        <v>311</v>
      </c>
      <c r="B258" s="6">
        <v>45366</v>
      </c>
      <c r="C258" s="10" t="s">
        <v>48</v>
      </c>
      <c r="D258" s="5">
        <v>2024</v>
      </c>
      <c r="E258" s="9" t="s">
        <v>602</v>
      </c>
      <c r="F258" s="9" t="s">
        <v>42</v>
      </c>
      <c r="G258" s="9" t="s">
        <v>611</v>
      </c>
      <c r="H258" s="9" t="s">
        <v>626</v>
      </c>
      <c r="I258" s="9" t="s">
        <v>630</v>
      </c>
      <c r="J258" s="9" t="s">
        <v>618</v>
      </c>
      <c r="K258" s="9">
        <v>12</v>
      </c>
      <c r="L258" s="9">
        <v>8000</v>
      </c>
      <c r="M258" s="5">
        <v>96000</v>
      </c>
      <c r="N258" s="9">
        <v>74880</v>
      </c>
      <c r="O258" s="9">
        <v>21120</v>
      </c>
      <c r="P258" s="17">
        <v>0.22</v>
      </c>
    </row>
    <row r="259" spans="1:16" ht="15.75" thickBot="1" x14ac:dyDescent="0.3">
      <c r="A259" s="13" t="s">
        <v>312</v>
      </c>
      <c r="B259" s="6">
        <v>45578</v>
      </c>
      <c r="C259" s="8" t="s">
        <v>57</v>
      </c>
      <c r="D259" s="5">
        <v>2024</v>
      </c>
      <c r="E259" s="7" t="s">
        <v>602</v>
      </c>
      <c r="F259" s="7" t="s">
        <v>42</v>
      </c>
      <c r="G259" s="7" t="s">
        <v>609</v>
      </c>
      <c r="H259" s="7" t="s">
        <v>625</v>
      </c>
      <c r="I259" s="9" t="s">
        <v>645</v>
      </c>
      <c r="J259" s="7" t="s">
        <v>618</v>
      </c>
      <c r="K259" s="7">
        <v>17</v>
      </c>
      <c r="L259" s="7">
        <v>700</v>
      </c>
      <c r="M259" s="5">
        <v>11900</v>
      </c>
      <c r="N259" s="7">
        <v>9044</v>
      </c>
      <c r="O259" s="7">
        <v>2856</v>
      </c>
      <c r="P259" s="16">
        <v>0.24</v>
      </c>
    </row>
    <row r="260" spans="1:16" ht="15.75" thickBot="1" x14ac:dyDescent="0.3">
      <c r="A260" s="14" t="s">
        <v>313</v>
      </c>
      <c r="B260" s="6">
        <v>45438</v>
      </c>
      <c r="C260" s="10" t="s">
        <v>53</v>
      </c>
      <c r="D260" s="5">
        <v>2024</v>
      </c>
      <c r="E260" s="9" t="s">
        <v>601</v>
      </c>
      <c r="F260" s="9" t="s">
        <v>41</v>
      </c>
      <c r="G260" s="9" t="s">
        <v>611</v>
      </c>
      <c r="H260" s="9" t="s">
        <v>629</v>
      </c>
      <c r="I260" s="9" t="s">
        <v>617</v>
      </c>
      <c r="J260" s="9" t="s">
        <v>615</v>
      </c>
      <c r="K260" s="9">
        <v>17</v>
      </c>
      <c r="L260" s="9">
        <v>3500</v>
      </c>
      <c r="M260" s="5">
        <v>59500</v>
      </c>
      <c r="N260" s="9">
        <v>41055</v>
      </c>
      <c r="O260" s="9">
        <v>18445</v>
      </c>
      <c r="P260" s="17">
        <v>0.31</v>
      </c>
    </row>
    <row r="261" spans="1:16" ht="15.75" thickBot="1" x14ac:dyDescent="0.3">
      <c r="A261" s="13" t="s">
        <v>314</v>
      </c>
      <c r="B261" s="6">
        <v>45447</v>
      </c>
      <c r="C261" s="8" t="s">
        <v>57</v>
      </c>
      <c r="D261" s="5">
        <v>2024</v>
      </c>
      <c r="E261" s="7" t="s">
        <v>599</v>
      </c>
      <c r="F261" s="7" t="s">
        <v>39</v>
      </c>
      <c r="G261" s="7" t="s">
        <v>611</v>
      </c>
      <c r="H261" s="7" t="s">
        <v>616</v>
      </c>
      <c r="I261" s="7" t="s">
        <v>617</v>
      </c>
      <c r="J261" s="7" t="s">
        <v>615</v>
      </c>
      <c r="K261" s="7">
        <v>14</v>
      </c>
      <c r="L261" s="7">
        <v>300</v>
      </c>
      <c r="M261" s="5">
        <v>4200</v>
      </c>
      <c r="N261" s="7">
        <v>3570</v>
      </c>
      <c r="O261" s="7">
        <v>630</v>
      </c>
      <c r="P261" s="16">
        <v>0.15</v>
      </c>
    </row>
    <row r="262" spans="1:16" ht="15.75" thickBot="1" x14ac:dyDescent="0.3">
      <c r="A262" s="14" t="s">
        <v>315</v>
      </c>
      <c r="B262" s="6">
        <v>45357</v>
      </c>
      <c r="C262" s="10" t="s">
        <v>65</v>
      </c>
      <c r="D262" s="5">
        <v>2024</v>
      </c>
      <c r="E262" s="9" t="s">
        <v>600</v>
      </c>
      <c r="F262" s="9" t="s">
        <v>39</v>
      </c>
      <c r="G262" s="9" t="s">
        <v>612</v>
      </c>
      <c r="H262" s="9" t="s">
        <v>622</v>
      </c>
      <c r="I262" s="9" t="s">
        <v>645</v>
      </c>
      <c r="J262" s="9" t="s">
        <v>615</v>
      </c>
      <c r="K262" s="9">
        <v>1</v>
      </c>
      <c r="L262" s="9">
        <v>55000</v>
      </c>
      <c r="M262" s="5">
        <v>55000</v>
      </c>
      <c r="N262" s="9">
        <v>36850</v>
      </c>
      <c r="O262" s="9">
        <v>18150</v>
      </c>
      <c r="P262" s="17">
        <v>0.33</v>
      </c>
    </row>
    <row r="263" spans="1:16" ht="15.75" thickBot="1" x14ac:dyDescent="0.3">
      <c r="A263" s="13" t="s">
        <v>316</v>
      </c>
      <c r="B263" s="6">
        <v>45308</v>
      </c>
      <c r="C263" s="8" t="s">
        <v>55</v>
      </c>
      <c r="D263" s="5">
        <v>2024</v>
      </c>
      <c r="E263" s="7" t="s">
        <v>607</v>
      </c>
      <c r="F263" s="7" t="s">
        <v>42</v>
      </c>
      <c r="G263" s="7" t="s">
        <v>608</v>
      </c>
      <c r="H263" s="7" t="s">
        <v>616</v>
      </c>
      <c r="I263" s="7" t="s">
        <v>630</v>
      </c>
      <c r="J263" s="7" t="s">
        <v>615</v>
      </c>
      <c r="K263" s="7">
        <v>3</v>
      </c>
      <c r="L263" s="7">
        <v>55000</v>
      </c>
      <c r="M263" s="5">
        <v>165000</v>
      </c>
      <c r="N263" s="7">
        <v>140250</v>
      </c>
      <c r="O263" s="7">
        <v>24750</v>
      </c>
      <c r="P263" s="16">
        <v>0.15</v>
      </c>
    </row>
    <row r="264" spans="1:16" ht="15.75" thickBot="1" x14ac:dyDescent="0.3">
      <c r="A264" s="14" t="s">
        <v>317</v>
      </c>
      <c r="B264" s="6">
        <v>45521</v>
      </c>
      <c r="C264" s="10" t="s">
        <v>44</v>
      </c>
      <c r="D264" s="5">
        <v>2024</v>
      </c>
      <c r="E264" s="9" t="s">
        <v>604</v>
      </c>
      <c r="F264" s="9" t="s">
        <v>41</v>
      </c>
      <c r="G264" s="9" t="s">
        <v>612</v>
      </c>
      <c r="H264" s="9" t="s">
        <v>620</v>
      </c>
      <c r="I264" s="9" t="s">
        <v>619</v>
      </c>
      <c r="J264" s="9" t="s">
        <v>615</v>
      </c>
      <c r="K264" s="9">
        <v>3</v>
      </c>
      <c r="L264" s="9">
        <v>15000</v>
      </c>
      <c r="M264" s="5">
        <v>45000</v>
      </c>
      <c r="N264" s="9">
        <v>34650</v>
      </c>
      <c r="O264" s="9">
        <v>10350</v>
      </c>
      <c r="P264" s="17">
        <v>0.23</v>
      </c>
    </row>
    <row r="265" spans="1:16" ht="15.75" thickBot="1" x14ac:dyDescent="0.3">
      <c r="A265" s="13" t="s">
        <v>318</v>
      </c>
      <c r="B265" s="6">
        <v>45450</v>
      </c>
      <c r="C265" s="8" t="s">
        <v>46</v>
      </c>
      <c r="D265" s="5">
        <v>2024</v>
      </c>
      <c r="E265" s="7" t="s">
        <v>602</v>
      </c>
      <c r="F265" s="7" t="s">
        <v>42</v>
      </c>
      <c r="G265" s="7" t="s">
        <v>610</v>
      </c>
      <c r="H265" s="7" t="s">
        <v>628</v>
      </c>
      <c r="I265" s="9" t="s">
        <v>645</v>
      </c>
      <c r="J265" s="7" t="s">
        <v>615</v>
      </c>
      <c r="K265" s="7">
        <v>20</v>
      </c>
      <c r="L265" s="7">
        <v>8000</v>
      </c>
      <c r="M265" s="5">
        <v>160000</v>
      </c>
      <c r="N265" s="7">
        <v>115200</v>
      </c>
      <c r="O265" s="7">
        <v>44800</v>
      </c>
      <c r="P265" s="16">
        <v>0.28000000000000003</v>
      </c>
    </row>
    <row r="266" spans="1:16" ht="15.75" thickBot="1" x14ac:dyDescent="0.3">
      <c r="A266" s="14" t="s">
        <v>319</v>
      </c>
      <c r="B266" s="6">
        <v>45539</v>
      </c>
      <c r="C266" s="10" t="s">
        <v>80</v>
      </c>
      <c r="D266" s="5">
        <v>2024</v>
      </c>
      <c r="E266" s="9" t="s">
        <v>594</v>
      </c>
      <c r="F266" s="9" t="s">
        <v>39</v>
      </c>
      <c r="G266" s="9" t="s">
        <v>612</v>
      </c>
      <c r="H266" s="9" t="s">
        <v>613</v>
      </c>
      <c r="I266" s="9" t="s">
        <v>617</v>
      </c>
      <c r="J266" s="9" t="s">
        <v>618</v>
      </c>
      <c r="K266" s="9">
        <v>7</v>
      </c>
      <c r="L266" s="9">
        <v>55000</v>
      </c>
      <c r="M266" s="5">
        <v>385000</v>
      </c>
      <c r="N266" s="9">
        <v>308000</v>
      </c>
      <c r="O266" s="9">
        <v>77000</v>
      </c>
      <c r="P266" s="17">
        <v>0.2</v>
      </c>
    </row>
    <row r="267" spans="1:16" ht="15.75" thickBot="1" x14ac:dyDescent="0.3">
      <c r="A267" s="13" t="s">
        <v>320</v>
      </c>
      <c r="B267" s="6">
        <v>45491</v>
      </c>
      <c r="C267" s="8" t="s">
        <v>46</v>
      </c>
      <c r="D267" s="5">
        <v>2024</v>
      </c>
      <c r="E267" s="7" t="s">
        <v>600</v>
      </c>
      <c r="F267" s="7" t="s">
        <v>39</v>
      </c>
      <c r="G267" s="7" t="s">
        <v>610</v>
      </c>
      <c r="H267" s="7" t="s">
        <v>626</v>
      </c>
      <c r="I267" s="7" t="s">
        <v>614</v>
      </c>
      <c r="J267" s="7" t="s">
        <v>615</v>
      </c>
      <c r="K267" s="7">
        <v>11</v>
      </c>
      <c r="L267" s="7">
        <v>8000</v>
      </c>
      <c r="M267" s="5">
        <v>88000</v>
      </c>
      <c r="N267" s="7">
        <v>63360</v>
      </c>
      <c r="O267" s="7">
        <v>24640</v>
      </c>
      <c r="P267" s="16">
        <v>0.28000000000000003</v>
      </c>
    </row>
    <row r="268" spans="1:16" ht="15.75" thickBot="1" x14ac:dyDescent="0.3">
      <c r="A268" s="14" t="s">
        <v>321</v>
      </c>
      <c r="B268" s="6">
        <v>45388</v>
      </c>
      <c r="C268" s="10" t="s">
        <v>62</v>
      </c>
      <c r="D268" s="5">
        <v>2024</v>
      </c>
      <c r="E268" s="9" t="s">
        <v>604</v>
      </c>
      <c r="F268" s="9" t="s">
        <v>41</v>
      </c>
      <c r="G268" s="9" t="s">
        <v>611</v>
      </c>
      <c r="H268" s="9" t="s">
        <v>621</v>
      </c>
      <c r="I268" s="9" t="s">
        <v>630</v>
      </c>
      <c r="J268" s="9" t="s">
        <v>615</v>
      </c>
      <c r="K268" s="9">
        <v>8</v>
      </c>
      <c r="L268" s="9">
        <v>45000</v>
      </c>
      <c r="M268" s="5">
        <v>360000</v>
      </c>
      <c r="N268" s="9">
        <v>306000</v>
      </c>
      <c r="O268" s="9">
        <v>54000</v>
      </c>
      <c r="P268" s="17">
        <v>0.15</v>
      </c>
    </row>
    <row r="269" spans="1:16" ht="15.75" thickBot="1" x14ac:dyDescent="0.3">
      <c r="A269" s="13" t="s">
        <v>322</v>
      </c>
      <c r="B269" s="6">
        <v>45463</v>
      </c>
      <c r="C269" s="8" t="s">
        <v>44</v>
      </c>
      <c r="D269" s="5">
        <v>2024</v>
      </c>
      <c r="E269" s="7" t="s">
        <v>598</v>
      </c>
      <c r="F269" s="7" t="s">
        <v>40</v>
      </c>
      <c r="G269" s="7" t="s">
        <v>608</v>
      </c>
      <c r="H269" s="7" t="s">
        <v>620</v>
      </c>
      <c r="I269" s="7" t="s">
        <v>619</v>
      </c>
      <c r="J269" s="7" t="s">
        <v>615</v>
      </c>
      <c r="K269" s="7">
        <v>12</v>
      </c>
      <c r="L269" s="7">
        <v>9000</v>
      </c>
      <c r="M269" s="5">
        <v>108000</v>
      </c>
      <c r="N269" s="7">
        <v>93960</v>
      </c>
      <c r="O269" s="7">
        <v>14040</v>
      </c>
      <c r="P269" s="16">
        <v>0.13</v>
      </c>
    </row>
    <row r="270" spans="1:16" ht="15.75" thickBot="1" x14ac:dyDescent="0.3">
      <c r="A270" s="14" t="s">
        <v>323</v>
      </c>
      <c r="B270" s="6">
        <v>45458</v>
      </c>
      <c r="C270" s="10" t="s">
        <v>80</v>
      </c>
      <c r="D270" s="5">
        <v>2024</v>
      </c>
      <c r="E270" s="9" t="s">
        <v>599</v>
      </c>
      <c r="F270" s="9" t="s">
        <v>39</v>
      </c>
      <c r="G270" s="9" t="s">
        <v>610</v>
      </c>
      <c r="H270" s="9" t="s">
        <v>620</v>
      </c>
      <c r="I270" s="9" t="s">
        <v>630</v>
      </c>
      <c r="J270" s="9" t="s">
        <v>618</v>
      </c>
      <c r="K270" s="9">
        <v>7</v>
      </c>
      <c r="L270" s="9">
        <v>15000</v>
      </c>
      <c r="M270" s="5">
        <v>105000</v>
      </c>
      <c r="N270" s="9">
        <v>65100</v>
      </c>
      <c r="O270" s="9">
        <v>39900</v>
      </c>
      <c r="P270" s="17">
        <v>0.38</v>
      </c>
    </row>
    <row r="271" spans="1:16" ht="15.75" thickBot="1" x14ac:dyDescent="0.3">
      <c r="A271" s="13" t="s">
        <v>324</v>
      </c>
      <c r="B271" s="6">
        <v>45528</v>
      </c>
      <c r="C271" s="8" t="s">
        <v>46</v>
      </c>
      <c r="D271" s="5">
        <v>2024</v>
      </c>
      <c r="E271" s="7" t="s">
        <v>592</v>
      </c>
      <c r="F271" s="7" t="s">
        <v>40</v>
      </c>
      <c r="G271" s="7" t="s">
        <v>612</v>
      </c>
      <c r="H271" s="7" t="s">
        <v>616</v>
      </c>
      <c r="I271" s="7" t="s">
        <v>623</v>
      </c>
      <c r="J271" s="7" t="s">
        <v>615</v>
      </c>
      <c r="K271" s="7">
        <v>16</v>
      </c>
      <c r="L271" s="7">
        <v>1200</v>
      </c>
      <c r="M271" s="5">
        <v>19200</v>
      </c>
      <c r="N271" s="7">
        <v>15552</v>
      </c>
      <c r="O271" s="7">
        <v>3648</v>
      </c>
      <c r="P271" s="16">
        <v>0.19</v>
      </c>
    </row>
    <row r="272" spans="1:16" ht="15.75" thickBot="1" x14ac:dyDescent="0.3">
      <c r="A272" s="14" t="s">
        <v>325</v>
      </c>
      <c r="B272" s="6">
        <v>45541</v>
      </c>
      <c r="C272" s="10" t="s">
        <v>80</v>
      </c>
      <c r="D272" s="5">
        <v>2024</v>
      </c>
      <c r="E272" s="9" t="s">
        <v>597</v>
      </c>
      <c r="F272" s="9" t="s">
        <v>41</v>
      </c>
      <c r="G272" s="9" t="s">
        <v>611</v>
      </c>
      <c r="H272" s="9" t="s">
        <v>621</v>
      </c>
      <c r="I272" s="9" t="s">
        <v>630</v>
      </c>
      <c r="J272" s="9" t="s">
        <v>615</v>
      </c>
      <c r="K272" s="9">
        <v>20</v>
      </c>
      <c r="L272" s="9">
        <v>3500</v>
      </c>
      <c r="M272" s="5">
        <v>70000</v>
      </c>
      <c r="N272" s="9">
        <v>51100</v>
      </c>
      <c r="O272" s="9">
        <v>18900</v>
      </c>
      <c r="P272" s="17">
        <v>0.27</v>
      </c>
    </row>
    <row r="273" spans="1:16" ht="15.75" thickBot="1" x14ac:dyDescent="0.3">
      <c r="A273" s="13" t="s">
        <v>326</v>
      </c>
      <c r="B273" s="6">
        <v>45565</v>
      </c>
      <c r="C273" s="8" t="s">
        <v>65</v>
      </c>
      <c r="D273" s="5">
        <v>2024</v>
      </c>
      <c r="E273" s="7" t="s">
        <v>601</v>
      </c>
      <c r="F273" s="7" t="s">
        <v>41</v>
      </c>
      <c r="G273" s="7" t="s">
        <v>611</v>
      </c>
      <c r="H273" s="7" t="s">
        <v>624</v>
      </c>
      <c r="I273" s="7" t="s">
        <v>623</v>
      </c>
      <c r="J273" s="7" t="s">
        <v>618</v>
      </c>
      <c r="K273" s="7">
        <v>1</v>
      </c>
      <c r="L273" s="7">
        <v>15000</v>
      </c>
      <c r="M273" s="5">
        <v>15000</v>
      </c>
      <c r="N273" s="7">
        <v>9000</v>
      </c>
      <c r="O273" s="7">
        <v>6000</v>
      </c>
      <c r="P273" s="16">
        <v>0.4</v>
      </c>
    </row>
    <row r="274" spans="1:16" ht="15.75" thickBot="1" x14ac:dyDescent="0.3">
      <c r="A274" s="14" t="s">
        <v>327</v>
      </c>
      <c r="B274" s="6">
        <v>45457</v>
      </c>
      <c r="C274" s="10" t="s">
        <v>48</v>
      </c>
      <c r="D274" s="5">
        <v>2024</v>
      </c>
      <c r="E274" s="9" t="s">
        <v>596</v>
      </c>
      <c r="F274" s="9" t="s">
        <v>39</v>
      </c>
      <c r="G274" s="9" t="s">
        <v>610</v>
      </c>
      <c r="H274" s="9" t="s">
        <v>613</v>
      </c>
      <c r="I274" s="9" t="s">
        <v>614</v>
      </c>
      <c r="J274" s="9" t="s">
        <v>615</v>
      </c>
      <c r="K274" s="9">
        <v>1</v>
      </c>
      <c r="L274" s="9">
        <v>1200</v>
      </c>
      <c r="M274" s="5">
        <v>1200</v>
      </c>
      <c r="N274" s="9">
        <v>948</v>
      </c>
      <c r="O274" s="9">
        <v>252</v>
      </c>
      <c r="P274" s="17">
        <v>0.21</v>
      </c>
    </row>
    <row r="275" spans="1:16" ht="15.75" thickBot="1" x14ac:dyDescent="0.3">
      <c r="A275" s="13" t="s">
        <v>328</v>
      </c>
      <c r="B275" s="6">
        <v>45656</v>
      </c>
      <c r="C275" s="8" t="s">
        <v>65</v>
      </c>
      <c r="D275" s="5">
        <v>2024</v>
      </c>
      <c r="E275" s="7" t="s">
        <v>594</v>
      </c>
      <c r="F275" s="7" t="s">
        <v>39</v>
      </c>
      <c r="G275" s="7" t="s">
        <v>608</v>
      </c>
      <c r="H275" s="7" t="s">
        <v>613</v>
      </c>
      <c r="I275" s="7" t="s">
        <v>627</v>
      </c>
      <c r="J275" s="7" t="s">
        <v>618</v>
      </c>
      <c r="K275" s="7">
        <v>2</v>
      </c>
      <c r="L275" s="7">
        <v>9000</v>
      </c>
      <c r="M275" s="5">
        <v>18000</v>
      </c>
      <c r="N275" s="7">
        <v>12420</v>
      </c>
      <c r="O275" s="7">
        <v>5580</v>
      </c>
      <c r="P275" s="16">
        <v>0.31</v>
      </c>
    </row>
    <row r="276" spans="1:16" ht="15.75" thickBot="1" x14ac:dyDescent="0.3">
      <c r="A276" s="14" t="s">
        <v>329</v>
      </c>
      <c r="B276" s="6">
        <v>45355</v>
      </c>
      <c r="C276" s="10" t="s">
        <v>65</v>
      </c>
      <c r="D276" s="5">
        <v>2024</v>
      </c>
      <c r="E276" s="9" t="s">
        <v>607</v>
      </c>
      <c r="F276" s="9" t="s">
        <v>42</v>
      </c>
      <c r="G276" s="9" t="s">
        <v>612</v>
      </c>
      <c r="H276" s="9" t="s">
        <v>613</v>
      </c>
      <c r="I276" s="9" t="s">
        <v>645</v>
      </c>
      <c r="J276" s="9" t="s">
        <v>618</v>
      </c>
      <c r="K276" s="9">
        <v>18</v>
      </c>
      <c r="L276" s="9">
        <v>300</v>
      </c>
      <c r="M276" s="5">
        <v>5400</v>
      </c>
      <c r="N276" s="9">
        <v>4050</v>
      </c>
      <c r="O276" s="9">
        <v>1350</v>
      </c>
      <c r="P276" s="17">
        <v>0.25</v>
      </c>
    </row>
    <row r="277" spans="1:16" ht="15.75" thickBot="1" x14ac:dyDescent="0.3">
      <c r="A277" s="13" t="s">
        <v>330</v>
      </c>
      <c r="B277" s="6">
        <v>45349</v>
      </c>
      <c r="C277" s="8" t="s">
        <v>44</v>
      </c>
      <c r="D277" s="5">
        <v>2024</v>
      </c>
      <c r="E277" s="7" t="s">
        <v>598</v>
      </c>
      <c r="F277" s="7" t="s">
        <v>40</v>
      </c>
      <c r="G277" s="7" t="s">
        <v>610</v>
      </c>
      <c r="H277" s="7" t="s">
        <v>628</v>
      </c>
      <c r="I277" s="9" t="s">
        <v>645</v>
      </c>
      <c r="J277" s="7" t="s">
        <v>618</v>
      </c>
      <c r="K277" s="7">
        <v>20</v>
      </c>
      <c r="L277" s="7">
        <v>150</v>
      </c>
      <c r="M277" s="5">
        <v>3000</v>
      </c>
      <c r="N277" s="7">
        <v>2520</v>
      </c>
      <c r="O277" s="7">
        <v>480</v>
      </c>
      <c r="P277" s="16">
        <v>0.16</v>
      </c>
    </row>
    <row r="278" spans="1:16" ht="15.75" thickBot="1" x14ac:dyDescent="0.3">
      <c r="A278" s="14" t="s">
        <v>331</v>
      </c>
      <c r="B278" s="6">
        <v>45580</v>
      </c>
      <c r="C278" s="10" t="s">
        <v>50</v>
      </c>
      <c r="D278" s="5">
        <v>2024</v>
      </c>
      <c r="E278" s="9" t="s">
        <v>599</v>
      </c>
      <c r="F278" s="9" t="s">
        <v>39</v>
      </c>
      <c r="G278" s="9" t="s">
        <v>612</v>
      </c>
      <c r="H278" s="9" t="s">
        <v>613</v>
      </c>
      <c r="I278" s="9" t="s">
        <v>617</v>
      </c>
      <c r="J278" s="9" t="s">
        <v>618</v>
      </c>
      <c r="K278" s="9">
        <v>16</v>
      </c>
      <c r="L278" s="9">
        <v>1200</v>
      </c>
      <c r="M278" s="5">
        <v>19200</v>
      </c>
      <c r="N278" s="9">
        <v>15936</v>
      </c>
      <c r="O278" s="9">
        <v>3264</v>
      </c>
      <c r="P278" s="17">
        <v>0.17</v>
      </c>
    </row>
    <row r="279" spans="1:16" ht="15.75" thickBot="1" x14ac:dyDescent="0.3">
      <c r="A279" s="13" t="s">
        <v>332</v>
      </c>
      <c r="B279" s="6">
        <v>45643</v>
      </c>
      <c r="C279" s="8" t="s">
        <v>48</v>
      </c>
      <c r="D279" s="5">
        <v>2024</v>
      </c>
      <c r="E279" s="7" t="s">
        <v>599</v>
      </c>
      <c r="F279" s="7" t="s">
        <v>39</v>
      </c>
      <c r="G279" s="7" t="s">
        <v>609</v>
      </c>
      <c r="H279" s="7" t="s">
        <v>622</v>
      </c>
      <c r="I279" s="7" t="s">
        <v>630</v>
      </c>
      <c r="J279" s="7" t="s">
        <v>618</v>
      </c>
      <c r="K279" s="7">
        <v>19</v>
      </c>
      <c r="L279" s="7">
        <v>300</v>
      </c>
      <c r="M279" s="5">
        <v>5700</v>
      </c>
      <c r="N279" s="7">
        <v>4332</v>
      </c>
      <c r="O279" s="7">
        <v>1368</v>
      </c>
      <c r="P279" s="16">
        <v>0.24</v>
      </c>
    </row>
    <row r="280" spans="1:16" ht="15.75" thickBot="1" x14ac:dyDescent="0.3">
      <c r="A280" s="14" t="s">
        <v>333</v>
      </c>
      <c r="B280" s="6">
        <v>45466</v>
      </c>
      <c r="C280" s="10" t="s">
        <v>48</v>
      </c>
      <c r="D280" s="5">
        <v>2024</v>
      </c>
      <c r="E280" s="9" t="s">
        <v>601</v>
      </c>
      <c r="F280" s="9" t="s">
        <v>41</v>
      </c>
      <c r="G280" s="9" t="s">
        <v>612</v>
      </c>
      <c r="H280" s="9" t="s">
        <v>629</v>
      </c>
      <c r="I280" s="9" t="s">
        <v>619</v>
      </c>
      <c r="J280" s="9" t="s">
        <v>618</v>
      </c>
      <c r="K280" s="9">
        <v>17</v>
      </c>
      <c r="L280" s="9">
        <v>12000</v>
      </c>
      <c r="M280" s="5">
        <v>204000</v>
      </c>
      <c r="N280" s="9">
        <v>159120</v>
      </c>
      <c r="O280" s="9">
        <v>44880</v>
      </c>
      <c r="P280" s="17">
        <v>0.22</v>
      </c>
    </row>
    <row r="281" spans="1:16" ht="15.75" thickBot="1" x14ac:dyDescent="0.3">
      <c r="A281" s="13" t="s">
        <v>334</v>
      </c>
      <c r="B281" s="6">
        <v>45411</v>
      </c>
      <c r="C281" s="8" t="s">
        <v>50</v>
      </c>
      <c r="D281" s="5">
        <v>2024</v>
      </c>
      <c r="E281" s="7" t="s">
        <v>600</v>
      </c>
      <c r="F281" s="7" t="s">
        <v>39</v>
      </c>
      <c r="G281" s="7" t="s">
        <v>609</v>
      </c>
      <c r="H281" s="7" t="s">
        <v>622</v>
      </c>
      <c r="I281" s="7" t="s">
        <v>617</v>
      </c>
      <c r="J281" s="7" t="s">
        <v>618</v>
      </c>
      <c r="K281" s="7">
        <v>5</v>
      </c>
      <c r="L281" s="7">
        <v>45000</v>
      </c>
      <c r="M281" s="5">
        <v>225000</v>
      </c>
      <c r="N281" s="7">
        <v>186750</v>
      </c>
      <c r="O281" s="7">
        <v>38250</v>
      </c>
      <c r="P281" s="16">
        <v>0.17</v>
      </c>
    </row>
    <row r="282" spans="1:16" ht="15.75" thickBot="1" x14ac:dyDescent="0.3">
      <c r="A282" s="14" t="s">
        <v>335</v>
      </c>
      <c r="B282" s="6">
        <v>45476</v>
      </c>
      <c r="C282" s="10" t="s">
        <v>44</v>
      </c>
      <c r="D282" s="5">
        <v>2024</v>
      </c>
      <c r="E282" s="9" t="s">
        <v>593</v>
      </c>
      <c r="F282" s="9" t="s">
        <v>41</v>
      </c>
      <c r="G282" s="9" t="s">
        <v>612</v>
      </c>
      <c r="H282" s="9" t="s">
        <v>628</v>
      </c>
      <c r="I282" s="9" t="s">
        <v>627</v>
      </c>
      <c r="J282" s="9" t="s">
        <v>615</v>
      </c>
      <c r="K282" s="9">
        <v>19</v>
      </c>
      <c r="L282" s="9">
        <v>12000</v>
      </c>
      <c r="M282" s="5">
        <v>228000</v>
      </c>
      <c r="N282" s="9">
        <v>191520</v>
      </c>
      <c r="O282" s="9">
        <v>36480</v>
      </c>
      <c r="P282" s="17">
        <v>0.16</v>
      </c>
    </row>
    <row r="283" spans="1:16" ht="15.75" thickBot="1" x14ac:dyDescent="0.3">
      <c r="A283" s="13" t="s">
        <v>336</v>
      </c>
      <c r="B283" s="6">
        <v>45448</v>
      </c>
      <c r="C283" s="8" t="s">
        <v>44</v>
      </c>
      <c r="D283" s="5">
        <v>2024</v>
      </c>
      <c r="E283" s="7" t="s">
        <v>592</v>
      </c>
      <c r="F283" s="7" t="s">
        <v>40</v>
      </c>
      <c r="G283" s="7" t="s">
        <v>610</v>
      </c>
      <c r="H283" s="7" t="s">
        <v>620</v>
      </c>
      <c r="I283" s="7" t="s">
        <v>623</v>
      </c>
      <c r="J283" s="7" t="s">
        <v>618</v>
      </c>
      <c r="K283" s="7">
        <v>16</v>
      </c>
      <c r="L283" s="7">
        <v>150</v>
      </c>
      <c r="M283" s="5">
        <v>2400</v>
      </c>
      <c r="N283" s="7">
        <v>1584</v>
      </c>
      <c r="O283" s="7">
        <v>816</v>
      </c>
      <c r="P283" s="16">
        <v>0.34</v>
      </c>
    </row>
    <row r="284" spans="1:16" ht="15.75" thickBot="1" x14ac:dyDescent="0.3">
      <c r="A284" s="14" t="s">
        <v>337</v>
      </c>
      <c r="B284" s="6">
        <v>45515</v>
      </c>
      <c r="C284" s="10" t="s">
        <v>57</v>
      </c>
      <c r="D284" s="5">
        <v>2024</v>
      </c>
      <c r="E284" s="9" t="s">
        <v>604</v>
      </c>
      <c r="F284" s="9" t="s">
        <v>41</v>
      </c>
      <c r="G284" s="9" t="s">
        <v>610</v>
      </c>
      <c r="H284" s="9" t="s">
        <v>622</v>
      </c>
      <c r="I284" s="9" t="s">
        <v>623</v>
      </c>
      <c r="J284" s="9" t="s">
        <v>615</v>
      </c>
      <c r="K284" s="9">
        <v>2</v>
      </c>
      <c r="L284" s="9">
        <v>20</v>
      </c>
      <c r="M284" s="5">
        <v>40</v>
      </c>
      <c r="N284" s="9">
        <v>27.6</v>
      </c>
      <c r="O284" s="9">
        <v>12.399999999999999</v>
      </c>
      <c r="P284" s="17">
        <v>0.30999999999999994</v>
      </c>
    </row>
    <row r="285" spans="1:16" ht="15.75" thickBot="1" x14ac:dyDescent="0.3">
      <c r="A285" s="13" t="s">
        <v>338</v>
      </c>
      <c r="B285" s="6">
        <v>45371</v>
      </c>
      <c r="C285" s="8" t="s">
        <v>48</v>
      </c>
      <c r="D285" s="5">
        <v>2024</v>
      </c>
      <c r="E285" s="7" t="s">
        <v>600</v>
      </c>
      <c r="F285" s="7" t="s">
        <v>39</v>
      </c>
      <c r="G285" s="7" t="s">
        <v>609</v>
      </c>
      <c r="H285" s="7" t="s">
        <v>621</v>
      </c>
      <c r="I285" s="7" t="s">
        <v>623</v>
      </c>
      <c r="J285" s="7" t="s">
        <v>618</v>
      </c>
      <c r="K285" s="7">
        <v>4</v>
      </c>
      <c r="L285" s="7">
        <v>45000</v>
      </c>
      <c r="M285" s="5">
        <v>180000</v>
      </c>
      <c r="N285" s="7">
        <v>113400</v>
      </c>
      <c r="O285" s="7">
        <v>66600</v>
      </c>
      <c r="P285" s="16">
        <v>0.37</v>
      </c>
    </row>
    <row r="286" spans="1:16" ht="15.75" thickBot="1" x14ac:dyDescent="0.3">
      <c r="A286" s="14" t="s">
        <v>339</v>
      </c>
      <c r="B286" s="6">
        <v>45559</v>
      </c>
      <c r="C286" s="10" t="s">
        <v>46</v>
      </c>
      <c r="D286" s="5">
        <v>2024</v>
      </c>
      <c r="E286" s="9" t="s">
        <v>597</v>
      </c>
      <c r="F286" s="9" t="s">
        <v>41</v>
      </c>
      <c r="G286" s="9" t="s">
        <v>608</v>
      </c>
      <c r="H286" s="9" t="s">
        <v>622</v>
      </c>
      <c r="I286" s="9" t="s">
        <v>614</v>
      </c>
      <c r="J286" s="9" t="s">
        <v>618</v>
      </c>
      <c r="K286" s="9">
        <v>11</v>
      </c>
      <c r="L286" s="9">
        <v>7000</v>
      </c>
      <c r="M286" s="5">
        <v>77000</v>
      </c>
      <c r="N286" s="9">
        <v>67760</v>
      </c>
      <c r="O286" s="9">
        <v>9240</v>
      </c>
      <c r="P286" s="17">
        <v>0.12</v>
      </c>
    </row>
    <row r="287" spans="1:16" ht="15.75" thickBot="1" x14ac:dyDescent="0.3">
      <c r="A287" s="13" t="s">
        <v>340</v>
      </c>
      <c r="B287" s="6">
        <v>45643</v>
      </c>
      <c r="C287" s="8" t="s">
        <v>46</v>
      </c>
      <c r="D287" s="5">
        <v>2024</v>
      </c>
      <c r="E287" s="7" t="s">
        <v>604</v>
      </c>
      <c r="F287" s="7" t="s">
        <v>41</v>
      </c>
      <c r="G287" s="7" t="s">
        <v>609</v>
      </c>
      <c r="H287" s="7" t="s">
        <v>613</v>
      </c>
      <c r="I287" s="7" t="s">
        <v>627</v>
      </c>
      <c r="J287" s="7" t="s">
        <v>618</v>
      </c>
      <c r="K287" s="7">
        <v>6</v>
      </c>
      <c r="L287" s="7">
        <v>55000</v>
      </c>
      <c r="M287" s="5">
        <v>330000</v>
      </c>
      <c r="N287" s="7">
        <v>270600</v>
      </c>
      <c r="O287" s="7">
        <v>59400</v>
      </c>
      <c r="P287" s="16">
        <v>0.18</v>
      </c>
    </row>
    <row r="288" spans="1:16" ht="15.75" thickBot="1" x14ac:dyDescent="0.3">
      <c r="A288" s="14" t="s">
        <v>341</v>
      </c>
      <c r="B288" s="6">
        <v>45521</v>
      </c>
      <c r="C288" s="10" t="s">
        <v>46</v>
      </c>
      <c r="D288" s="5">
        <v>2024</v>
      </c>
      <c r="E288" s="9" t="s">
        <v>599</v>
      </c>
      <c r="F288" s="9" t="s">
        <v>39</v>
      </c>
      <c r="G288" s="9" t="s">
        <v>608</v>
      </c>
      <c r="H288" s="9" t="s">
        <v>622</v>
      </c>
      <c r="I288" s="9" t="s">
        <v>630</v>
      </c>
      <c r="J288" s="9" t="s">
        <v>615</v>
      </c>
      <c r="K288" s="9">
        <v>17</v>
      </c>
      <c r="L288" s="9">
        <v>150</v>
      </c>
      <c r="M288" s="5">
        <v>2550</v>
      </c>
      <c r="N288" s="9">
        <v>2167.5</v>
      </c>
      <c r="O288" s="9">
        <v>382.5</v>
      </c>
      <c r="P288" s="17">
        <v>0.15</v>
      </c>
    </row>
    <row r="289" spans="1:16" ht="15.75" thickBot="1" x14ac:dyDescent="0.3">
      <c r="A289" s="13" t="s">
        <v>342</v>
      </c>
      <c r="B289" s="6">
        <v>45506</v>
      </c>
      <c r="C289" s="8" t="s">
        <v>57</v>
      </c>
      <c r="D289" s="5">
        <v>2024</v>
      </c>
      <c r="E289" s="7" t="s">
        <v>593</v>
      </c>
      <c r="F289" s="7" t="s">
        <v>41</v>
      </c>
      <c r="G289" s="7" t="s">
        <v>608</v>
      </c>
      <c r="H289" s="7" t="s">
        <v>622</v>
      </c>
      <c r="I289" s="7" t="s">
        <v>630</v>
      </c>
      <c r="J289" s="7" t="s">
        <v>615</v>
      </c>
      <c r="K289" s="7">
        <v>11</v>
      </c>
      <c r="L289" s="7">
        <v>20</v>
      </c>
      <c r="M289" s="5">
        <v>220</v>
      </c>
      <c r="N289" s="7">
        <v>182.6</v>
      </c>
      <c r="O289" s="7">
        <v>37.400000000000006</v>
      </c>
      <c r="P289" s="16">
        <v>0.17</v>
      </c>
    </row>
    <row r="290" spans="1:16" ht="15.75" thickBot="1" x14ac:dyDescent="0.3">
      <c r="A290" s="14" t="s">
        <v>343</v>
      </c>
      <c r="B290" s="6">
        <v>45404</v>
      </c>
      <c r="C290" s="10" t="s">
        <v>65</v>
      </c>
      <c r="D290" s="5">
        <v>2024</v>
      </c>
      <c r="E290" s="9" t="s">
        <v>604</v>
      </c>
      <c r="F290" s="9" t="s">
        <v>41</v>
      </c>
      <c r="G290" s="9" t="s">
        <v>611</v>
      </c>
      <c r="H290" s="9" t="s">
        <v>622</v>
      </c>
      <c r="I290" s="9" t="s">
        <v>630</v>
      </c>
      <c r="J290" s="9" t="s">
        <v>615</v>
      </c>
      <c r="K290" s="9">
        <v>2</v>
      </c>
      <c r="L290" s="9">
        <v>1200</v>
      </c>
      <c r="M290" s="5">
        <v>2400</v>
      </c>
      <c r="N290" s="9">
        <v>1872</v>
      </c>
      <c r="O290" s="9">
        <v>528</v>
      </c>
      <c r="P290" s="17">
        <v>0.22</v>
      </c>
    </row>
    <row r="291" spans="1:16" ht="15.75" thickBot="1" x14ac:dyDescent="0.3">
      <c r="A291" s="13" t="s">
        <v>344</v>
      </c>
      <c r="B291" s="6">
        <v>45339</v>
      </c>
      <c r="C291" s="8" t="s">
        <v>55</v>
      </c>
      <c r="D291" s="5">
        <v>2024</v>
      </c>
      <c r="E291" s="7" t="s">
        <v>603</v>
      </c>
      <c r="F291" s="7" t="s">
        <v>42</v>
      </c>
      <c r="G291" s="7" t="s">
        <v>611</v>
      </c>
      <c r="H291" s="7" t="s">
        <v>613</v>
      </c>
      <c r="I291" s="9" t="s">
        <v>645</v>
      </c>
      <c r="J291" s="7" t="s">
        <v>615</v>
      </c>
      <c r="K291" s="7">
        <v>6</v>
      </c>
      <c r="L291" s="7">
        <v>12000</v>
      </c>
      <c r="M291" s="5">
        <v>72000</v>
      </c>
      <c r="N291" s="7">
        <v>64080</v>
      </c>
      <c r="O291" s="7">
        <v>7920</v>
      </c>
      <c r="P291" s="16">
        <v>0.11</v>
      </c>
    </row>
    <row r="292" spans="1:16" ht="15.75" thickBot="1" x14ac:dyDescent="0.3">
      <c r="A292" s="14" t="s">
        <v>345</v>
      </c>
      <c r="B292" s="6">
        <v>45458</v>
      </c>
      <c r="C292" s="10" t="s">
        <v>65</v>
      </c>
      <c r="D292" s="5">
        <v>2024</v>
      </c>
      <c r="E292" s="9" t="s">
        <v>604</v>
      </c>
      <c r="F292" s="9" t="s">
        <v>41</v>
      </c>
      <c r="G292" s="9" t="s">
        <v>611</v>
      </c>
      <c r="H292" s="9" t="s">
        <v>625</v>
      </c>
      <c r="I292" s="9" t="s">
        <v>623</v>
      </c>
      <c r="J292" s="9" t="s">
        <v>618</v>
      </c>
      <c r="K292" s="9">
        <v>1</v>
      </c>
      <c r="L292" s="9">
        <v>12000</v>
      </c>
      <c r="M292" s="5">
        <v>12000</v>
      </c>
      <c r="N292" s="9">
        <v>8040</v>
      </c>
      <c r="O292" s="9">
        <v>3960</v>
      </c>
      <c r="P292" s="17">
        <v>0.33</v>
      </c>
    </row>
    <row r="293" spans="1:16" ht="15.75" thickBot="1" x14ac:dyDescent="0.3">
      <c r="A293" s="13" t="s">
        <v>346</v>
      </c>
      <c r="B293" s="6">
        <v>45605</v>
      </c>
      <c r="C293" s="8" t="s">
        <v>65</v>
      </c>
      <c r="D293" s="5">
        <v>2024</v>
      </c>
      <c r="E293" s="7" t="s">
        <v>605</v>
      </c>
      <c r="F293" s="7" t="s">
        <v>40</v>
      </c>
      <c r="G293" s="7" t="s">
        <v>608</v>
      </c>
      <c r="H293" s="7" t="s">
        <v>624</v>
      </c>
      <c r="I293" s="7" t="s">
        <v>617</v>
      </c>
      <c r="J293" s="7" t="s">
        <v>618</v>
      </c>
      <c r="K293" s="7">
        <v>8</v>
      </c>
      <c r="L293" s="7">
        <v>7000</v>
      </c>
      <c r="M293" s="5">
        <v>56000</v>
      </c>
      <c r="N293" s="7">
        <v>49280</v>
      </c>
      <c r="O293" s="7">
        <v>6720</v>
      </c>
      <c r="P293" s="16">
        <v>0.12</v>
      </c>
    </row>
    <row r="294" spans="1:16" ht="15.75" thickBot="1" x14ac:dyDescent="0.3">
      <c r="A294" s="14" t="s">
        <v>347</v>
      </c>
      <c r="B294" s="6">
        <v>45369</v>
      </c>
      <c r="C294" s="10" t="s">
        <v>48</v>
      </c>
      <c r="D294" s="5">
        <v>2024</v>
      </c>
      <c r="E294" s="9" t="s">
        <v>595</v>
      </c>
      <c r="F294" s="9" t="s">
        <v>39</v>
      </c>
      <c r="G294" s="9" t="s">
        <v>608</v>
      </c>
      <c r="H294" s="9" t="s">
        <v>622</v>
      </c>
      <c r="I294" s="9" t="s">
        <v>617</v>
      </c>
      <c r="J294" s="9" t="s">
        <v>618</v>
      </c>
      <c r="K294" s="9">
        <v>18</v>
      </c>
      <c r="L294" s="9">
        <v>300</v>
      </c>
      <c r="M294" s="5">
        <v>5400</v>
      </c>
      <c r="N294" s="9">
        <v>3888</v>
      </c>
      <c r="O294" s="9">
        <v>1512</v>
      </c>
      <c r="P294" s="17">
        <v>0.28000000000000003</v>
      </c>
    </row>
    <row r="295" spans="1:16" ht="15.75" thickBot="1" x14ac:dyDescent="0.3">
      <c r="A295" s="13" t="s">
        <v>348</v>
      </c>
      <c r="B295" s="6">
        <v>45369</v>
      </c>
      <c r="C295" s="8" t="s">
        <v>59</v>
      </c>
      <c r="D295" s="5">
        <v>2024</v>
      </c>
      <c r="E295" s="7" t="s">
        <v>604</v>
      </c>
      <c r="F295" s="7" t="s">
        <v>41</v>
      </c>
      <c r="G295" s="7" t="s">
        <v>611</v>
      </c>
      <c r="H295" s="7" t="s">
        <v>620</v>
      </c>
      <c r="I295" s="9" t="s">
        <v>645</v>
      </c>
      <c r="J295" s="7" t="s">
        <v>618</v>
      </c>
      <c r="K295" s="7">
        <v>18</v>
      </c>
      <c r="L295" s="7">
        <v>12000</v>
      </c>
      <c r="M295" s="5">
        <v>216000</v>
      </c>
      <c r="N295" s="7">
        <v>170640</v>
      </c>
      <c r="O295" s="7">
        <v>45360</v>
      </c>
      <c r="P295" s="16">
        <v>0.21</v>
      </c>
    </row>
    <row r="296" spans="1:16" ht="15.75" thickBot="1" x14ac:dyDescent="0.3">
      <c r="A296" s="14" t="s">
        <v>349</v>
      </c>
      <c r="B296" s="6">
        <v>45329</v>
      </c>
      <c r="C296" s="10" t="s">
        <v>55</v>
      </c>
      <c r="D296" s="5">
        <v>2024</v>
      </c>
      <c r="E296" s="9" t="s">
        <v>596</v>
      </c>
      <c r="F296" s="9" t="s">
        <v>39</v>
      </c>
      <c r="G296" s="9" t="s">
        <v>612</v>
      </c>
      <c r="H296" s="9" t="s">
        <v>620</v>
      </c>
      <c r="I296" s="9" t="s">
        <v>645</v>
      </c>
      <c r="J296" s="9" t="s">
        <v>615</v>
      </c>
      <c r="K296" s="9">
        <v>9</v>
      </c>
      <c r="L296" s="9">
        <v>50</v>
      </c>
      <c r="M296" s="5">
        <v>450</v>
      </c>
      <c r="N296" s="9">
        <v>279</v>
      </c>
      <c r="O296" s="9">
        <v>171</v>
      </c>
      <c r="P296" s="17">
        <v>0.38</v>
      </c>
    </row>
    <row r="297" spans="1:16" ht="15.75" thickBot="1" x14ac:dyDescent="0.3">
      <c r="A297" s="13" t="s">
        <v>350</v>
      </c>
      <c r="B297" s="6">
        <v>45641</v>
      </c>
      <c r="C297" s="8" t="s">
        <v>57</v>
      </c>
      <c r="D297" s="5">
        <v>2024</v>
      </c>
      <c r="E297" s="7" t="s">
        <v>594</v>
      </c>
      <c r="F297" s="7" t="s">
        <v>39</v>
      </c>
      <c r="G297" s="7" t="s">
        <v>609</v>
      </c>
      <c r="H297" s="7" t="s">
        <v>624</v>
      </c>
      <c r="I297" s="7" t="s">
        <v>617</v>
      </c>
      <c r="J297" s="7" t="s">
        <v>618</v>
      </c>
      <c r="K297" s="7">
        <v>13</v>
      </c>
      <c r="L297" s="7">
        <v>8000</v>
      </c>
      <c r="M297" s="5">
        <v>104000</v>
      </c>
      <c r="N297" s="7">
        <v>82160</v>
      </c>
      <c r="O297" s="7">
        <v>21840</v>
      </c>
      <c r="P297" s="16">
        <v>0.21</v>
      </c>
    </row>
    <row r="298" spans="1:16" ht="15.75" thickBot="1" x14ac:dyDescent="0.3">
      <c r="A298" s="14" t="s">
        <v>351</v>
      </c>
      <c r="B298" s="6">
        <v>45375</v>
      </c>
      <c r="C298" s="10" t="s">
        <v>62</v>
      </c>
      <c r="D298" s="5">
        <v>2024</v>
      </c>
      <c r="E298" s="9" t="s">
        <v>602</v>
      </c>
      <c r="F298" s="9" t="s">
        <v>42</v>
      </c>
      <c r="G298" s="9" t="s">
        <v>608</v>
      </c>
      <c r="H298" s="9" t="s">
        <v>628</v>
      </c>
      <c r="I298" s="9" t="s">
        <v>623</v>
      </c>
      <c r="J298" s="9" t="s">
        <v>618</v>
      </c>
      <c r="K298" s="9">
        <v>2</v>
      </c>
      <c r="L298" s="9">
        <v>700</v>
      </c>
      <c r="M298" s="5">
        <v>1400</v>
      </c>
      <c r="N298" s="9">
        <v>1120</v>
      </c>
      <c r="O298" s="9">
        <v>280</v>
      </c>
      <c r="P298" s="17">
        <v>0.2</v>
      </c>
    </row>
    <row r="299" spans="1:16" ht="15.75" thickBot="1" x14ac:dyDescent="0.3">
      <c r="A299" s="13" t="s">
        <v>352</v>
      </c>
      <c r="B299" s="6">
        <v>45439</v>
      </c>
      <c r="C299" s="8" t="s">
        <v>44</v>
      </c>
      <c r="D299" s="5">
        <v>2024</v>
      </c>
      <c r="E299" s="7" t="s">
        <v>593</v>
      </c>
      <c r="F299" s="7" t="s">
        <v>41</v>
      </c>
      <c r="G299" s="7" t="s">
        <v>610</v>
      </c>
      <c r="H299" s="7" t="s">
        <v>613</v>
      </c>
      <c r="I299" s="7" t="s">
        <v>623</v>
      </c>
      <c r="J299" s="7" t="s">
        <v>618</v>
      </c>
      <c r="K299" s="7">
        <v>17</v>
      </c>
      <c r="L299" s="7">
        <v>4000</v>
      </c>
      <c r="M299" s="5">
        <v>68000</v>
      </c>
      <c r="N299" s="7">
        <v>58480</v>
      </c>
      <c r="O299" s="7">
        <v>9520</v>
      </c>
      <c r="P299" s="16">
        <v>0.14000000000000001</v>
      </c>
    </row>
    <row r="300" spans="1:16" ht="15.75" thickBot="1" x14ac:dyDescent="0.3">
      <c r="A300" s="14" t="s">
        <v>353</v>
      </c>
      <c r="B300" s="6">
        <v>45434</v>
      </c>
      <c r="C300" s="10" t="s">
        <v>48</v>
      </c>
      <c r="D300" s="5">
        <v>2024</v>
      </c>
      <c r="E300" s="9" t="s">
        <v>601</v>
      </c>
      <c r="F300" s="9" t="s">
        <v>41</v>
      </c>
      <c r="G300" s="9" t="s">
        <v>608</v>
      </c>
      <c r="H300" s="9" t="s">
        <v>616</v>
      </c>
      <c r="I300" s="9" t="s">
        <v>645</v>
      </c>
      <c r="J300" s="9" t="s">
        <v>615</v>
      </c>
      <c r="K300" s="9">
        <v>3</v>
      </c>
      <c r="L300" s="9">
        <v>45000</v>
      </c>
      <c r="M300" s="5">
        <v>135000</v>
      </c>
      <c r="N300" s="9">
        <v>93150</v>
      </c>
      <c r="O300" s="9">
        <v>41850</v>
      </c>
      <c r="P300" s="17">
        <v>0.31</v>
      </c>
    </row>
    <row r="301" spans="1:16" ht="15.75" thickBot="1" x14ac:dyDescent="0.3">
      <c r="A301" s="13" t="s">
        <v>354</v>
      </c>
      <c r="B301" s="6">
        <v>45569</v>
      </c>
      <c r="C301" s="8" t="s">
        <v>83</v>
      </c>
      <c r="D301" s="5">
        <v>2024</v>
      </c>
      <c r="E301" s="7" t="s">
        <v>594</v>
      </c>
      <c r="F301" s="7" t="s">
        <v>39</v>
      </c>
      <c r="G301" s="7" t="s">
        <v>610</v>
      </c>
      <c r="H301" s="7" t="s">
        <v>628</v>
      </c>
      <c r="I301" s="9" t="s">
        <v>645</v>
      </c>
      <c r="J301" s="7" t="s">
        <v>618</v>
      </c>
      <c r="K301" s="7">
        <v>3</v>
      </c>
      <c r="L301" s="7">
        <v>4000</v>
      </c>
      <c r="M301" s="5">
        <v>12000</v>
      </c>
      <c r="N301" s="7">
        <v>7320</v>
      </c>
      <c r="O301" s="7">
        <v>4680</v>
      </c>
      <c r="P301" s="16">
        <v>0.39</v>
      </c>
    </row>
    <row r="302" spans="1:16" ht="15.75" thickBot="1" x14ac:dyDescent="0.3">
      <c r="A302" s="14" t="s">
        <v>355</v>
      </c>
      <c r="B302" s="6">
        <v>45355</v>
      </c>
      <c r="C302" s="10" t="s">
        <v>62</v>
      </c>
      <c r="D302" s="5">
        <v>2024</v>
      </c>
      <c r="E302" s="9" t="s">
        <v>596</v>
      </c>
      <c r="F302" s="9" t="s">
        <v>39</v>
      </c>
      <c r="G302" s="9" t="s">
        <v>608</v>
      </c>
      <c r="H302" s="9" t="s">
        <v>616</v>
      </c>
      <c r="I302" s="9" t="s">
        <v>623</v>
      </c>
      <c r="J302" s="9" t="s">
        <v>618</v>
      </c>
      <c r="K302" s="9">
        <v>15</v>
      </c>
      <c r="L302" s="9">
        <v>20</v>
      </c>
      <c r="M302" s="5">
        <v>300</v>
      </c>
      <c r="N302" s="9">
        <v>204</v>
      </c>
      <c r="O302" s="9">
        <v>96</v>
      </c>
      <c r="P302" s="17">
        <v>0.32</v>
      </c>
    </row>
    <row r="303" spans="1:16" ht="15.75" thickBot="1" x14ac:dyDescent="0.3">
      <c r="A303" s="13" t="s">
        <v>356</v>
      </c>
      <c r="B303" s="6">
        <v>45561</v>
      </c>
      <c r="C303" s="8" t="s">
        <v>44</v>
      </c>
      <c r="D303" s="5">
        <v>2024</v>
      </c>
      <c r="E303" s="7" t="s">
        <v>596</v>
      </c>
      <c r="F303" s="7" t="s">
        <v>39</v>
      </c>
      <c r="G303" s="7" t="s">
        <v>611</v>
      </c>
      <c r="H303" s="7" t="s">
        <v>621</v>
      </c>
      <c r="I303" s="7" t="s">
        <v>630</v>
      </c>
      <c r="J303" s="7" t="s">
        <v>615</v>
      </c>
      <c r="K303" s="7">
        <v>13</v>
      </c>
      <c r="L303" s="7">
        <v>55000</v>
      </c>
      <c r="M303" s="5">
        <v>715000</v>
      </c>
      <c r="N303" s="7">
        <v>643500</v>
      </c>
      <c r="O303" s="7">
        <v>71500</v>
      </c>
      <c r="P303" s="16">
        <v>0.1</v>
      </c>
    </row>
    <row r="304" spans="1:16" ht="15.75" thickBot="1" x14ac:dyDescent="0.3">
      <c r="A304" s="14" t="s">
        <v>357</v>
      </c>
      <c r="B304" s="6">
        <v>45304</v>
      </c>
      <c r="C304" s="10" t="s">
        <v>83</v>
      </c>
      <c r="D304" s="5">
        <v>2024</v>
      </c>
      <c r="E304" s="9" t="s">
        <v>603</v>
      </c>
      <c r="F304" s="9" t="s">
        <v>42</v>
      </c>
      <c r="G304" s="9" t="s">
        <v>612</v>
      </c>
      <c r="H304" s="9" t="s">
        <v>626</v>
      </c>
      <c r="I304" s="9" t="s">
        <v>645</v>
      </c>
      <c r="J304" s="9" t="s">
        <v>615</v>
      </c>
      <c r="K304" s="9">
        <v>13</v>
      </c>
      <c r="L304" s="9">
        <v>15000</v>
      </c>
      <c r="M304" s="5">
        <v>195000</v>
      </c>
      <c r="N304" s="9">
        <v>152100</v>
      </c>
      <c r="O304" s="9">
        <v>42900</v>
      </c>
      <c r="P304" s="17">
        <v>0.22</v>
      </c>
    </row>
    <row r="305" spans="1:16" ht="15.75" thickBot="1" x14ac:dyDescent="0.3">
      <c r="A305" s="13" t="s">
        <v>358</v>
      </c>
      <c r="B305" s="6">
        <v>45389</v>
      </c>
      <c r="C305" s="8" t="s">
        <v>59</v>
      </c>
      <c r="D305" s="5">
        <v>2024</v>
      </c>
      <c r="E305" s="7" t="s">
        <v>595</v>
      </c>
      <c r="F305" s="7" t="s">
        <v>39</v>
      </c>
      <c r="G305" s="7" t="s">
        <v>609</v>
      </c>
      <c r="H305" s="7" t="s">
        <v>621</v>
      </c>
      <c r="I305" s="7" t="s">
        <v>627</v>
      </c>
      <c r="J305" s="7" t="s">
        <v>615</v>
      </c>
      <c r="K305" s="7">
        <v>9</v>
      </c>
      <c r="L305" s="7">
        <v>4000</v>
      </c>
      <c r="M305" s="5">
        <v>36000</v>
      </c>
      <c r="N305" s="7">
        <v>30240</v>
      </c>
      <c r="O305" s="7">
        <v>5760</v>
      </c>
      <c r="P305" s="16">
        <v>0.16</v>
      </c>
    </row>
    <row r="306" spans="1:16" ht="15.75" thickBot="1" x14ac:dyDescent="0.3">
      <c r="A306" s="14" t="s">
        <v>359</v>
      </c>
      <c r="B306" s="6">
        <v>45302</v>
      </c>
      <c r="C306" s="10" t="s">
        <v>53</v>
      </c>
      <c r="D306" s="5">
        <v>2024</v>
      </c>
      <c r="E306" s="9" t="s">
        <v>597</v>
      </c>
      <c r="F306" s="9" t="s">
        <v>41</v>
      </c>
      <c r="G306" s="9" t="s">
        <v>608</v>
      </c>
      <c r="H306" s="9" t="s">
        <v>629</v>
      </c>
      <c r="I306" s="9" t="s">
        <v>619</v>
      </c>
      <c r="J306" s="9" t="s">
        <v>618</v>
      </c>
      <c r="K306" s="9">
        <v>8</v>
      </c>
      <c r="L306" s="9">
        <v>300</v>
      </c>
      <c r="M306" s="5">
        <v>2400</v>
      </c>
      <c r="N306" s="9">
        <v>2136</v>
      </c>
      <c r="O306" s="9">
        <v>264</v>
      </c>
      <c r="P306" s="17">
        <v>0.11</v>
      </c>
    </row>
    <row r="307" spans="1:16" ht="15.75" thickBot="1" x14ac:dyDescent="0.3">
      <c r="A307" s="13" t="s">
        <v>360</v>
      </c>
      <c r="B307" s="6">
        <v>45418</v>
      </c>
      <c r="C307" s="8" t="s">
        <v>62</v>
      </c>
      <c r="D307" s="5">
        <v>2024</v>
      </c>
      <c r="E307" s="7" t="s">
        <v>601</v>
      </c>
      <c r="F307" s="7" t="s">
        <v>41</v>
      </c>
      <c r="G307" s="7" t="s">
        <v>612</v>
      </c>
      <c r="H307" s="7" t="s">
        <v>624</v>
      </c>
      <c r="I307" s="7" t="s">
        <v>630</v>
      </c>
      <c r="J307" s="7" t="s">
        <v>618</v>
      </c>
      <c r="K307" s="7">
        <v>10</v>
      </c>
      <c r="L307" s="7">
        <v>150</v>
      </c>
      <c r="M307" s="5">
        <v>1500</v>
      </c>
      <c r="N307" s="7">
        <v>1005</v>
      </c>
      <c r="O307" s="7">
        <v>495</v>
      </c>
      <c r="P307" s="16">
        <v>0.33</v>
      </c>
    </row>
    <row r="308" spans="1:16" ht="15.75" thickBot="1" x14ac:dyDescent="0.3">
      <c r="A308" s="14" t="s">
        <v>361</v>
      </c>
      <c r="B308" s="6">
        <v>45587</v>
      </c>
      <c r="C308" s="10" t="s">
        <v>55</v>
      </c>
      <c r="D308" s="5">
        <v>2024</v>
      </c>
      <c r="E308" s="9" t="s">
        <v>602</v>
      </c>
      <c r="F308" s="9" t="s">
        <v>42</v>
      </c>
      <c r="G308" s="9" t="s">
        <v>608</v>
      </c>
      <c r="H308" s="9" t="s">
        <v>621</v>
      </c>
      <c r="I308" s="9" t="s">
        <v>645</v>
      </c>
      <c r="J308" s="9" t="s">
        <v>615</v>
      </c>
      <c r="K308" s="9">
        <v>11</v>
      </c>
      <c r="L308" s="9">
        <v>45000</v>
      </c>
      <c r="M308" s="5">
        <v>495000</v>
      </c>
      <c r="N308" s="9">
        <v>381150</v>
      </c>
      <c r="O308" s="9">
        <v>113850</v>
      </c>
      <c r="P308" s="17">
        <v>0.23</v>
      </c>
    </row>
    <row r="309" spans="1:16" ht="15.75" thickBot="1" x14ac:dyDescent="0.3">
      <c r="A309" s="13" t="s">
        <v>362</v>
      </c>
      <c r="B309" s="6">
        <v>45317</v>
      </c>
      <c r="C309" s="8" t="s">
        <v>57</v>
      </c>
      <c r="D309" s="5">
        <v>2024</v>
      </c>
      <c r="E309" s="7" t="s">
        <v>595</v>
      </c>
      <c r="F309" s="7" t="s">
        <v>39</v>
      </c>
      <c r="G309" s="7" t="s">
        <v>608</v>
      </c>
      <c r="H309" s="7" t="s">
        <v>626</v>
      </c>
      <c r="I309" s="9" t="s">
        <v>645</v>
      </c>
      <c r="J309" s="7" t="s">
        <v>618</v>
      </c>
      <c r="K309" s="7">
        <v>9</v>
      </c>
      <c r="L309" s="7">
        <v>12000</v>
      </c>
      <c r="M309" s="5">
        <v>108000</v>
      </c>
      <c r="N309" s="7">
        <v>78840</v>
      </c>
      <c r="O309" s="7">
        <v>29160</v>
      </c>
      <c r="P309" s="16">
        <v>0.27</v>
      </c>
    </row>
    <row r="310" spans="1:16" ht="15.75" thickBot="1" x14ac:dyDescent="0.3">
      <c r="A310" s="14" t="s">
        <v>363</v>
      </c>
      <c r="B310" s="6">
        <v>45404</v>
      </c>
      <c r="C310" s="10" t="s">
        <v>50</v>
      </c>
      <c r="D310" s="5">
        <v>2024</v>
      </c>
      <c r="E310" s="9" t="s">
        <v>601</v>
      </c>
      <c r="F310" s="9" t="s">
        <v>41</v>
      </c>
      <c r="G310" s="9" t="s">
        <v>612</v>
      </c>
      <c r="H310" s="9" t="s">
        <v>613</v>
      </c>
      <c r="I310" s="9" t="s">
        <v>645</v>
      </c>
      <c r="J310" s="9" t="s">
        <v>618</v>
      </c>
      <c r="K310" s="9">
        <v>6</v>
      </c>
      <c r="L310" s="9">
        <v>1200</v>
      </c>
      <c r="M310" s="5">
        <v>7200</v>
      </c>
      <c r="N310" s="9">
        <v>6264</v>
      </c>
      <c r="O310" s="9">
        <v>936</v>
      </c>
      <c r="P310" s="17">
        <v>0.13</v>
      </c>
    </row>
    <row r="311" spans="1:16" ht="15.75" thickBot="1" x14ac:dyDescent="0.3">
      <c r="A311" s="13" t="s">
        <v>364</v>
      </c>
      <c r="B311" s="6">
        <v>45299</v>
      </c>
      <c r="C311" s="8" t="s">
        <v>59</v>
      </c>
      <c r="D311" s="5">
        <v>2024</v>
      </c>
      <c r="E311" s="7" t="s">
        <v>607</v>
      </c>
      <c r="F311" s="7" t="s">
        <v>42</v>
      </c>
      <c r="G311" s="7" t="s">
        <v>612</v>
      </c>
      <c r="H311" s="7" t="s">
        <v>616</v>
      </c>
      <c r="I311" s="7" t="s">
        <v>630</v>
      </c>
      <c r="J311" s="7" t="s">
        <v>618</v>
      </c>
      <c r="K311" s="7">
        <v>8</v>
      </c>
      <c r="L311" s="7">
        <v>12000</v>
      </c>
      <c r="M311" s="5">
        <v>96000</v>
      </c>
      <c r="N311" s="7">
        <v>78720</v>
      </c>
      <c r="O311" s="7">
        <v>17280</v>
      </c>
      <c r="P311" s="16">
        <v>0.18</v>
      </c>
    </row>
    <row r="312" spans="1:16" ht="15.75" thickBot="1" x14ac:dyDescent="0.3">
      <c r="A312" s="14" t="s">
        <v>365</v>
      </c>
      <c r="B312" s="6">
        <v>45549</v>
      </c>
      <c r="C312" s="10" t="s">
        <v>55</v>
      </c>
      <c r="D312" s="5">
        <v>2024</v>
      </c>
      <c r="E312" s="9" t="s">
        <v>604</v>
      </c>
      <c r="F312" s="9" t="s">
        <v>41</v>
      </c>
      <c r="G312" s="9" t="s">
        <v>610</v>
      </c>
      <c r="H312" s="9" t="s">
        <v>626</v>
      </c>
      <c r="I312" s="9" t="s">
        <v>630</v>
      </c>
      <c r="J312" s="9" t="s">
        <v>615</v>
      </c>
      <c r="K312" s="9">
        <v>2</v>
      </c>
      <c r="L312" s="9">
        <v>4000</v>
      </c>
      <c r="M312" s="5">
        <v>8000</v>
      </c>
      <c r="N312" s="9">
        <v>5040</v>
      </c>
      <c r="O312" s="9">
        <v>2960</v>
      </c>
      <c r="P312" s="17">
        <v>0.37</v>
      </c>
    </row>
    <row r="313" spans="1:16" ht="15.75" thickBot="1" x14ac:dyDescent="0.3">
      <c r="A313" s="13" t="s">
        <v>366</v>
      </c>
      <c r="B313" s="6">
        <v>45562</v>
      </c>
      <c r="C313" s="8" t="s">
        <v>80</v>
      </c>
      <c r="D313" s="5">
        <v>2024</v>
      </c>
      <c r="E313" s="7" t="s">
        <v>601</v>
      </c>
      <c r="F313" s="7" t="s">
        <v>41</v>
      </c>
      <c r="G313" s="7" t="s">
        <v>612</v>
      </c>
      <c r="H313" s="7" t="s">
        <v>626</v>
      </c>
      <c r="I313" s="7" t="s">
        <v>614</v>
      </c>
      <c r="J313" s="7" t="s">
        <v>618</v>
      </c>
      <c r="K313" s="7">
        <v>17</v>
      </c>
      <c r="L313" s="7">
        <v>20</v>
      </c>
      <c r="M313" s="5">
        <v>340</v>
      </c>
      <c r="N313" s="7">
        <v>272</v>
      </c>
      <c r="O313" s="7">
        <v>68</v>
      </c>
      <c r="P313" s="16">
        <v>0.2</v>
      </c>
    </row>
    <row r="314" spans="1:16" ht="15.75" thickBot="1" x14ac:dyDescent="0.3">
      <c r="A314" s="14" t="s">
        <v>367</v>
      </c>
      <c r="B314" s="6">
        <v>45598</v>
      </c>
      <c r="C314" s="10" t="s">
        <v>65</v>
      </c>
      <c r="D314" s="5">
        <v>2024</v>
      </c>
      <c r="E314" s="9" t="s">
        <v>605</v>
      </c>
      <c r="F314" s="9" t="s">
        <v>40</v>
      </c>
      <c r="G314" s="9" t="s">
        <v>610</v>
      </c>
      <c r="H314" s="9" t="s">
        <v>622</v>
      </c>
      <c r="I314" s="9" t="s">
        <v>623</v>
      </c>
      <c r="J314" s="9" t="s">
        <v>615</v>
      </c>
      <c r="K314" s="9">
        <v>5</v>
      </c>
      <c r="L314" s="9">
        <v>50</v>
      </c>
      <c r="M314" s="5">
        <v>250</v>
      </c>
      <c r="N314" s="9">
        <v>182.5</v>
      </c>
      <c r="O314" s="9">
        <v>67.5</v>
      </c>
      <c r="P314" s="17">
        <v>0.27</v>
      </c>
    </row>
    <row r="315" spans="1:16" ht="15.75" thickBot="1" x14ac:dyDescent="0.3">
      <c r="A315" s="13" t="s">
        <v>368</v>
      </c>
      <c r="B315" s="6">
        <v>45352</v>
      </c>
      <c r="C315" s="8" t="s">
        <v>65</v>
      </c>
      <c r="D315" s="5">
        <v>2024</v>
      </c>
      <c r="E315" s="7" t="s">
        <v>598</v>
      </c>
      <c r="F315" s="7" t="s">
        <v>40</v>
      </c>
      <c r="G315" s="7" t="s">
        <v>611</v>
      </c>
      <c r="H315" s="7" t="s">
        <v>629</v>
      </c>
      <c r="I315" s="7" t="s">
        <v>614</v>
      </c>
      <c r="J315" s="7" t="s">
        <v>615</v>
      </c>
      <c r="K315" s="7">
        <v>9</v>
      </c>
      <c r="L315" s="7">
        <v>1200</v>
      </c>
      <c r="M315" s="5">
        <v>10800</v>
      </c>
      <c r="N315" s="7">
        <v>9504</v>
      </c>
      <c r="O315" s="7">
        <v>1296</v>
      </c>
      <c r="P315" s="16">
        <v>0.12</v>
      </c>
    </row>
    <row r="316" spans="1:16" ht="15.75" thickBot="1" x14ac:dyDescent="0.3">
      <c r="A316" s="14" t="s">
        <v>369</v>
      </c>
      <c r="B316" s="6">
        <v>45361</v>
      </c>
      <c r="C316" s="10" t="s">
        <v>53</v>
      </c>
      <c r="D316" s="5">
        <v>2024</v>
      </c>
      <c r="E316" s="9" t="s">
        <v>607</v>
      </c>
      <c r="F316" s="9" t="s">
        <v>42</v>
      </c>
      <c r="G316" s="9" t="s">
        <v>609</v>
      </c>
      <c r="H316" s="9" t="s">
        <v>626</v>
      </c>
      <c r="I316" s="9" t="s">
        <v>645</v>
      </c>
      <c r="J316" s="9" t="s">
        <v>618</v>
      </c>
      <c r="K316" s="9">
        <v>11</v>
      </c>
      <c r="L316" s="9">
        <v>8000</v>
      </c>
      <c r="M316" s="5">
        <v>88000</v>
      </c>
      <c r="N316" s="9">
        <v>62480</v>
      </c>
      <c r="O316" s="9">
        <v>25520</v>
      </c>
      <c r="P316" s="17">
        <v>0.28999999999999998</v>
      </c>
    </row>
    <row r="317" spans="1:16" ht="15.75" thickBot="1" x14ac:dyDescent="0.3">
      <c r="A317" s="13" t="s">
        <v>370</v>
      </c>
      <c r="B317" s="6">
        <v>45508</v>
      </c>
      <c r="C317" s="8" t="s">
        <v>44</v>
      </c>
      <c r="D317" s="5">
        <v>2024</v>
      </c>
      <c r="E317" s="7" t="s">
        <v>593</v>
      </c>
      <c r="F317" s="7" t="s">
        <v>41</v>
      </c>
      <c r="G317" s="7" t="s">
        <v>611</v>
      </c>
      <c r="H317" s="7" t="s">
        <v>626</v>
      </c>
      <c r="I317" s="9" t="s">
        <v>645</v>
      </c>
      <c r="J317" s="7" t="s">
        <v>618</v>
      </c>
      <c r="K317" s="7">
        <v>1</v>
      </c>
      <c r="L317" s="7">
        <v>15000</v>
      </c>
      <c r="M317" s="5">
        <v>15000</v>
      </c>
      <c r="N317" s="7">
        <v>9450</v>
      </c>
      <c r="O317" s="7">
        <v>5550</v>
      </c>
      <c r="P317" s="16">
        <v>0.37</v>
      </c>
    </row>
    <row r="318" spans="1:16" ht="15.75" thickBot="1" x14ac:dyDescent="0.3">
      <c r="A318" s="14" t="s">
        <v>371</v>
      </c>
      <c r="B318" s="6">
        <v>45551</v>
      </c>
      <c r="C318" s="10" t="s">
        <v>53</v>
      </c>
      <c r="D318" s="5">
        <v>2024</v>
      </c>
      <c r="E318" s="9" t="s">
        <v>600</v>
      </c>
      <c r="F318" s="9" t="s">
        <v>39</v>
      </c>
      <c r="G318" s="9" t="s">
        <v>608</v>
      </c>
      <c r="H318" s="9" t="s">
        <v>621</v>
      </c>
      <c r="I318" s="9" t="s">
        <v>645</v>
      </c>
      <c r="J318" s="9" t="s">
        <v>618</v>
      </c>
      <c r="K318" s="9">
        <v>9</v>
      </c>
      <c r="L318" s="9">
        <v>45000</v>
      </c>
      <c r="M318" s="5">
        <v>405000</v>
      </c>
      <c r="N318" s="9">
        <v>259200</v>
      </c>
      <c r="O318" s="9">
        <v>145800</v>
      </c>
      <c r="P318" s="17">
        <v>0.36</v>
      </c>
    </row>
    <row r="319" spans="1:16" ht="15.75" thickBot="1" x14ac:dyDescent="0.3">
      <c r="A319" s="13" t="s">
        <v>372</v>
      </c>
      <c r="B319" s="6">
        <v>45307</v>
      </c>
      <c r="C319" s="8" t="s">
        <v>53</v>
      </c>
      <c r="D319" s="5">
        <v>2024</v>
      </c>
      <c r="E319" s="7" t="s">
        <v>595</v>
      </c>
      <c r="F319" s="7" t="s">
        <v>39</v>
      </c>
      <c r="G319" s="7" t="s">
        <v>608</v>
      </c>
      <c r="H319" s="7" t="s">
        <v>621</v>
      </c>
      <c r="I319" s="7" t="s">
        <v>619</v>
      </c>
      <c r="J319" s="7" t="s">
        <v>615</v>
      </c>
      <c r="K319" s="7">
        <v>2</v>
      </c>
      <c r="L319" s="7">
        <v>8000</v>
      </c>
      <c r="M319" s="5">
        <v>16000</v>
      </c>
      <c r="N319" s="7">
        <v>10240</v>
      </c>
      <c r="O319" s="7">
        <v>5760</v>
      </c>
      <c r="P319" s="16">
        <v>0.36</v>
      </c>
    </row>
    <row r="320" spans="1:16" ht="15.75" thickBot="1" x14ac:dyDescent="0.3">
      <c r="A320" s="14" t="s">
        <v>373</v>
      </c>
      <c r="B320" s="6">
        <v>45292</v>
      </c>
      <c r="C320" s="10" t="s">
        <v>44</v>
      </c>
      <c r="D320" s="5">
        <v>2024</v>
      </c>
      <c r="E320" s="9" t="s">
        <v>601</v>
      </c>
      <c r="F320" s="9" t="s">
        <v>41</v>
      </c>
      <c r="G320" s="9" t="s">
        <v>608</v>
      </c>
      <c r="H320" s="9" t="s">
        <v>620</v>
      </c>
      <c r="I320" s="9" t="s">
        <v>623</v>
      </c>
      <c r="J320" s="9" t="s">
        <v>618</v>
      </c>
      <c r="K320" s="9">
        <v>1</v>
      </c>
      <c r="L320" s="9">
        <v>3500</v>
      </c>
      <c r="M320" s="5">
        <v>3500</v>
      </c>
      <c r="N320" s="9">
        <v>2450</v>
      </c>
      <c r="O320" s="9">
        <v>1050</v>
      </c>
      <c r="P320" s="17">
        <v>0.3</v>
      </c>
    </row>
    <row r="321" spans="1:16" ht="15.75" thickBot="1" x14ac:dyDescent="0.3">
      <c r="A321" s="13" t="s">
        <v>374</v>
      </c>
      <c r="B321" s="6">
        <v>45515</v>
      </c>
      <c r="C321" s="8" t="s">
        <v>62</v>
      </c>
      <c r="D321" s="5">
        <v>2024</v>
      </c>
      <c r="E321" s="7" t="s">
        <v>606</v>
      </c>
      <c r="F321" s="7" t="s">
        <v>40</v>
      </c>
      <c r="G321" s="7" t="s">
        <v>611</v>
      </c>
      <c r="H321" s="7" t="s">
        <v>620</v>
      </c>
      <c r="I321" s="7" t="s">
        <v>619</v>
      </c>
      <c r="J321" s="7" t="s">
        <v>615</v>
      </c>
      <c r="K321" s="7">
        <v>8</v>
      </c>
      <c r="L321" s="7">
        <v>1200</v>
      </c>
      <c r="M321" s="5">
        <v>9600</v>
      </c>
      <c r="N321" s="7">
        <v>5952</v>
      </c>
      <c r="O321" s="7">
        <v>3648</v>
      </c>
      <c r="P321" s="16">
        <v>0.38</v>
      </c>
    </row>
    <row r="322" spans="1:16" ht="15.75" thickBot="1" x14ac:dyDescent="0.3">
      <c r="A322" s="14" t="s">
        <v>375</v>
      </c>
      <c r="B322" s="6">
        <v>45592</v>
      </c>
      <c r="C322" s="10" t="s">
        <v>53</v>
      </c>
      <c r="D322" s="5">
        <v>2024</v>
      </c>
      <c r="E322" s="9" t="s">
        <v>600</v>
      </c>
      <c r="F322" s="9" t="s">
        <v>39</v>
      </c>
      <c r="G322" s="9" t="s">
        <v>610</v>
      </c>
      <c r="H322" s="9" t="s">
        <v>622</v>
      </c>
      <c r="I322" s="9" t="s">
        <v>630</v>
      </c>
      <c r="J322" s="9" t="s">
        <v>618</v>
      </c>
      <c r="K322" s="9">
        <v>13</v>
      </c>
      <c r="L322" s="9">
        <v>20</v>
      </c>
      <c r="M322" s="5">
        <v>260</v>
      </c>
      <c r="N322" s="9">
        <v>179.4</v>
      </c>
      <c r="O322" s="9">
        <v>80.599999999999994</v>
      </c>
      <c r="P322" s="17">
        <v>0.31</v>
      </c>
    </row>
    <row r="323" spans="1:16" ht="15.75" thickBot="1" x14ac:dyDescent="0.3">
      <c r="A323" s="13" t="s">
        <v>376</v>
      </c>
      <c r="B323" s="6">
        <v>45600</v>
      </c>
      <c r="C323" s="8" t="s">
        <v>50</v>
      </c>
      <c r="D323" s="5">
        <v>2024</v>
      </c>
      <c r="E323" s="7" t="s">
        <v>605</v>
      </c>
      <c r="F323" s="7" t="s">
        <v>40</v>
      </c>
      <c r="G323" s="7" t="s">
        <v>609</v>
      </c>
      <c r="H323" s="7" t="s">
        <v>616</v>
      </c>
      <c r="I323" s="7" t="s">
        <v>619</v>
      </c>
      <c r="J323" s="7" t="s">
        <v>618</v>
      </c>
      <c r="K323" s="7">
        <v>12</v>
      </c>
      <c r="L323" s="7">
        <v>12000</v>
      </c>
      <c r="M323" s="5">
        <v>144000</v>
      </c>
      <c r="N323" s="7">
        <v>106560</v>
      </c>
      <c r="O323" s="7">
        <v>37440</v>
      </c>
      <c r="P323" s="16">
        <v>0.26</v>
      </c>
    </row>
    <row r="324" spans="1:16" ht="15.75" thickBot="1" x14ac:dyDescent="0.3">
      <c r="A324" s="14" t="s">
        <v>377</v>
      </c>
      <c r="B324" s="6">
        <v>45367</v>
      </c>
      <c r="C324" s="10" t="s">
        <v>59</v>
      </c>
      <c r="D324" s="5">
        <v>2024</v>
      </c>
      <c r="E324" s="9" t="s">
        <v>603</v>
      </c>
      <c r="F324" s="9" t="s">
        <v>42</v>
      </c>
      <c r="G324" s="9" t="s">
        <v>608</v>
      </c>
      <c r="H324" s="9" t="s">
        <v>622</v>
      </c>
      <c r="I324" s="9" t="s">
        <v>617</v>
      </c>
      <c r="J324" s="9" t="s">
        <v>615</v>
      </c>
      <c r="K324" s="9">
        <v>14</v>
      </c>
      <c r="L324" s="9">
        <v>700</v>
      </c>
      <c r="M324" s="5">
        <v>9800</v>
      </c>
      <c r="N324" s="9">
        <v>6076</v>
      </c>
      <c r="O324" s="9">
        <v>3724</v>
      </c>
      <c r="P324" s="17">
        <v>0.38</v>
      </c>
    </row>
    <row r="325" spans="1:16" ht="15.75" thickBot="1" x14ac:dyDescent="0.3">
      <c r="A325" s="13" t="s">
        <v>378</v>
      </c>
      <c r="B325" s="6">
        <v>45462</v>
      </c>
      <c r="C325" s="8" t="s">
        <v>80</v>
      </c>
      <c r="D325" s="5">
        <v>2024</v>
      </c>
      <c r="E325" s="7" t="s">
        <v>592</v>
      </c>
      <c r="F325" s="7" t="s">
        <v>40</v>
      </c>
      <c r="G325" s="7" t="s">
        <v>610</v>
      </c>
      <c r="H325" s="7" t="s">
        <v>626</v>
      </c>
      <c r="I325" s="9" t="s">
        <v>645</v>
      </c>
      <c r="J325" s="7" t="s">
        <v>618</v>
      </c>
      <c r="K325" s="7">
        <v>10</v>
      </c>
      <c r="L325" s="7">
        <v>50</v>
      </c>
      <c r="M325" s="5">
        <v>500</v>
      </c>
      <c r="N325" s="7">
        <v>360</v>
      </c>
      <c r="O325" s="7">
        <v>140</v>
      </c>
      <c r="P325" s="16">
        <v>0.28000000000000003</v>
      </c>
    </row>
    <row r="326" spans="1:16" ht="15.75" thickBot="1" x14ac:dyDescent="0.3">
      <c r="A326" s="14" t="s">
        <v>379</v>
      </c>
      <c r="B326" s="6">
        <v>45548</v>
      </c>
      <c r="C326" s="10" t="s">
        <v>80</v>
      </c>
      <c r="D326" s="5">
        <v>2024</v>
      </c>
      <c r="E326" s="9" t="s">
        <v>606</v>
      </c>
      <c r="F326" s="9" t="s">
        <v>40</v>
      </c>
      <c r="G326" s="9" t="s">
        <v>612</v>
      </c>
      <c r="H326" s="9" t="s">
        <v>624</v>
      </c>
      <c r="I326" s="9" t="s">
        <v>645</v>
      </c>
      <c r="J326" s="9" t="s">
        <v>615</v>
      </c>
      <c r="K326" s="9">
        <v>5</v>
      </c>
      <c r="L326" s="9">
        <v>50</v>
      </c>
      <c r="M326" s="5">
        <v>250</v>
      </c>
      <c r="N326" s="9">
        <v>187.5</v>
      </c>
      <c r="O326" s="9">
        <v>62.5</v>
      </c>
      <c r="P326" s="17">
        <v>0.25</v>
      </c>
    </row>
    <row r="327" spans="1:16" ht="15.75" thickBot="1" x14ac:dyDescent="0.3">
      <c r="A327" s="13" t="s">
        <v>380</v>
      </c>
      <c r="B327" s="6">
        <v>45430</v>
      </c>
      <c r="C327" s="8" t="s">
        <v>57</v>
      </c>
      <c r="D327" s="5">
        <v>2024</v>
      </c>
      <c r="E327" s="7" t="s">
        <v>603</v>
      </c>
      <c r="F327" s="7" t="s">
        <v>42</v>
      </c>
      <c r="G327" s="7" t="s">
        <v>612</v>
      </c>
      <c r="H327" s="7" t="s">
        <v>613</v>
      </c>
      <c r="I327" s="7" t="s">
        <v>627</v>
      </c>
      <c r="J327" s="7" t="s">
        <v>615</v>
      </c>
      <c r="K327" s="7">
        <v>12</v>
      </c>
      <c r="L327" s="7">
        <v>25000</v>
      </c>
      <c r="M327" s="5">
        <v>300000</v>
      </c>
      <c r="N327" s="7">
        <v>234000</v>
      </c>
      <c r="O327" s="7">
        <v>66000</v>
      </c>
      <c r="P327" s="16">
        <v>0.22</v>
      </c>
    </row>
    <row r="328" spans="1:16" ht="15.75" thickBot="1" x14ac:dyDescent="0.3">
      <c r="A328" s="14" t="s">
        <v>381</v>
      </c>
      <c r="B328" s="6">
        <v>45579</v>
      </c>
      <c r="C328" s="10" t="s">
        <v>44</v>
      </c>
      <c r="D328" s="5">
        <v>2024</v>
      </c>
      <c r="E328" s="9" t="s">
        <v>602</v>
      </c>
      <c r="F328" s="9" t="s">
        <v>42</v>
      </c>
      <c r="G328" s="9" t="s">
        <v>609</v>
      </c>
      <c r="H328" s="9" t="s">
        <v>621</v>
      </c>
      <c r="I328" s="9" t="s">
        <v>619</v>
      </c>
      <c r="J328" s="9" t="s">
        <v>615</v>
      </c>
      <c r="K328" s="9">
        <v>11</v>
      </c>
      <c r="L328" s="9">
        <v>150</v>
      </c>
      <c r="M328" s="5">
        <v>1650</v>
      </c>
      <c r="N328" s="9">
        <v>1122</v>
      </c>
      <c r="O328" s="9">
        <v>528</v>
      </c>
      <c r="P328" s="17">
        <v>0.32</v>
      </c>
    </row>
    <row r="329" spans="1:16" ht="15.75" thickBot="1" x14ac:dyDescent="0.3">
      <c r="A329" s="13" t="s">
        <v>382</v>
      </c>
      <c r="B329" s="6">
        <v>45336</v>
      </c>
      <c r="C329" s="8" t="s">
        <v>48</v>
      </c>
      <c r="D329" s="5">
        <v>2024</v>
      </c>
      <c r="E329" s="7" t="s">
        <v>605</v>
      </c>
      <c r="F329" s="7" t="s">
        <v>40</v>
      </c>
      <c r="G329" s="7" t="s">
        <v>609</v>
      </c>
      <c r="H329" s="7" t="s">
        <v>616</v>
      </c>
      <c r="I329" s="9" t="s">
        <v>645</v>
      </c>
      <c r="J329" s="7" t="s">
        <v>615</v>
      </c>
      <c r="K329" s="7">
        <v>15</v>
      </c>
      <c r="L329" s="7">
        <v>150</v>
      </c>
      <c r="M329" s="5">
        <v>2250</v>
      </c>
      <c r="N329" s="7">
        <v>1395</v>
      </c>
      <c r="O329" s="7">
        <v>855</v>
      </c>
      <c r="P329" s="16">
        <v>0.38</v>
      </c>
    </row>
    <row r="330" spans="1:16" ht="15.75" thickBot="1" x14ac:dyDescent="0.3">
      <c r="A330" s="14" t="s">
        <v>383</v>
      </c>
      <c r="B330" s="6">
        <v>45651</v>
      </c>
      <c r="C330" s="10" t="s">
        <v>48</v>
      </c>
      <c r="D330" s="5">
        <v>2024</v>
      </c>
      <c r="E330" s="9" t="s">
        <v>596</v>
      </c>
      <c r="F330" s="9" t="s">
        <v>39</v>
      </c>
      <c r="G330" s="9" t="s">
        <v>609</v>
      </c>
      <c r="H330" s="9" t="s">
        <v>620</v>
      </c>
      <c r="I330" s="9" t="s">
        <v>627</v>
      </c>
      <c r="J330" s="9" t="s">
        <v>618</v>
      </c>
      <c r="K330" s="9">
        <v>11</v>
      </c>
      <c r="L330" s="9">
        <v>1200</v>
      </c>
      <c r="M330" s="5">
        <v>13200</v>
      </c>
      <c r="N330" s="9">
        <v>7920</v>
      </c>
      <c r="O330" s="9">
        <v>5280</v>
      </c>
      <c r="P330" s="17">
        <v>0.4</v>
      </c>
    </row>
    <row r="331" spans="1:16" ht="15.75" thickBot="1" x14ac:dyDescent="0.3">
      <c r="A331" s="13" t="s">
        <v>384</v>
      </c>
      <c r="B331" s="6">
        <v>45643</v>
      </c>
      <c r="C331" s="8" t="s">
        <v>65</v>
      </c>
      <c r="D331" s="5">
        <v>2024</v>
      </c>
      <c r="E331" s="7" t="s">
        <v>596</v>
      </c>
      <c r="F331" s="7" t="s">
        <v>39</v>
      </c>
      <c r="G331" s="7" t="s">
        <v>610</v>
      </c>
      <c r="H331" s="7" t="s">
        <v>624</v>
      </c>
      <c r="I331" s="9" t="s">
        <v>645</v>
      </c>
      <c r="J331" s="7" t="s">
        <v>615</v>
      </c>
      <c r="K331" s="7">
        <v>9</v>
      </c>
      <c r="L331" s="7">
        <v>4000</v>
      </c>
      <c r="M331" s="5">
        <v>36000</v>
      </c>
      <c r="N331" s="7">
        <v>28800</v>
      </c>
      <c r="O331" s="7">
        <v>7200</v>
      </c>
      <c r="P331" s="16">
        <v>0.2</v>
      </c>
    </row>
    <row r="332" spans="1:16" ht="15.75" thickBot="1" x14ac:dyDescent="0.3">
      <c r="A332" s="14" t="s">
        <v>385</v>
      </c>
      <c r="B332" s="6">
        <v>45430</v>
      </c>
      <c r="C332" s="10" t="s">
        <v>57</v>
      </c>
      <c r="D332" s="5">
        <v>2024</v>
      </c>
      <c r="E332" s="9" t="s">
        <v>602</v>
      </c>
      <c r="F332" s="9" t="s">
        <v>42</v>
      </c>
      <c r="G332" s="9" t="s">
        <v>611</v>
      </c>
      <c r="H332" s="9" t="s">
        <v>620</v>
      </c>
      <c r="I332" s="9" t="s">
        <v>645</v>
      </c>
      <c r="J332" s="9" t="s">
        <v>618</v>
      </c>
      <c r="K332" s="9">
        <v>18</v>
      </c>
      <c r="L332" s="9">
        <v>9000</v>
      </c>
      <c r="M332" s="5">
        <v>162000</v>
      </c>
      <c r="N332" s="9">
        <v>139320</v>
      </c>
      <c r="O332" s="9">
        <v>22680</v>
      </c>
      <c r="P332" s="17">
        <v>0.14000000000000001</v>
      </c>
    </row>
    <row r="333" spans="1:16" ht="15.75" thickBot="1" x14ac:dyDescent="0.3">
      <c r="A333" s="13" t="s">
        <v>386</v>
      </c>
      <c r="B333" s="6">
        <v>45357</v>
      </c>
      <c r="C333" s="8" t="s">
        <v>80</v>
      </c>
      <c r="D333" s="5">
        <v>2024</v>
      </c>
      <c r="E333" s="7" t="s">
        <v>603</v>
      </c>
      <c r="F333" s="7" t="s">
        <v>42</v>
      </c>
      <c r="G333" s="7" t="s">
        <v>609</v>
      </c>
      <c r="H333" s="7" t="s">
        <v>625</v>
      </c>
      <c r="I333" s="7" t="s">
        <v>623</v>
      </c>
      <c r="J333" s="7" t="s">
        <v>615</v>
      </c>
      <c r="K333" s="7">
        <v>5</v>
      </c>
      <c r="L333" s="7">
        <v>150</v>
      </c>
      <c r="M333" s="5">
        <v>750</v>
      </c>
      <c r="N333" s="7">
        <v>600</v>
      </c>
      <c r="O333" s="7">
        <v>150</v>
      </c>
      <c r="P333" s="16">
        <v>0.2</v>
      </c>
    </row>
    <row r="334" spans="1:16" ht="15.75" thickBot="1" x14ac:dyDescent="0.3">
      <c r="A334" s="14" t="s">
        <v>387</v>
      </c>
      <c r="B334" s="6">
        <v>45307</v>
      </c>
      <c r="C334" s="10" t="s">
        <v>83</v>
      </c>
      <c r="D334" s="5">
        <v>2024</v>
      </c>
      <c r="E334" s="9" t="s">
        <v>605</v>
      </c>
      <c r="F334" s="9" t="s">
        <v>40</v>
      </c>
      <c r="G334" s="9" t="s">
        <v>612</v>
      </c>
      <c r="H334" s="9" t="s">
        <v>625</v>
      </c>
      <c r="I334" s="9" t="s">
        <v>623</v>
      </c>
      <c r="J334" s="9" t="s">
        <v>615</v>
      </c>
      <c r="K334" s="9">
        <v>11</v>
      </c>
      <c r="L334" s="9">
        <v>50</v>
      </c>
      <c r="M334" s="5">
        <v>550</v>
      </c>
      <c r="N334" s="9">
        <v>357.5</v>
      </c>
      <c r="O334" s="9">
        <v>192.5</v>
      </c>
      <c r="P334" s="17">
        <v>0.35</v>
      </c>
    </row>
    <row r="335" spans="1:16" ht="15.75" thickBot="1" x14ac:dyDescent="0.3">
      <c r="A335" s="13" t="s">
        <v>388</v>
      </c>
      <c r="B335" s="6">
        <v>45633</v>
      </c>
      <c r="C335" s="8" t="s">
        <v>53</v>
      </c>
      <c r="D335" s="5">
        <v>2024</v>
      </c>
      <c r="E335" s="7" t="s">
        <v>597</v>
      </c>
      <c r="F335" s="7" t="s">
        <v>41</v>
      </c>
      <c r="G335" s="7" t="s">
        <v>609</v>
      </c>
      <c r="H335" s="7" t="s">
        <v>624</v>
      </c>
      <c r="I335" s="7" t="s">
        <v>623</v>
      </c>
      <c r="J335" s="7" t="s">
        <v>618</v>
      </c>
      <c r="K335" s="7">
        <v>6</v>
      </c>
      <c r="L335" s="7">
        <v>3500</v>
      </c>
      <c r="M335" s="5">
        <v>21000</v>
      </c>
      <c r="N335" s="7">
        <v>12810</v>
      </c>
      <c r="O335" s="7">
        <v>8190</v>
      </c>
      <c r="P335" s="16">
        <v>0.39</v>
      </c>
    </row>
    <row r="336" spans="1:16" ht="15.75" thickBot="1" x14ac:dyDescent="0.3">
      <c r="A336" s="14" t="s">
        <v>389</v>
      </c>
      <c r="B336" s="6">
        <v>45295</v>
      </c>
      <c r="C336" s="10" t="s">
        <v>83</v>
      </c>
      <c r="D336" s="5">
        <v>2024</v>
      </c>
      <c r="E336" s="9" t="s">
        <v>593</v>
      </c>
      <c r="F336" s="9" t="s">
        <v>41</v>
      </c>
      <c r="G336" s="9" t="s">
        <v>608</v>
      </c>
      <c r="H336" s="9" t="s">
        <v>626</v>
      </c>
      <c r="I336" s="9" t="s">
        <v>614</v>
      </c>
      <c r="J336" s="9" t="s">
        <v>618</v>
      </c>
      <c r="K336" s="9">
        <v>14</v>
      </c>
      <c r="L336" s="9">
        <v>700</v>
      </c>
      <c r="M336" s="5">
        <v>9800</v>
      </c>
      <c r="N336" s="9">
        <v>7056</v>
      </c>
      <c r="O336" s="9">
        <v>2744</v>
      </c>
      <c r="P336" s="17">
        <v>0.28000000000000003</v>
      </c>
    </row>
    <row r="337" spans="1:16" ht="15.75" thickBot="1" x14ac:dyDescent="0.3">
      <c r="A337" s="13" t="s">
        <v>390</v>
      </c>
      <c r="B337" s="6">
        <v>45411</v>
      </c>
      <c r="C337" s="8" t="s">
        <v>44</v>
      </c>
      <c r="D337" s="5">
        <v>2024</v>
      </c>
      <c r="E337" s="7" t="s">
        <v>597</v>
      </c>
      <c r="F337" s="7" t="s">
        <v>41</v>
      </c>
      <c r="G337" s="7" t="s">
        <v>609</v>
      </c>
      <c r="H337" s="7" t="s">
        <v>622</v>
      </c>
      <c r="I337" s="7" t="s">
        <v>619</v>
      </c>
      <c r="J337" s="7" t="s">
        <v>615</v>
      </c>
      <c r="K337" s="7">
        <v>10</v>
      </c>
      <c r="L337" s="7">
        <v>7000</v>
      </c>
      <c r="M337" s="5">
        <v>70000</v>
      </c>
      <c r="N337" s="7">
        <v>46200</v>
      </c>
      <c r="O337" s="7">
        <v>23800</v>
      </c>
      <c r="P337" s="16">
        <v>0.34</v>
      </c>
    </row>
    <row r="338" spans="1:16" ht="15.75" thickBot="1" x14ac:dyDescent="0.3">
      <c r="A338" s="14" t="s">
        <v>391</v>
      </c>
      <c r="B338" s="6">
        <v>45654</v>
      </c>
      <c r="C338" s="10" t="s">
        <v>83</v>
      </c>
      <c r="D338" s="5">
        <v>2024</v>
      </c>
      <c r="E338" s="9" t="s">
        <v>594</v>
      </c>
      <c r="F338" s="9" t="s">
        <v>39</v>
      </c>
      <c r="G338" s="9" t="s">
        <v>610</v>
      </c>
      <c r="H338" s="9" t="s">
        <v>616</v>
      </c>
      <c r="I338" s="9" t="s">
        <v>627</v>
      </c>
      <c r="J338" s="9" t="s">
        <v>615</v>
      </c>
      <c r="K338" s="9">
        <v>12</v>
      </c>
      <c r="L338" s="9">
        <v>20</v>
      </c>
      <c r="M338" s="5">
        <v>240</v>
      </c>
      <c r="N338" s="9">
        <v>199.2</v>
      </c>
      <c r="O338" s="9">
        <v>40.800000000000011</v>
      </c>
      <c r="P338" s="17">
        <v>0.17000000000000004</v>
      </c>
    </row>
    <row r="339" spans="1:16" ht="15.75" thickBot="1" x14ac:dyDescent="0.3">
      <c r="A339" s="13" t="s">
        <v>392</v>
      </c>
      <c r="B339" s="6">
        <v>45355</v>
      </c>
      <c r="C339" s="8" t="s">
        <v>80</v>
      </c>
      <c r="D339" s="5">
        <v>2024</v>
      </c>
      <c r="E339" s="7" t="s">
        <v>599</v>
      </c>
      <c r="F339" s="7" t="s">
        <v>39</v>
      </c>
      <c r="G339" s="7" t="s">
        <v>609</v>
      </c>
      <c r="H339" s="7" t="s">
        <v>624</v>
      </c>
      <c r="I339" s="7" t="s">
        <v>619</v>
      </c>
      <c r="J339" s="7" t="s">
        <v>618</v>
      </c>
      <c r="K339" s="7">
        <v>17</v>
      </c>
      <c r="L339" s="7">
        <v>12000</v>
      </c>
      <c r="M339" s="5">
        <v>204000</v>
      </c>
      <c r="N339" s="7">
        <v>183600</v>
      </c>
      <c r="O339" s="7">
        <v>20400</v>
      </c>
      <c r="P339" s="16">
        <v>0.1</v>
      </c>
    </row>
    <row r="340" spans="1:16" ht="15.75" thickBot="1" x14ac:dyDescent="0.3">
      <c r="A340" s="14" t="s">
        <v>393</v>
      </c>
      <c r="B340" s="6">
        <v>45415</v>
      </c>
      <c r="C340" s="10" t="s">
        <v>57</v>
      </c>
      <c r="D340" s="5">
        <v>2024</v>
      </c>
      <c r="E340" s="9" t="s">
        <v>607</v>
      </c>
      <c r="F340" s="9" t="s">
        <v>42</v>
      </c>
      <c r="G340" s="9" t="s">
        <v>608</v>
      </c>
      <c r="H340" s="9" t="s">
        <v>620</v>
      </c>
      <c r="I340" s="9" t="s">
        <v>617</v>
      </c>
      <c r="J340" s="9" t="s">
        <v>615</v>
      </c>
      <c r="K340" s="9">
        <v>6</v>
      </c>
      <c r="L340" s="9">
        <v>300</v>
      </c>
      <c r="M340" s="5">
        <v>1800</v>
      </c>
      <c r="N340" s="9">
        <v>1296</v>
      </c>
      <c r="O340" s="9">
        <v>504</v>
      </c>
      <c r="P340" s="17">
        <v>0.28000000000000003</v>
      </c>
    </row>
    <row r="341" spans="1:16" ht="15.75" thickBot="1" x14ac:dyDescent="0.3">
      <c r="A341" s="13" t="s">
        <v>394</v>
      </c>
      <c r="B341" s="6">
        <v>45437</v>
      </c>
      <c r="C341" s="8" t="s">
        <v>57</v>
      </c>
      <c r="D341" s="5">
        <v>2024</v>
      </c>
      <c r="E341" s="7" t="s">
        <v>592</v>
      </c>
      <c r="F341" s="7" t="s">
        <v>40</v>
      </c>
      <c r="G341" s="7" t="s">
        <v>609</v>
      </c>
      <c r="H341" s="7" t="s">
        <v>616</v>
      </c>
      <c r="I341" s="7" t="s">
        <v>630</v>
      </c>
      <c r="J341" s="7" t="s">
        <v>618</v>
      </c>
      <c r="K341" s="7">
        <v>11</v>
      </c>
      <c r="L341" s="7">
        <v>8000</v>
      </c>
      <c r="M341" s="5">
        <v>88000</v>
      </c>
      <c r="N341" s="7">
        <v>77440</v>
      </c>
      <c r="O341" s="7">
        <v>10560</v>
      </c>
      <c r="P341" s="16">
        <v>0.12</v>
      </c>
    </row>
    <row r="342" spans="1:16" ht="15.75" thickBot="1" x14ac:dyDescent="0.3">
      <c r="A342" s="14" t="s">
        <v>395</v>
      </c>
      <c r="B342" s="6">
        <v>45441</v>
      </c>
      <c r="C342" s="10" t="s">
        <v>80</v>
      </c>
      <c r="D342" s="5">
        <v>2024</v>
      </c>
      <c r="E342" s="9" t="s">
        <v>592</v>
      </c>
      <c r="F342" s="9" t="s">
        <v>40</v>
      </c>
      <c r="G342" s="9" t="s">
        <v>610</v>
      </c>
      <c r="H342" s="9" t="s">
        <v>626</v>
      </c>
      <c r="I342" s="9" t="s">
        <v>619</v>
      </c>
      <c r="J342" s="9" t="s">
        <v>615</v>
      </c>
      <c r="K342" s="9">
        <v>17</v>
      </c>
      <c r="L342" s="9">
        <v>50</v>
      </c>
      <c r="M342" s="5">
        <v>850</v>
      </c>
      <c r="N342" s="9">
        <v>629</v>
      </c>
      <c r="O342" s="9">
        <v>221</v>
      </c>
      <c r="P342" s="17">
        <v>0.26</v>
      </c>
    </row>
    <row r="343" spans="1:16" ht="15.75" thickBot="1" x14ac:dyDescent="0.3">
      <c r="A343" s="13" t="s">
        <v>396</v>
      </c>
      <c r="B343" s="6">
        <v>45421</v>
      </c>
      <c r="C343" s="8" t="s">
        <v>55</v>
      </c>
      <c r="D343" s="5">
        <v>2024</v>
      </c>
      <c r="E343" s="7" t="s">
        <v>606</v>
      </c>
      <c r="F343" s="7" t="s">
        <v>40</v>
      </c>
      <c r="G343" s="7" t="s">
        <v>610</v>
      </c>
      <c r="H343" s="7" t="s">
        <v>620</v>
      </c>
      <c r="I343" s="7" t="s">
        <v>623</v>
      </c>
      <c r="J343" s="7" t="s">
        <v>618</v>
      </c>
      <c r="K343" s="7">
        <v>10</v>
      </c>
      <c r="L343" s="7">
        <v>300</v>
      </c>
      <c r="M343" s="5">
        <v>3000</v>
      </c>
      <c r="N343" s="7">
        <v>2250</v>
      </c>
      <c r="O343" s="7">
        <v>750</v>
      </c>
      <c r="P343" s="16">
        <v>0.25</v>
      </c>
    </row>
    <row r="344" spans="1:16" ht="15.75" thickBot="1" x14ac:dyDescent="0.3">
      <c r="A344" s="14" t="s">
        <v>397</v>
      </c>
      <c r="B344" s="6">
        <v>45435</v>
      </c>
      <c r="C344" s="10" t="s">
        <v>50</v>
      </c>
      <c r="D344" s="5">
        <v>2024</v>
      </c>
      <c r="E344" s="9" t="s">
        <v>596</v>
      </c>
      <c r="F344" s="9" t="s">
        <v>39</v>
      </c>
      <c r="G344" s="9" t="s">
        <v>611</v>
      </c>
      <c r="H344" s="9" t="s">
        <v>628</v>
      </c>
      <c r="I344" s="9" t="s">
        <v>630</v>
      </c>
      <c r="J344" s="9" t="s">
        <v>615</v>
      </c>
      <c r="K344" s="9">
        <v>1</v>
      </c>
      <c r="L344" s="9">
        <v>20</v>
      </c>
      <c r="M344" s="5">
        <v>20</v>
      </c>
      <c r="N344" s="9">
        <v>17.399999999999999</v>
      </c>
      <c r="O344" s="9">
        <v>2.6000000000000014</v>
      </c>
      <c r="P344" s="17">
        <v>0.13000000000000006</v>
      </c>
    </row>
    <row r="345" spans="1:16" ht="15.75" thickBot="1" x14ac:dyDescent="0.3">
      <c r="A345" s="13" t="s">
        <v>398</v>
      </c>
      <c r="B345" s="6">
        <v>45650</v>
      </c>
      <c r="C345" s="8" t="s">
        <v>44</v>
      </c>
      <c r="D345" s="5">
        <v>2024</v>
      </c>
      <c r="E345" s="7" t="s">
        <v>596</v>
      </c>
      <c r="F345" s="7" t="s">
        <v>39</v>
      </c>
      <c r="G345" s="7" t="s">
        <v>609</v>
      </c>
      <c r="H345" s="7" t="s">
        <v>613</v>
      </c>
      <c r="I345" s="7" t="s">
        <v>630</v>
      </c>
      <c r="J345" s="7" t="s">
        <v>618</v>
      </c>
      <c r="K345" s="7">
        <v>5</v>
      </c>
      <c r="L345" s="7">
        <v>55000</v>
      </c>
      <c r="M345" s="5">
        <v>275000</v>
      </c>
      <c r="N345" s="7">
        <v>203500</v>
      </c>
      <c r="O345" s="7">
        <v>71500</v>
      </c>
      <c r="P345" s="16">
        <v>0.26</v>
      </c>
    </row>
    <row r="346" spans="1:16" ht="15.75" thickBot="1" x14ac:dyDescent="0.3">
      <c r="A346" s="14" t="s">
        <v>399</v>
      </c>
      <c r="B346" s="6">
        <v>45655</v>
      </c>
      <c r="C346" s="10" t="s">
        <v>83</v>
      </c>
      <c r="D346" s="5">
        <v>2024</v>
      </c>
      <c r="E346" s="9" t="s">
        <v>596</v>
      </c>
      <c r="F346" s="9" t="s">
        <v>39</v>
      </c>
      <c r="G346" s="9" t="s">
        <v>609</v>
      </c>
      <c r="H346" s="9" t="s">
        <v>628</v>
      </c>
      <c r="I346" s="9" t="s">
        <v>619</v>
      </c>
      <c r="J346" s="9" t="s">
        <v>615</v>
      </c>
      <c r="K346" s="9">
        <v>2</v>
      </c>
      <c r="L346" s="9">
        <v>7000</v>
      </c>
      <c r="M346" s="5">
        <v>14000</v>
      </c>
      <c r="N346" s="9">
        <v>9380</v>
      </c>
      <c r="O346" s="9">
        <v>4620</v>
      </c>
      <c r="P346" s="17">
        <v>0.33</v>
      </c>
    </row>
    <row r="347" spans="1:16" ht="15.75" thickBot="1" x14ac:dyDescent="0.3">
      <c r="A347" s="13" t="s">
        <v>400</v>
      </c>
      <c r="B347" s="6">
        <v>45577</v>
      </c>
      <c r="C347" s="8" t="s">
        <v>48</v>
      </c>
      <c r="D347" s="5">
        <v>2024</v>
      </c>
      <c r="E347" s="7" t="s">
        <v>607</v>
      </c>
      <c r="F347" s="7" t="s">
        <v>42</v>
      </c>
      <c r="G347" s="7" t="s">
        <v>609</v>
      </c>
      <c r="H347" s="7" t="s">
        <v>626</v>
      </c>
      <c r="I347" s="7" t="s">
        <v>630</v>
      </c>
      <c r="J347" s="7" t="s">
        <v>615</v>
      </c>
      <c r="K347" s="7">
        <v>4</v>
      </c>
      <c r="L347" s="7">
        <v>4000</v>
      </c>
      <c r="M347" s="5">
        <v>16000</v>
      </c>
      <c r="N347" s="7">
        <v>10240</v>
      </c>
      <c r="O347" s="7">
        <v>5760</v>
      </c>
      <c r="P347" s="16">
        <v>0.36</v>
      </c>
    </row>
    <row r="348" spans="1:16" ht="15.75" thickBot="1" x14ac:dyDescent="0.3">
      <c r="A348" s="14" t="s">
        <v>401</v>
      </c>
      <c r="B348" s="6">
        <v>45350</v>
      </c>
      <c r="C348" s="10" t="s">
        <v>57</v>
      </c>
      <c r="D348" s="5">
        <v>2024</v>
      </c>
      <c r="E348" s="9" t="s">
        <v>592</v>
      </c>
      <c r="F348" s="9" t="s">
        <v>40</v>
      </c>
      <c r="G348" s="9" t="s">
        <v>612</v>
      </c>
      <c r="H348" s="9" t="s">
        <v>625</v>
      </c>
      <c r="I348" s="9" t="s">
        <v>623</v>
      </c>
      <c r="J348" s="9" t="s">
        <v>618</v>
      </c>
      <c r="K348" s="9">
        <v>8</v>
      </c>
      <c r="L348" s="9">
        <v>50</v>
      </c>
      <c r="M348" s="5">
        <v>400</v>
      </c>
      <c r="N348" s="9">
        <v>264</v>
      </c>
      <c r="O348" s="9">
        <v>136</v>
      </c>
      <c r="P348" s="17">
        <v>0.34</v>
      </c>
    </row>
    <row r="349" spans="1:16" ht="15.75" thickBot="1" x14ac:dyDescent="0.3">
      <c r="A349" s="13" t="s">
        <v>402</v>
      </c>
      <c r="B349" s="6">
        <v>45519</v>
      </c>
      <c r="C349" s="8" t="s">
        <v>57</v>
      </c>
      <c r="D349" s="5">
        <v>2024</v>
      </c>
      <c r="E349" s="7" t="s">
        <v>596</v>
      </c>
      <c r="F349" s="7" t="s">
        <v>39</v>
      </c>
      <c r="G349" s="7" t="s">
        <v>610</v>
      </c>
      <c r="H349" s="7" t="s">
        <v>625</v>
      </c>
      <c r="I349" s="9" t="s">
        <v>645</v>
      </c>
      <c r="J349" s="7" t="s">
        <v>615</v>
      </c>
      <c r="K349" s="7">
        <v>10</v>
      </c>
      <c r="L349" s="7">
        <v>3500</v>
      </c>
      <c r="M349" s="5">
        <v>35000</v>
      </c>
      <c r="N349" s="7">
        <v>25550</v>
      </c>
      <c r="O349" s="7">
        <v>9450</v>
      </c>
      <c r="P349" s="16">
        <v>0.27</v>
      </c>
    </row>
    <row r="350" spans="1:16" ht="15.75" thickBot="1" x14ac:dyDescent="0.3">
      <c r="A350" s="14" t="s">
        <v>403</v>
      </c>
      <c r="B350" s="6">
        <v>45583</v>
      </c>
      <c r="C350" s="10" t="s">
        <v>65</v>
      </c>
      <c r="D350" s="5">
        <v>2024</v>
      </c>
      <c r="E350" s="9" t="s">
        <v>606</v>
      </c>
      <c r="F350" s="9" t="s">
        <v>40</v>
      </c>
      <c r="G350" s="9" t="s">
        <v>610</v>
      </c>
      <c r="H350" s="9" t="s">
        <v>622</v>
      </c>
      <c r="I350" s="9" t="s">
        <v>617</v>
      </c>
      <c r="J350" s="9" t="s">
        <v>618</v>
      </c>
      <c r="K350" s="9">
        <v>8</v>
      </c>
      <c r="L350" s="9">
        <v>7000</v>
      </c>
      <c r="M350" s="5">
        <v>56000</v>
      </c>
      <c r="N350" s="9">
        <v>34160</v>
      </c>
      <c r="O350" s="9">
        <v>21840</v>
      </c>
      <c r="P350" s="17">
        <v>0.39</v>
      </c>
    </row>
    <row r="351" spans="1:16" ht="15.75" thickBot="1" x14ac:dyDescent="0.3">
      <c r="A351" s="13" t="s">
        <v>404</v>
      </c>
      <c r="B351" s="6">
        <v>45618</v>
      </c>
      <c r="C351" s="8" t="s">
        <v>53</v>
      </c>
      <c r="D351" s="5">
        <v>2024</v>
      </c>
      <c r="E351" s="7" t="s">
        <v>598</v>
      </c>
      <c r="F351" s="7" t="s">
        <v>40</v>
      </c>
      <c r="G351" s="7" t="s">
        <v>610</v>
      </c>
      <c r="H351" s="7" t="s">
        <v>616</v>
      </c>
      <c r="I351" s="7" t="s">
        <v>619</v>
      </c>
      <c r="J351" s="7" t="s">
        <v>615</v>
      </c>
      <c r="K351" s="7">
        <v>7</v>
      </c>
      <c r="L351" s="7">
        <v>25000</v>
      </c>
      <c r="M351" s="5">
        <v>175000</v>
      </c>
      <c r="N351" s="7">
        <v>147000</v>
      </c>
      <c r="O351" s="7">
        <v>28000</v>
      </c>
      <c r="P351" s="16">
        <v>0.16</v>
      </c>
    </row>
    <row r="352" spans="1:16" ht="15.75" thickBot="1" x14ac:dyDescent="0.3">
      <c r="A352" s="14" t="s">
        <v>405</v>
      </c>
      <c r="B352" s="6">
        <v>45549</v>
      </c>
      <c r="C352" s="10" t="s">
        <v>83</v>
      </c>
      <c r="D352" s="5">
        <v>2024</v>
      </c>
      <c r="E352" s="9" t="s">
        <v>599</v>
      </c>
      <c r="F352" s="9" t="s">
        <v>39</v>
      </c>
      <c r="G352" s="9" t="s">
        <v>612</v>
      </c>
      <c r="H352" s="9" t="s">
        <v>625</v>
      </c>
      <c r="I352" s="9" t="s">
        <v>623</v>
      </c>
      <c r="J352" s="9" t="s">
        <v>618</v>
      </c>
      <c r="K352" s="9">
        <v>16</v>
      </c>
      <c r="L352" s="9">
        <v>8000</v>
      </c>
      <c r="M352" s="5">
        <v>128000</v>
      </c>
      <c r="N352" s="9">
        <v>90880</v>
      </c>
      <c r="O352" s="9">
        <v>37120</v>
      </c>
      <c r="P352" s="17">
        <v>0.28999999999999998</v>
      </c>
    </row>
    <row r="353" spans="1:16" ht="15.75" thickBot="1" x14ac:dyDescent="0.3">
      <c r="A353" s="13" t="s">
        <v>406</v>
      </c>
      <c r="B353" s="6">
        <v>45344</v>
      </c>
      <c r="C353" s="8" t="s">
        <v>50</v>
      </c>
      <c r="D353" s="5">
        <v>2024</v>
      </c>
      <c r="E353" s="7" t="s">
        <v>603</v>
      </c>
      <c r="F353" s="7" t="s">
        <v>42</v>
      </c>
      <c r="G353" s="7" t="s">
        <v>608</v>
      </c>
      <c r="H353" s="7" t="s">
        <v>621</v>
      </c>
      <c r="I353" s="7" t="s">
        <v>623</v>
      </c>
      <c r="J353" s="7" t="s">
        <v>618</v>
      </c>
      <c r="K353" s="7">
        <v>11</v>
      </c>
      <c r="L353" s="7">
        <v>55000</v>
      </c>
      <c r="M353" s="5">
        <v>605000</v>
      </c>
      <c r="N353" s="7">
        <v>496100</v>
      </c>
      <c r="O353" s="7">
        <v>108900</v>
      </c>
      <c r="P353" s="16">
        <v>0.18</v>
      </c>
    </row>
    <row r="354" spans="1:16" ht="15.75" thickBot="1" x14ac:dyDescent="0.3">
      <c r="A354" s="14" t="s">
        <v>407</v>
      </c>
      <c r="B354" s="6">
        <v>45487</v>
      </c>
      <c r="C354" s="10" t="s">
        <v>44</v>
      </c>
      <c r="D354" s="5">
        <v>2024</v>
      </c>
      <c r="E354" s="9" t="s">
        <v>592</v>
      </c>
      <c r="F354" s="9" t="s">
        <v>40</v>
      </c>
      <c r="G354" s="9" t="s">
        <v>608</v>
      </c>
      <c r="H354" s="9" t="s">
        <v>624</v>
      </c>
      <c r="I354" s="9" t="s">
        <v>645</v>
      </c>
      <c r="J354" s="9" t="s">
        <v>618</v>
      </c>
      <c r="K354" s="9">
        <v>13</v>
      </c>
      <c r="L354" s="9">
        <v>3500</v>
      </c>
      <c r="M354" s="5">
        <v>45500</v>
      </c>
      <c r="N354" s="9">
        <v>31850</v>
      </c>
      <c r="O354" s="9">
        <v>13650</v>
      </c>
      <c r="P354" s="17">
        <v>0.3</v>
      </c>
    </row>
    <row r="355" spans="1:16" ht="15.75" thickBot="1" x14ac:dyDescent="0.3">
      <c r="A355" s="13" t="s">
        <v>408</v>
      </c>
      <c r="B355" s="6">
        <v>45456</v>
      </c>
      <c r="C355" s="8" t="s">
        <v>44</v>
      </c>
      <c r="D355" s="5">
        <v>2024</v>
      </c>
      <c r="E355" s="7" t="s">
        <v>601</v>
      </c>
      <c r="F355" s="7" t="s">
        <v>41</v>
      </c>
      <c r="G355" s="7" t="s">
        <v>610</v>
      </c>
      <c r="H355" s="7" t="s">
        <v>624</v>
      </c>
      <c r="I355" s="7" t="s">
        <v>623</v>
      </c>
      <c r="J355" s="7" t="s">
        <v>618</v>
      </c>
      <c r="K355" s="7">
        <v>10</v>
      </c>
      <c r="L355" s="7">
        <v>45000</v>
      </c>
      <c r="M355" s="5">
        <v>450000</v>
      </c>
      <c r="N355" s="7">
        <v>360000</v>
      </c>
      <c r="O355" s="7">
        <v>90000</v>
      </c>
      <c r="P355" s="16">
        <v>0.2</v>
      </c>
    </row>
    <row r="356" spans="1:16" ht="15.75" thickBot="1" x14ac:dyDescent="0.3">
      <c r="A356" s="14" t="s">
        <v>409</v>
      </c>
      <c r="B356" s="6">
        <v>45352</v>
      </c>
      <c r="C356" s="10" t="s">
        <v>53</v>
      </c>
      <c r="D356" s="5">
        <v>2024</v>
      </c>
      <c r="E356" s="9" t="s">
        <v>592</v>
      </c>
      <c r="F356" s="9" t="s">
        <v>40</v>
      </c>
      <c r="G356" s="9" t="s">
        <v>608</v>
      </c>
      <c r="H356" s="9" t="s">
        <v>616</v>
      </c>
      <c r="I356" s="9" t="s">
        <v>619</v>
      </c>
      <c r="J356" s="9" t="s">
        <v>615</v>
      </c>
      <c r="K356" s="9">
        <v>18</v>
      </c>
      <c r="L356" s="9">
        <v>55000</v>
      </c>
      <c r="M356" s="5">
        <v>990000</v>
      </c>
      <c r="N356" s="9">
        <v>811800</v>
      </c>
      <c r="O356" s="9">
        <v>178200</v>
      </c>
      <c r="P356" s="17">
        <v>0.18</v>
      </c>
    </row>
    <row r="357" spans="1:16" ht="15.75" thickBot="1" x14ac:dyDescent="0.3">
      <c r="A357" s="13" t="s">
        <v>410</v>
      </c>
      <c r="B357" s="6">
        <v>45628</v>
      </c>
      <c r="C357" s="8" t="s">
        <v>83</v>
      </c>
      <c r="D357" s="5">
        <v>2024</v>
      </c>
      <c r="E357" s="7" t="s">
        <v>605</v>
      </c>
      <c r="F357" s="7" t="s">
        <v>40</v>
      </c>
      <c r="G357" s="7" t="s">
        <v>609</v>
      </c>
      <c r="H357" s="7" t="s">
        <v>629</v>
      </c>
      <c r="I357" s="9" t="s">
        <v>645</v>
      </c>
      <c r="J357" s="7" t="s">
        <v>618</v>
      </c>
      <c r="K357" s="7">
        <v>10</v>
      </c>
      <c r="L357" s="7">
        <v>20</v>
      </c>
      <c r="M357" s="5">
        <v>200</v>
      </c>
      <c r="N357" s="7">
        <v>176</v>
      </c>
      <c r="O357" s="7">
        <v>24</v>
      </c>
      <c r="P357" s="16">
        <v>0.12</v>
      </c>
    </row>
    <row r="358" spans="1:16" ht="15.75" thickBot="1" x14ac:dyDescent="0.3">
      <c r="A358" s="14" t="s">
        <v>411</v>
      </c>
      <c r="B358" s="6">
        <v>45435</v>
      </c>
      <c r="C358" s="10" t="s">
        <v>80</v>
      </c>
      <c r="D358" s="5">
        <v>2024</v>
      </c>
      <c r="E358" s="9" t="s">
        <v>602</v>
      </c>
      <c r="F358" s="9" t="s">
        <v>42</v>
      </c>
      <c r="G358" s="9" t="s">
        <v>612</v>
      </c>
      <c r="H358" s="9" t="s">
        <v>620</v>
      </c>
      <c r="I358" s="9" t="s">
        <v>623</v>
      </c>
      <c r="J358" s="9" t="s">
        <v>618</v>
      </c>
      <c r="K358" s="9">
        <v>7</v>
      </c>
      <c r="L358" s="9">
        <v>150</v>
      </c>
      <c r="M358" s="5">
        <v>1050</v>
      </c>
      <c r="N358" s="9">
        <v>903</v>
      </c>
      <c r="O358" s="9">
        <v>147</v>
      </c>
      <c r="P358" s="17">
        <v>0.14000000000000001</v>
      </c>
    </row>
    <row r="359" spans="1:16" ht="15.75" thickBot="1" x14ac:dyDescent="0.3">
      <c r="A359" s="13" t="s">
        <v>412</v>
      </c>
      <c r="B359" s="6">
        <v>45587</v>
      </c>
      <c r="C359" s="8" t="s">
        <v>44</v>
      </c>
      <c r="D359" s="5">
        <v>2024</v>
      </c>
      <c r="E359" s="7" t="s">
        <v>597</v>
      </c>
      <c r="F359" s="7" t="s">
        <v>41</v>
      </c>
      <c r="G359" s="7" t="s">
        <v>609</v>
      </c>
      <c r="H359" s="7" t="s">
        <v>625</v>
      </c>
      <c r="I359" s="9" t="s">
        <v>645</v>
      </c>
      <c r="J359" s="7" t="s">
        <v>615</v>
      </c>
      <c r="K359" s="7">
        <v>16</v>
      </c>
      <c r="L359" s="7">
        <v>50</v>
      </c>
      <c r="M359" s="5">
        <v>800</v>
      </c>
      <c r="N359" s="7">
        <v>656</v>
      </c>
      <c r="O359" s="7">
        <v>144</v>
      </c>
      <c r="P359" s="16">
        <v>0.18</v>
      </c>
    </row>
    <row r="360" spans="1:16" ht="15.75" thickBot="1" x14ac:dyDescent="0.3">
      <c r="A360" s="14" t="s">
        <v>413</v>
      </c>
      <c r="B360" s="6">
        <v>45577</v>
      </c>
      <c r="C360" s="10" t="s">
        <v>53</v>
      </c>
      <c r="D360" s="5">
        <v>2024</v>
      </c>
      <c r="E360" s="9" t="s">
        <v>596</v>
      </c>
      <c r="F360" s="9" t="s">
        <v>39</v>
      </c>
      <c r="G360" s="9" t="s">
        <v>611</v>
      </c>
      <c r="H360" s="9" t="s">
        <v>628</v>
      </c>
      <c r="I360" s="9" t="s">
        <v>627</v>
      </c>
      <c r="J360" s="9" t="s">
        <v>618</v>
      </c>
      <c r="K360" s="9">
        <v>7</v>
      </c>
      <c r="L360" s="9">
        <v>1200</v>
      </c>
      <c r="M360" s="5">
        <v>8400</v>
      </c>
      <c r="N360" s="9">
        <v>6552</v>
      </c>
      <c r="O360" s="9">
        <v>1848</v>
      </c>
      <c r="P360" s="17">
        <v>0.22</v>
      </c>
    </row>
    <row r="361" spans="1:16" ht="15.75" thickBot="1" x14ac:dyDescent="0.3">
      <c r="A361" s="13" t="s">
        <v>414</v>
      </c>
      <c r="B361" s="6">
        <v>45616</v>
      </c>
      <c r="C361" s="8" t="s">
        <v>55</v>
      </c>
      <c r="D361" s="5">
        <v>2024</v>
      </c>
      <c r="E361" s="7" t="s">
        <v>594</v>
      </c>
      <c r="F361" s="7" t="s">
        <v>39</v>
      </c>
      <c r="G361" s="7" t="s">
        <v>610</v>
      </c>
      <c r="H361" s="7" t="s">
        <v>621</v>
      </c>
      <c r="I361" s="9" t="s">
        <v>645</v>
      </c>
      <c r="J361" s="7" t="s">
        <v>618</v>
      </c>
      <c r="K361" s="7">
        <v>8</v>
      </c>
      <c r="L361" s="7">
        <v>8000</v>
      </c>
      <c r="M361" s="5">
        <v>64000</v>
      </c>
      <c r="N361" s="7">
        <v>44160</v>
      </c>
      <c r="O361" s="7">
        <v>19840</v>
      </c>
      <c r="P361" s="16">
        <v>0.31</v>
      </c>
    </row>
    <row r="362" spans="1:16" ht="15.75" thickBot="1" x14ac:dyDescent="0.3">
      <c r="A362" s="14" t="s">
        <v>415</v>
      </c>
      <c r="B362" s="6">
        <v>45567</v>
      </c>
      <c r="C362" s="10" t="s">
        <v>59</v>
      </c>
      <c r="D362" s="5">
        <v>2024</v>
      </c>
      <c r="E362" s="9" t="s">
        <v>604</v>
      </c>
      <c r="F362" s="9" t="s">
        <v>41</v>
      </c>
      <c r="G362" s="9" t="s">
        <v>610</v>
      </c>
      <c r="H362" s="9" t="s">
        <v>622</v>
      </c>
      <c r="I362" s="9" t="s">
        <v>627</v>
      </c>
      <c r="J362" s="9" t="s">
        <v>618</v>
      </c>
      <c r="K362" s="9">
        <v>5</v>
      </c>
      <c r="L362" s="9">
        <v>50</v>
      </c>
      <c r="M362" s="5">
        <v>250</v>
      </c>
      <c r="N362" s="9">
        <v>187.5</v>
      </c>
      <c r="O362" s="9">
        <v>62.5</v>
      </c>
      <c r="P362" s="17">
        <v>0.25</v>
      </c>
    </row>
    <row r="363" spans="1:16" ht="15.75" thickBot="1" x14ac:dyDescent="0.3">
      <c r="A363" s="13" t="s">
        <v>416</v>
      </c>
      <c r="B363" s="6">
        <v>45546</v>
      </c>
      <c r="C363" s="8" t="s">
        <v>83</v>
      </c>
      <c r="D363" s="5">
        <v>2024</v>
      </c>
      <c r="E363" s="7" t="s">
        <v>607</v>
      </c>
      <c r="F363" s="7" t="s">
        <v>42</v>
      </c>
      <c r="G363" s="7" t="s">
        <v>609</v>
      </c>
      <c r="H363" s="7" t="s">
        <v>624</v>
      </c>
      <c r="I363" s="7" t="s">
        <v>630</v>
      </c>
      <c r="J363" s="7" t="s">
        <v>615</v>
      </c>
      <c r="K363" s="7">
        <v>9</v>
      </c>
      <c r="L363" s="7">
        <v>45000</v>
      </c>
      <c r="M363" s="5">
        <v>405000</v>
      </c>
      <c r="N363" s="7">
        <v>303750</v>
      </c>
      <c r="O363" s="7">
        <v>101250</v>
      </c>
      <c r="P363" s="16">
        <v>0.25</v>
      </c>
    </row>
    <row r="364" spans="1:16" ht="15.75" thickBot="1" x14ac:dyDescent="0.3">
      <c r="A364" s="14" t="s">
        <v>417</v>
      </c>
      <c r="B364" s="6">
        <v>45579</v>
      </c>
      <c r="C364" s="10" t="s">
        <v>59</v>
      </c>
      <c r="D364" s="5">
        <v>2024</v>
      </c>
      <c r="E364" s="9" t="s">
        <v>593</v>
      </c>
      <c r="F364" s="9" t="s">
        <v>41</v>
      </c>
      <c r="G364" s="9" t="s">
        <v>612</v>
      </c>
      <c r="H364" s="9" t="s">
        <v>629</v>
      </c>
      <c r="I364" s="9" t="s">
        <v>645</v>
      </c>
      <c r="J364" s="9" t="s">
        <v>618</v>
      </c>
      <c r="K364" s="9">
        <v>1</v>
      </c>
      <c r="L364" s="9">
        <v>1200</v>
      </c>
      <c r="M364" s="5">
        <v>1200</v>
      </c>
      <c r="N364" s="9">
        <v>924</v>
      </c>
      <c r="O364" s="9">
        <v>276</v>
      </c>
      <c r="P364" s="17">
        <v>0.23</v>
      </c>
    </row>
    <row r="365" spans="1:16" ht="15.75" thickBot="1" x14ac:dyDescent="0.3">
      <c r="A365" s="13" t="s">
        <v>418</v>
      </c>
      <c r="B365" s="6">
        <v>45397</v>
      </c>
      <c r="C365" s="8" t="s">
        <v>65</v>
      </c>
      <c r="D365" s="5">
        <v>2024</v>
      </c>
      <c r="E365" s="7" t="s">
        <v>596</v>
      </c>
      <c r="F365" s="7" t="s">
        <v>39</v>
      </c>
      <c r="G365" s="7" t="s">
        <v>610</v>
      </c>
      <c r="H365" s="7" t="s">
        <v>622</v>
      </c>
      <c r="I365" s="7" t="s">
        <v>627</v>
      </c>
      <c r="J365" s="7" t="s">
        <v>615</v>
      </c>
      <c r="K365" s="7">
        <v>15</v>
      </c>
      <c r="L365" s="7">
        <v>8000</v>
      </c>
      <c r="M365" s="5">
        <v>120000</v>
      </c>
      <c r="N365" s="7">
        <v>88800</v>
      </c>
      <c r="O365" s="7">
        <v>31200</v>
      </c>
      <c r="P365" s="16">
        <v>0.26</v>
      </c>
    </row>
    <row r="366" spans="1:16" ht="15.75" thickBot="1" x14ac:dyDescent="0.3">
      <c r="A366" s="14" t="s">
        <v>419</v>
      </c>
      <c r="B366" s="6">
        <v>45605</v>
      </c>
      <c r="C366" s="10" t="s">
        <v>55</v>
      </c>
      <c r="D366" s="5">
        <v>2024</v>
      </c>
      <c r="E366" s="9" t="s">
        <v>605</v>
      </c>
      <c r="F366" s="9" t="s">
        <v>40</v>
      </c>
      <c r="G366" s="9" t="s">
        <v>610</v>
      </c>
      <c r="H366" s="9" t="s">
        <v>629</v>
      </c>
      <c r="I366" s="9" t="s">
        <v>645</v>
      </c>
      <c r="J366" s="9" t="s">
        <v>615</v>
      </c>
      <c r="K366" s="9">
        <v>4</v>
      </c>
      <c r="L366" s="9">
        <v>8000</v>
      </c>
      <c r="M366" s="5">
        <v>32000</v>
      </c>
      <c r="N366" s="9">
        <v>20160</v>
      </c>
      <c r="O366" s="9">
        <v>11840</v>
      </c>
      <c r="P366" s="17">
        <v>0.37</v>
      </c>
    </row>
    <row r="367" spans="1:16" ht="15.75" thickBot="1" x14ac:dyDescent="0.3">
      <c r="A367" s="13" t="s">
        <v>420</v>
      </c>
      <c r="B367" s="6">
        <v>45627</v>
      </c>
      <c r="C367" s="8" t="s">
        <v>55</v>
      </c>
      <c r="D367" s="5">
        <v>2024</v>
      </c>
      <c r="E367" s="7" t="s">
        <v>594</v>
      </c>
      <c r="F367" s="7" t="s">
        <v>39</v>
      </c>
      <c r="G367" s="7" t="s">
        <v>610</v>
      </c>
      <c r="H367" s="7" t="s">
        <v>622</v>
      </c>
      <c r="I367" s="7" t="s">
        <v>619</v>
      </c>
      <c r="J367" s="7" t="s">
        <v>618</v>
      </c>
      <c r="K367" s="7">
        <v>17</v>
      </c>
      <c r="L367" s="7">
        <v>700</v>
      </c>
      <c r="M367" s="5">
        <v>11900</v>
      </c>
      <c r="N367" s="7">
        <v>9877</v>
      </c>
      <c r="O367" s="7">
        <v>2023</v>
      </c>
      <c r="P367" s="16">
        <v>0.17</v>
      </c>
    </row>
    <row r="368" spans="1:16" ht="15.75" thickBot="1" x14ac:dyDescent="0.3">
      <c r="A368" s="14" t="s">
        <v>421</v>
      </c>
      <c r="B368" s="6">
        <v>45349</v>
      </c>
      <c r="C368" s="10" t="s">
        <v>53</v>
      </c>
      <c r="D368" s="5">
        <v>2024</v>
      </c>
      <c r="E368" s="9" t="s">
        <v>599</v>
      </c>
      <c r="F368" s="9" t="s">
        <v>39</v>
      </c>
      <c r="G368" s="9" t="s">
        <v>610</v>
      </c>
      <c r="H368" s="9" t="s">
        <v>622</v>
      </c>
      <c r="I368" s="9" t="s">
        <v>645</v>
      </c>
      <c r="J368" s="9" t="s">
        <v>618</v>
      </c>
      <c r="K368" s="9">
        <v>8</v>
      </c>
      <c r="L368" s="9">
        <v>8000</v>
      </c>
      <c r="M368" s="5">
        <v>64000</v>
      </c>
      <c r="N368" s="9">
        <v>40960</v>
      </c>
      <c r="O368" s="9">
        <v>23040</v>
      </c>
      <c r="P368" s="17">
        <v>0.36</v>
      </c>
    </row>
    <row r="369" spans="1:16" ht="15.75" thickBot="1" x14ac:dyDescent="0.3">
      <c r="A369" s="13" t="s">
        <v>422</v>
      </c>
      <c r="B369" s="6">
        <v>45361</v>
      </c>
      <c r="C369" s="8" t="s">
        <v>50</v>
      </c>
      <c r="D369" s="5">
        <v>2024</v>
      </c>
      <c r="E369" s="7" t="s">
        <v>599</v>
      </c>
      <c r="F369" s="7" t="s">
        <v>39</v>
      </c>
      <c r="G369" s="7" t="s">
        <v>609</v>
      </c>
      <c r="H369" s="7" t="s">
        <v>620</v>
      </c>
      <c r="I369" s="7" t="s">
        <v>614</v>
      </c>
      <c r="J369" s="7" t="s">
        <v>618</v>
      </c>
      <c r="K369" s="7">
        <v>3</v>
      </c>
      <c r="L369" s="7">
        <v>20</v>
      </c>
      <c r="M369" s="5">
        <v>60</v>
      </c>
      <c r="N369" s="7">
        <v>36.6</v>
      </c>
      <c r="O369" s="7">
        <v>23.4</v>
      </c>
      <c r="P369" s="16">
        <v>0.38999999999999996</v>
      </c>
    </row>
    <row r="370" spans="1:16" ht="15.75" thickBot="1" x14ac:dyDescent="0.3">
      <c r="A370" s="14" t="s">
        <v>423</v>
      </c>
      <c r="B370" s="6">
        <v>45379</v>
      </c>
      <c r="C370" s="10" t="s">
        <v>65</v>
      </c>
      <c r="D370" s="5">
        <v>2024</v>
      </c>
      <c r="E370" s="9" t="s">
        <v>598</v>
      </c>
      <c r="F370" s="9" t="s">
        <v>40</v>
      </c>
      <c r="G370" s="9" t="s">
        <v>612</v>
      </c>
      <c r="H370" s="9" t="s">
        <v>620</v>
      </c>
      <c r="I370" s="9" t="s">
        <v>627</v>
      </c>
      <c r="J370" s="9" t="s">
        <v>615</v>
      </c>
      <c r="K370" s="9">
        <v>19</v>
      </c>
      <c r="L370" s="9">
        <v>300</v>
      </c>
      <c r="M370" s="5">
        <v>5700</v>
      </c>
      <c r="N370" s="9">
        <v>3648</v>
      </c>
      <c r="O370" s="9">
        <v>2052</v>
      </c>
      <c r="P370" s="17">
        <v>0.36</v>
      </c>
    </row>
    <row r="371" spans="1:16" ht="15.75" thickBot="1" x14ac:dyDescent="0.3">
      <c r="A371" s="13" t="s">
        <v>424</v>
      </c>
      <c r="B371" s="6">
        <v>45536</v>
      </c>
      <c r="C371" s="8" t="s">
        <v>62</v>
      </c>
      <c r="D371" s="5">
        <v>2024</v>
      </c>
      <c r="E371" s="7" t="s">
        <v>598</v>
      </c>
      <c r="F371" s="7" t="s">
        <v>40</v>
      </c>
      <c r="G371" s="7" t="s">
        <v>608</v>
      </c>
      <c r="H371" s="7" t="s">
        <v>620</v>
      </c>
      <c r="I371" s="7" t="s">
        <v>619</v>
      </c>
      <c r="J371" s="7" t="s">
        <v>615</v>
      </c>
      <c r="K371" s="7">
        <v>15</v>
      </c>
      <c r="L371" s="7">
        <v>150</v>
      </c>
      <c r="M371" s="5">
        <v>2250</v>
      </c>
      <c r="N371" s="7">
        <v>1642.5</v>
      </c>
      <c r="O371" s="7">
        <v>607.5</v>
      </c>
      <c r="P371" s="16">
        <v>0.27</v>
      </c>
    </row>
    <row r="372" spans="1:16" ht="15.75" thickBot="1" x14ac:dyDescent="0.3">
      <c r="A372" s="14" t="s">
        <v>425</v>
      </c>
      <c r="B372" s="6">
        <v>45531</v>
      </c>
      <c r="C372" s="10" t="s">
        <v>53</v>
      </c>
      <c r="D372" s="5">
        <v>2024</v>
      </c>
      <c r="E372" s="9" t="s">
        <v>599</v>
      </c>
      <c r="F372" s="9" t="s">
        <v>39</v>
      </c>
      <c r="G372" s="9" t="s">
        <v>610</v>
      </c>
      <c r="H372" s="9" t="s">
        <v>626</v>
      </c>
      <c r="I372" s="9" t="s">
        <v>627</v>
      </c>
      <c r="J372" s="9" t="s">
        <v>615</v>
      </c>
      <c r="K372" s="9">
        <v>7</v>
      </c>
      <c r="L372" s="9">
        <v>50</v>
      </c>
      <c r="M372" s="5">
        <v>350</v>
      </c>
      <c r="N372" s="9">
        <v>294</v>
      </c>
      <c r="O372" s="9">
        <v>56</v>
      </c>
      <c r="P372" s="17">
        <v>0.16</v>
      </c>
    </row>
    <row r="373" spans="1:16" ht="15.75" thickBot="1" x14ac:dyDescent="0.3">
      <c r="A373" s="13" t="s">
        <v>426</v>
      </c>
      <c r="B373" s="6">
        <v>45318</v>
      </c>
      <c r="C373" s="8" t="s">
        <v>80</v>
      </c>
      <c r="D373" s="5">
        <v>2024</v>
      </c>
      <c r="E373" s="7" t="s">
        <v>600</v>
      </c>
      <c r="F373" s="7" t="s">
        <v>39</v>
      </c>
      <c r="G373" s="7" t="s">
        <v>610</v>
      </c>
      <c r="H373" s="7" t="s">
        <v>626</v>
      </c>
      <c r="I373" s="7" t="s">
        <v>623</v>
      </c>
      <c r="J373" s="7" t="s">
        <v>618</v>
      </c>
      <c r="K373" s="7">
        <v>14</v>
      </c>
      <c r="L373" s="7">
        <v>700</v>
      </c>
      <c r="M373" s="5">
        <v>9800</v>
      </c>
      <c r="N373" s="7">
        <v>6860</v>
      </c>
      <c r="O373" s="7">
        <v>2940</v>
      </c>
      <c r="P373" s="16">
        <v>0.3</v>
      </c>
    </row>
    <row r="374" spans="1:16" ht="15.75" thickBot="1" x14ac:dyDescent="0.3">
      <c r="A374" s="14" t="s">
        <v>427</v>
      </c>
      <c r="B374" s="6">
        <v>45310</v>
      </c>
      <c r="C374" s="10" t="s">
        <v>57</v>
      </c>
      <c r="D374" s="5">
        <v>2024</v>
      </c>
      <c r="E374" s="9" t="s">
        <v>606</v>
      </c>
      <c r="F374" s="9" t="s">
        <v>40</v>
      </c>
      <c r="G374" s="9" t="s">
        <v>611</v>
      </c>
      <c r="H374" s="9" t="s">
        <v>613</v>
      </c>
      <c r="I374" s="9" t="s">
        <v>617</v>
      </c>
      <c r="J374" s="9" t="s">
        <v>618</v>
      </c>
      <c r="K374" s="9">
        <v>12</v>
      </c>
      <c r="L374" s="9">
        <v>45000</v>
      </c>
      <c r="M374" s="5">
        <v>540000</v>
      </c>
      <c r="N374" s="9">
        <v>442800</v>
      </c>
      <c r="O374" s="9">
        <v>97200</v>
      </c>
      <c r="P374" s="17">
        <v>0.18</v>
      </c>
    </row>
    <row r="375" spans="1:16" ht="15.75" thickBot="1" x14ac:dyDescent="0.3">
      <c r="A375" s="13" t="s">
        <v>428</v>
      </c>
      <c r="B375" s="6">
        <v>45602</v>
      </c>
      <c r="C375" s="8" t="s">
        <v>59</v>
      </c>
      <c r="D375" s="5">
        <v>2024</v>
      </c>
      <c r="E375" s="7" t="s">
        <v>604</v>
      </c>
      <c r="F375" s="7" t="s">
        <v>41</v>
      </c>
      <c r="G375" s="7" t="s">
        <v>610</v>
      </c>
      <c r="H375" s="7" t="s">
        <v>626</v>
      </c>
      <c r="I375" s="7" t="s">
        <v>617</v>
      </c>
      <c r="J375" s="7" t="s">
        <v>615</v>
      </c>
      <c r="K375" s="7">
        <v>10</v>
      </c>
      <c r="L375" s="7">
        <v>15000</v>
      </c>
      <c r="M375" s="5">
        <v>150000</v>
      </c>
      <c r="N375" s="7">
        <v>130500</v>
      </c>
      <c r="O375" s="7">
        <v>19500</v>
      </c>
      <c r="P375" s="16">
        <v>0.13</v>
      </c>
    </row>
    <row r="376" spans="1:16" ht="15.75" thickBot="1" x14ac:dyDescent="0.3">
      <c r="A376" s="14" t="s">
        <v>429</v>
      </c>
      <c r="B376" s="6">
        <v>45556</v>
      </c>
      <c r="C376" s="10" t="s">
        <v>65</v>
      </c>
      <c r="D376" s="5">
        <v>2024</v>
      </c>
      <c r="E376" s="9" t="s">
        <v>601</v>
      </c>
      <c r="F376" s="9" t="s">
        <v>41</v>
      </c>
      <c r="G376" s="9" t="s">
        <v>609</v>
      </c>
      <c r="H376" s="9" t="s">
        <v>613</v>
      </c>
      <c r="I376" s="9" t="s">
        <v>630</v>
      </c>
      <c r="J376" s="9" t="s">
        <v>615</v>
      </c>
      <c r="K376" s="9">
        <v>2</v>
      </c>
      <c r="L376" s="9">
        <v>9000</v>
      </c>
      <c r="M376" s="5">
        <v>18000</v>
      </c>
      <c r="N376" s="9">
        <v>12780</v>
      </c>
      <c r="O376" s="9">
        <v>5220</v>
      </c>
      <c r="P376" s="17">
        <v>0.28999999999999998</v>
      </c>
    </row>
    <row r="377" spans="1:16" ht="15.75" thickBot="1" x14ac:dyDescent="0.3">
      <c r="A377" s="13" t="s">
        <v>430</v>
      </c>
      <c r="B377" s="6">
        <v>45354</v>
      </c>
      <c r="C377" s="8" t="s">
        <v>55</v>
      </c>
      <c r="D377" s="5">
        <v>2024</v>
      </c>
      <c r="E377" s="7" t="s">
        <v>601</v>
      </c>
      <c r="F377" s="7" t="s">
        <v>41</v>
      </c>
      <c r="G377" s="7" t="s">
        <v>610</v>
      </c>
      <c r="H377" s="7" t="s">
        <v>621</v>
      </c>
      <c r="I377" s="9" t="s">
        <v>645</v>
      </c>
      <c r="J377" s="7" t="s">
        <v>615</v>
      </c>
      <c r="K377" s="7">
        <v>9</v>
      </c>
      <c r="L377" s="7">
        <v>300</v>
      </c>
      <c r="M377" s="5">
        <v>2700</v>
      </c>
      <c r="N377" s="7">
        <v>2133</v>
      </c>
      <c r="O377" s="7">
        <v>567</v>
      </c>
      <c r="P377" s="16">
        <v>0.21</v>
      </c>
    </row>
    <row r="378" spans="1:16" ht="15.75" thickBot="1" x14ac:dyDescent="0.3">
      <c r="A378" s="14" t="s">
        <v>431</v>
      </c>
      <c r="B378" s="6">
        <v>45635</v>
      </c>
      <c r="C378" s="10" t="s">
        <v>57</v>
      </c>
      <c r="D378" s="5">
        <v>2024</v>
      </c>
      <c r="E378" s="9" t="s">
        <v>598</v>
      </c>
      <c r="F378" s="9" t="s">
        <v>40</v>
      </c>
      <c r="G378" s="9" t="s">
        <v>609</v>
      </c>
      <c r="H378" s="9" t="s">
        <v>628</v>
      </c>
      <c r="I378" s="9" t="s">
        <v>645</v>
      </c>
      <c r="J378" s="9" t="s">
        <v>615</v>
      </c>
      <c r="K378" s="9">
        <v>11</v>
      </c>
      <c r="L378" s="9">
        <v>15000</v>
      </c>
      <c r="M378" s="5">
        <v>165000</v>
      </c>
      <c r="N378" s="9">
        <v>141900</v>
      </c>
      <c r="O378" s="9">
        <v>23100</v>
      </c>
      <c r="P378" s="17">
        <v>0.14000000000000001</v>
      </c>
    </row>
    <row r="379" spans="1:16" ht="15.75" thickBot="1" x14ac:dyDescent="0.3">
      <c r="A379" s="13" t="s">
        <v>432</v>
      </c>
      <c r="B379" s="6">
        <v>45310</v>
      </c>
      <c r="C379" s="8" t="s">
        <v>62</v>
      </c>
      <c r="D379" s="5">
        <v>2024</v>
      </c>
      <c r="E379" s="7" t="s">
        <v>594</v>
      </c>
      <c r="F379" s="7" t="s">
        <v>39</v>
      </c>
      <c r="G379" s="7" t="s">
        <v>609</v>
      </c>
      <c r="H379" s="7" t="s">
        <v>616</v>
      </c>
      <c r="I379" s="7" t="s">
        <v>623</v>
      </c>
      <c r="J379" s="7" t="s">
        <v>618</v>
      </c>
      <c r="K379" s="7">
        <v>6</v>
      </c>
      <c r="L379" s="7">
        <v>8000</v>
      </c>
      <c r="M379" s="5">
        <v>48000</v>
      </c>
      <c r="N379" s="7">
        <v>38400</v>
      </c>
      <c r="O379" s="7">
        <v>9600</v>
      </c>
      <c r="P379" s="16">
        <v>0.2</v>
      </c>
    </row>
    <row r="380" spans="1:16" ht="15.75" thickBot="1" x14ac:dyDescent="0.3">
      <c r="A380" s="14" t="s">
        <v>433</v>
      </c>
      <c r="B380" s="6">
        <v>45650</v>
      </c>
      <c r="C380" s="10" t="s">
        <v>59</v>
      </c>
      <c r="D380" s="5">
        <v>2024</v>
      </c>
      <c r="E380" s="9" t="s">
        <v>593</v>
      </c>
      <c r="F380" s="9" t="s">
        <v>41</v>
      </c>
      <c r="G380" s="9" t="s">
        <v>609</v>
      </c>
      <c r="H380" s="9" t="s">
        <v>624</v>
      </c>
      <c r="I380" s="9" t="s">
        <v>617</v>
      </c>
      <c r="J380" s="9" t="s">
        <v>618</v>
      </c>
      <c r="K380" s="9">
        <v>3</v>
      </c>
      <c r="L380" s="9">
        <v>45000</v>
      </c>
      <c r="M380" s="5">
        <v>135000</v>
      </c>
      <c r="N380" s="9">
        <v>97200</v>
      </c>
      <c r="O380" s="9">
        <v>37800</v>
      </c>
      <c r="P380" s="17">
        <v>0.28000000000000003</v>
      </c>
    </row>
    <row r="381" spans="1:16" ht="15.75" thickBot="1" x14ac:dyDescent="0.3">
      <c r="A381" s="13" t="s">
        <v>434</v>
      </c>
      <c r="B381" s="6">
        <v>45628</v>
      </c>
      <c r="C381" s="8" t="s">
        <v>55</v>
      </c>
      <c r="D381" s="5">
        <v>2024</v>
      </c>
      <c r="E381" s="7" t="s">
        <v>597</v>
      </c>
      <c r="F381" s="7" t="s">
        <v>41</v>
      </c>
      <c r="G381" s="7" t="s">
        <v>612</v>
      </c>
      <c r="H381" s="7" t="s">
        <v>626</v>
      </c>
      <c r="I381" s="7" t="s">
        <v>614</v>
      </c>
      <c r="J381" s="7" t="s">
        <v>615</v>
      </c>
      <c r="K381" s="7">
        <v>16</v>
      </c>
      <c r="L381" s="7">
        <v>8000</v>
      </c>
      <c r="M381" s="5">
        <v>128000</v>
      </c>
      <c r="N381" s="7">
        <v>76800</v>
      </c>
      <c r="O381" s="7">
        <v>51200</v>
      </c>
      <c r="P381" s="16">
        <v>0.4</v>
      </c>
    </row>
    <row r="382" spans="1:16" ht="15.75" thickBot="1" x14ac:dyDescent="0.3">
      <c r="A382" s="14" t="s">
        <v>435</v>
      </c>
      <c r="B382" s="6">
        <v>45633</v>
      </c>
      <c r="C382" s="10" t="s">
        <v>65</v>
      </c>
      <c r="D382" s="5">
        <v>2024</v>
      </c>
      <c r="E382" s="9" t="s">
        <v>604</v>
      </c>
      <c r="F382" s="9" t="s">
        <v>41</v>
      </c>
      <c r="G382" s="9" t="s">
        <v>609</v>
      </c>
      <c r="H382" s="9" t="s">
        <v>621</v>
      </c>
      <c r="I382" s="9" t="s">
        <v>623</v>
      </c>
      <c r="J382" s="9" t="s">
        <v>618</v>
      </c>
      <c r="K382" s="9">
        <v>7</v>
      </c>
      <c r="L382" s="9">
        <v>700</v>
      </c>
      <c r="M382" s="5">
        <v>4900</v>
      </c>
      <c r="N382" s="9">
        <v>3577</v>
      </c>
      <c r="O382" s="9">
        <v>1323</v>
      </c>
      <c r="P382" s="17">
        <v>0.27</v>
      </c>
    </row>
    <row r="383" spans="1:16" ht="15.75" thickBot="1" x14ac:dyDescent="0.3">
      <c r="A383" s="13" t="s">
        <v>436</v>
      </c>
      <c r="B383" s="6">
        <v>45605</v>
      </c>
      <c r="C383" s="8" t="s">
        <v>53</v>
      </c>
      <c r="D383" s="5">
        <v>2024</v>
      </c>
      <c r="E383" s="7" t="s">
        <v>604</v>
      </c>
      <c r="F383" s="7" t="s">
        <v>41</v>
      </c>
      <c r="G383" s="7" t="s">
        <v>608</v>
      </c>
      <c r="H383" s="7" t="s">
        <v>616</v>
      </c>
      <c r="I383" s="9" t="s">
        <v>645</v>
      </c>
      <c r="J383" s="7" t="s">
        <v>615</v>
      </c>
      <c r="K383" s="7">
        <v>10</v>
      </c>
      <c r="L383" s="7">
        <v>45000</v>
      </c>
      <c r="M383" s="5">
        <v>450000</v>
      </c>
      <c r="N383" s="7">
        <v>333000</v>
      </c>
      <c r="O383" s="7">
        <v>117000</v>
      </c>
      <c r="P383" s="16">
        <v>0.26</v>
      </c>
    </row>
    <row r="384" spans="1:16" ht="15.75" thickBot="1" x14ac:dyDescent="0.3">
      <c r="A384" s="14" t="s">
        <v>437</v>
      </c>
      <c r="B384" s="6">
        <v>45426</v>
      </c>
      <c r="C384" s="10" t="s">
        <v>44</v>
      </c>
      <c r="D384" s="5">
        <v>2024</v>
      </c>
      <c r="E384" s="9" t="s">
        <v>603</v>
      </c>
      <c r="F384" s="9" t="s">
        <v>42</v>
      </c>
      <c r="G384" s="9" t="s">
        <v>608</v>
      </c>
      <c r="H384" s="9" t="s">
        <v>628</v>
      </c>
      <c r="I384" s="9" t="s">
        <v>630</v>
      </c>
      <c r="J384" s="9" t="s">
        <v>618</v>
      </c>
      <c r="K384" s="9">
        <v>12</v>
      </c>
      <c r="L384" s="9">
        <v>3500</v>
      </c>
      <c r="M384" s="5">
        <v>42000</v>
      </c>
      <c r="N384" s="9">
        <v>34860</v>
      </c>
      <c r="O384" s="9">
        <v>7140</v>
      </c>
      <c r="P384" s="17">
        <v>0.17</v>
      </c>
    </row>
    <row r="385" spans="1:16" ht="15.75" thickBot="1" x14ac:dyDescent="0.3">
      <c r="A385" s="13" t="s">
        <v>438</v>
      </c>
      <c r="B385" s="6">
        <v>45365</v>
      </c>
      <c r="C385" s="8" t="s">
        <v>59</v>
      </c>
      <c r="D385" s="5">
        <v>2024</v>
      </c>
      <c r="E385" s="7" t="s">
        <v>607</v>
      </c>
      <c r="F385" s="7" t="s">
        <v>42</v>
      </c>
      <c r="G385" s="7" t="s">
        <v>608</v>
      </c>
      <c r="H385" s="7" t="s">
        <v>616</v>
      </c>
      <c r="I385" s="7" t="s">
        <v>617</v>
      </c>
      <c r="J385" s="7" t="s">
        <v>615</v>
      </c>
      <c r="K385" s="7">
        <v>5</v>
      </c>
      <c r="L385" s="7">
        <v>20</v>
      </c>
      <c r="M385" s="5">
        <v>100</v>
      </c>
      <c r="N385" s="7">
        <v>90</v>
      </c>
      <c r="O385" s="7">
        <v>10</v>
      </c>
      <c r="P385" s="16">
        <v>0.1</v>
      </c>
    </row>
    <row r="386" spans="1:16" ht="15.75" thickBot="1" x14ac:dyDescent="0.3">
      <c r="A386" s="14" t="s">
        <v>439</v>
      </c>
      <c r="B386" s="6">
        <v>45581</v>
      </c>
      <c r="C386" s="10" t="s">
        <v>53</v>
      </c>
      <c r="D386" s="5">
        <v>2024</v>
      </c>
      <c r="E386" s="9" t="s">
        <v>593</v>
      </c>
      <c r="F386" s="9" t="s">
        <v>41</v>
      </c>
      <c r="G386" s="9" t="s">
        <v>612</v>
      </c>
      <c r="H386" s="9" t="s">
        <v>622</v>
      </c>
      <c r="I386" s="9" t="s">
        <v>627</v>
      </c>
      <c r="J386" s="9" t="s">
        <v>618</v>
      </c>
      <c r="K386" s="9">
        <v>5</v>
      </c>
      <c r="L386" s="9">
        <v>4000</v>
      </c>
      <c r="M386" s="5">
        <v>20000</v>
      </c>
      <c r="N386" s="9">
        <v>14000</v>
      </c>
      <c r="O386" s="9">
        <v>6000</v>
      </c>
      <c r="P386" s="17">
        <v>0.3</v>
      </c>
    </row>
    <row r="387" spans="1:16" ht="15.75" thickBot="1" x14ac:dyDescent="0.3">
      <c r="A387" s="13" t="s">
        <v>440</v>
      </c>
      <c r="B387" s="6">
        <v>45445</v>
      </c>
      <c r="C387" s="8" t="s">
        <v>59</v>
      </c>
      <c r="D387" s="5">
        <v>2024</v>
      </c>
      <c r="E387" s="7" t="s">
        <v>593</v>
      </c>
      <c r="F387" s="7" t="s">
        <v>41</v>
      </c>
      <c r="G387" s="7" t="s">
        <v>610</v>
      </c>
      <c r="H387" s="7" t="s">
        <v>628</v>
      </c>
      <c r="I387" s="7" t="s">
        <v>617</v>
      </c>
      <c r="J387" s="7" t="s">
        <v>618</v>
      </c>
      <c r="K387" s="7">
        <v>3</v>
      </c>
      <c r="L387" s="7">
        <v>20</v>
      </c>
      <c r="M387" s="5">
        <v>60</v>
      </c>
      <c r="N387" s="7">
        <v>45</v>
      </c>
      <c r="O387" s="7">
        <v>15</v>
      </c>
      <c r="P387" s="16">
        <v>0.25</v>
      </c>
    </row>
    <row r="388" spans="1:16" ht="15.75" thickBot="1" x14ac:dyDescent="0.3">
      <c r="A388" s="14" t="s">
        <v>441</v>
      </c>
      <c r="B388" s="6">
        <v>45513</v>
      </c>
      <c r="C388" s="10" t="s">
        <v>48</v>
      </c>
      <c r="D388" s="5">
        <v>2024</v>
      </c>
      <c r="E388" s="9" t="s">
        <v>603</v>
      </c>
      <c r="F388" s="9" t="s">
        <v>42</v>
      </c>
      <c r="G388" s="9" t="s">
        <v>608</v>
      </c>
      <c r="H388" s="9" t="s">
        <v>626</v>
      </c>
      <c r="I388" s="9" t="s">
        <v>630</v>
      </c>
      <c r="J388" s="9" t="s">
        <v>615</v>
      </c>
      <c r="K388" s="9">
        <v>19</v>
      </c>
      <c r="L388" s="9">
        <v>8000</v>
      </c>
      <c r="M388" s="5">
        <v>152000</v>
      </c>
      <c r="N388" s="9">
        <v>132240</v>
      </c>
      <c r="O388" s="9">
        <v>19760</v>
      </c>
      <c r="P388" s="17">
        <v>0.13</v>
      </c>
    </row>
    <row r="389" spans="1:16" ht="15.75" thickBot="1" x14ac:dyDescent="0.3">
      <c r="A389" s="13" t="s">
        <v>442</v>
      </c>
      <c r="B389" s="6">
        <v>45310</v>
      </c>
      <c r="C389" s="8" t="s">
        <v>53</v>
      </c>
      <c r="D389" s="5">
        <v>2024</v>
      </c>
      <c r="E389" s="7" t="s">
        <v>601</v>
      </c>
      <c r="F389" s="7" t="s">
        <v>41</v>
      </c>
      <c r="G389" s="7" t="s">
        <v>611</v>
      </c>
      <c r="H389" s="7" t="s">
        <v>613</v>
      </c>
      <c r="I389" s="7" t="s">
        <v>617</v>
      </c>
      <c r="J389" s="7" t="s">
        <v>615</v>
      </c>
      <c r="K389" s="7">
        <v>4</v>
      </c>
      <c r="L389" s="7">
        <v>300</v>
      </c>
      <c r="M389" s="5">
        <v>1200</v>
      </c>
      <c r="N389" s="7">
        <v>1008</v>
      </c>
      <c r="O389" s="7">
        <v>192</v>
      </c>
      <c r="P389" s="16">
        <v>0.16</v>
      </c>
    </row>
    <row r="390" spans="1:16" ht="15.75" thickBot="1" x14ac:dyDescent="0.3">
      <c r="A390" s="14" t="s">
        <v>443</v>
      </c>
      <c r="B390" s="6">
        <v>45381</v>
      </c>
      <c r="C390" s="10" t="s">
        <v>83</v>
      </c>
      <c r="D390" s="5">
        <v>2024</v>
      </c>
      <c r="E390" s="9" t="s">
        <v>603</v>
      </c>
      <c r="F390" s="9" t="s">
        <v>42</v>
      </c>
      <c r="G390" s="9" t="s">
        <v>611</v>
      </c>
      <c r="H390" s="9" t="s">
        <v>629</v>
      </c>
      <c r="I390" s="9" t="s">
        <v>645</v>
      </c>
      <c r="J390" s="9" t="s">
        <v>615</v>
      </c>
      <c r="K390" s="9">
        <v>7</v>
      </c>
      <c r="L390" s="9">
        <v>9000</v>
      </c>
      <c r="M390" s="5">
        <v>63000</v>
      </c>
      <c r="N390" s="9">
        <v>46620</v>
      </c>
      <c r="O390" s="9">
        <v>16380</v>
      </c>
      <c r="P390" s="17">
        <v>0.26</v>
      </c>
    </row>
    <row r="391" spans="1:16" ht="15.75" thickBot="1" x14ac:dyDescent="0.3">
      <c r="A391" s="13" t="s">
        <v>444</v>
      </c>
      <c r="B391" s="6">
        <v>45400</v>
      </c>
      <c r="C391" s="8" t="s">
        <v>50</v>
      </c>
      <c r="D391" s="5">
        <v>2024</v>
      </c>
      <c r="E391" s="7" t="s">
        <v>596</v>
      </c>
      <c r="F391" s="7" t="s">
        <v>39</v>
      </c>
      <c r="G391" s="7" t="s">
        <v>611</v>
      </c>
      <c r="H391" s="7" t="s">
        <v>613</v>
      </c>
      <c r="I391" s="9" t="s">
        <v>645</v>
      </c>
      <c r="J391" s="7" t="s">
        <v>615</v>
      </c>
      <c r="K391" s="7">
        <v>4</v>
      </c>
      <c r="L391" s="7">
        <v>20</v>
      </c>
      <c r="M391" s="5">
        <v>80</v>
      </c>
      <c r="N391" s="7">
        <v>52</v>
      </c>
      <c r="O391" s="7">
        <v>28</v>
      </c>
      <c r="P391" s="16">
        <v>0.35</v>
      </c>
    </row>
    <row r="392" spans="1:16" ht="15.75" thickBot="1" x14ac:dyDescent="0.3">
      <c r="A392" s="14" t="s">
        <v>445</v>
      </c>
      <c r="B392" s="6">
        <v>45549</v>
      </c>
      <c r="C392" s="10" t="s">
        <v>44</v>
      </c>
      <c r="D392" s="5">
        <v>2024</v>
      </c>
      <c r="E392" s="9" t="s">
        <v>597</v>
      </c>
      <c r="F392" s="9" t="s">
        <v>41</v>
      </c>
      <c r="G392" s="9" t="s">
        <v>610</v>
      </c>
      <c r="H392" s="9" t="s">
        <v>616</v>
      </c>
      <c r="I392" s="9" t="s">
        <v>617</v>
      </c>
      <c r="J392" s="9" t="s">
        <v>618</v>
      </c>
      <c r="K392" s="9">
        <v>17</v>
      </c>
      <c r="L392" s="9">
        <v>4000</v>
      </c>
      <c r="M392" s="5">
        <v>68000</v>
      </c>
      <c r="N392" s="9">
        <v>42160</v>
      </c>
      <c r="O392" s="9">
        <v>25840</v>
      </c>
      <c r="P392" s="17">
        <v>0.38</v>
      </c>
    </row>
    <row r="393" spans="1:16" ht="15.75" thickBot="1" x14ac:dyDescent="0.3">
      <c r="A393" s="13" t="s">
        <v>446</v>
      </c>
      <c r="B393" s="6">
        <v>45632</v>
      </c>
      <c r="C393" s="8" t="s">
        <v>55</v>
      </c>
      <c r="D393" s="5">
        <v>2024</v>
      </c>
      <c r="E393" s="7" t="s">
        <v>599</v>
      </c>
      <c r="F393" s="7" t="s">
        <v>39</v>
      </c>
      <c r="G393" s="7" t="s">
        <v>610</v>
      </c>
      <c r="H393" s="7" t="s">
        <v>626</v>
      </c>
      <c r="I393" s="7" t="s">
        <v>623</v>
      </c>
      <c r="J393" s="7" t="s">
        <v>618</v>
      </c>
      <c r="K393" s="7">
        <v>12</v>
      </c>
      <c r="L393" s="7">
        <v>3500</v>
      </c>
      <c r="M393" s="5">
        <v>42000</v>
      </c>
      <c r="N393" s="7">
        <v>30660</v>
      </c>
      <c r="O393" s="7">
        <v>11340</v>
      </c>
      <c r="P393" s="16">
        <v>0.27</v>
      </c>
    </row>
    <row r="394" spans="1:16" ht="15.75" thickBot="1" x14ac:dyDescent="0.3">
      <c r="A394" s="14" t="s">
        <v>447</v>
      </c>
      <c r="B394" s="6">
        <v>45362</v>
      </c>
      <c r="C394" s="10" t="s">
        <v>46</v>
      </c>
      <c r="D394" s="5">
        <v>2024</v>
      </c>
      <c r="E394" s="9" t="s">
        <v>592</v>
      </c>
      <c r="F394" s="9" t="s">
        <v>40</v>
      </c>
      <c r="G394" s="9" t="s">
        <v>608</v>
      </c>
      <c r="H394" s="9" t="s">
        <v>626</v>
      </c>
      <c r="I394" s="9" t="s">
        <v>623</v>
      </c>
      <c r="J394" s="9" t="s">
        <v>618</v>
      </c>
      <c r="K394" s="9">
        <v>1</v>
      </c>
      <c r="L394" s="9">
        <v>9000</v>
      </c>
      <c r="M394" s="5">
        <v>9000</v>
      </c>
      <c r="N394" s="9">
        <v>7110</v>
      </c>
      <c r="O394" s="9">
        <v>1890</v>
      </c>
      <c r="P394" s="17">
        <v>0.21</v>
      </c>
    </row>
    <row r="395" spans="1:16" ht="15.75" thickBot="1" x14ac:dyDescent="0.3">
      <c r="A395" s="13" t="s">
        <v>448</v>
      </c>
      <c r="B395" s="6">
        <v>45552</v>
      </c>
      <c r="C395" s="8" t="s">
        <v>55</v>
      </c>
      <c r="D395" s="5">
        <v>2024</v>
      </c>
      <c r="E395" s="7" t="s">
        <v>602</v>
      </c>
      <c r="F395" s="7" t="s">
        <v>42</v>
      </c>
      <c r="G395" s="7" t="s">
        <v>610</v>
      </c>
      <c r="H395" s="7" t="s">
        <v>621</v>
      </c>
      <c r="I395" s="7" t="s">
        <v>630</v>
      </c>
      <c r="J395" s="7" t="s">
        <v>615</v>
      </c>
      <c r="K395" s="7">
        <v>18</v>
      </c>
      <c r="L395" s="7">
        <v>25000</v>
      </c>
      <c r="M395" s="5">
        <v>450000</v>
      </c>
      <c r="N395" s="7">
        <v>288000</v>
      </c>
      <c r="O395" s="7">
        <v>162000</v>
      </c>
      <c r="P395" s="16">
        <v>0.36</v>
      </c>
    </row>
    <row r="396" spans="1:16" ht="15.75" thickBot="1" x14ac:dyDescent="0.3">
      <c r="A396" s="14" t="s">
        <v>449</v>
      </c>
      <c r="B396" s="6">
        <v>45515</v>
      </c>
      <c r="C396" s="10" t="s">
        <v>83</v>
      </c>
      <c r="D396" s="5">
        <v>2024</v>
      </c>
      <c r="E396" s="9" t="s">
        <v>594</v>
      </c>
      <c r="F396" s="9" t="s">
        <v>39</v>
      </c>
      <c r="G396" s="9" t="s">
        <v>610</v>
      </c>
      <c r="H396" s="9" t="s">
        <v>626</v>
      </c>
      <c r="I396" s="9" t="s">
        <v>645</v>
      </c>
      <c r="J396" s="9" t="s">
        <v>618</v>
      </c>
      <c r="K396" s="9">
        <v>2</v>
      </c>
      <c r="L396" s="9">
        <v>20</v>
      </c>
      <c r="M396" s="5">
        <v>40</v>
      </c>
      <c r="N396" s="9">
        <v>27.2</v>
      </c>
      <c r="O396" s="9">
        <v>12.8</v>
      </c>
      <c r="P396" s="17">
        <v>0.32</v>
      </c>
    </row>
    <row r="397" spans="1:16" ht="15.75" thickBot="1" x14ac:dyDescent="0.3">
      <c r="A397" s="13" t="s">
        <v>450</v>
      </c>
      <c r="B397" s="6">
        <v>45547</v>
      </c>
      <c r="C397" s="8" t="s">
        <v>55</v>
      </c>
      <c r="D397" s="5">
        <v>2024</v>
      </c>
      <c r="E397" s="7" t="s">
        <v>597</v>
      </c>
      <c r="F397" s="7" t="s">
        <v>41</v>
      </c>
      <c r="G397" s="7" t="s">
        <v>608</v>
      </c>
      <c r="H397" s="7" t="s">
        <v>624</v>
      </c>
      <c r="I397" s="7" t="s">
        <v>614</v>
      </c>
      <c r="J397" s="7" t="s">
        <v>618</v>
      </c>
      <c r="K397" s="7">
        <v>9</v>
      </c>
      <c r="L397" s="7">
        <v>20</v>
      </c>
      <c r="M397" s="5">
        <v>180</v>
      </c>
      <c r="N397" s="7">
        <v>109.8</v>
      </c>
      <c r="O397" s="7">
        <v>70.2</v>
      </c>
      <c r="P397" s="16">
        <v>0.39</v>
      </c>
    </row>
    <row r="398" spans="1:16" ht="15.75" thickBot="1" x14ac:dyDescent="0.3">
      <c r="A398" s="14" t="s">
        <v>451</v>
      </c>
      <c r="B398" s="6">
        <v>45300</v>
      </c>
      <c r="C398" s="10" t="s">
        <v>46</v>
      </c>
      <c r="D398" s="5">
        <v>2024</v>
      </c>
      <c r="E398" s="9" t="s">
        <v>594</v>
      </c>
      <c r="F398" s="9" t="s">
        <v>39</v>
      </c>
      <c r="G398" s="9" t="s">
        <v>611</v>
      </c>
      <c r="H398" s="9" t="s">
        <v>620</v>
      </c>
      <c r="I398" s="9" t="s">
        <v>630</v>
      </c>
      <c r="J398" s="9" t="s">
        <v>615</v>
      </c>
      <c r="K398" s="9">
        <v>14</v>
      </c>
      <c r="L398" s="9">
        <v>8000</v>
      </c>
      <c r="M398" s="5">
        <v>112000</v>
      </c>
      <c r="N398" s="9">
        <v>76160</v>
      </c>
      <c r="O398" s="9">
        <v>35840</v>
      </c>
      <c r="P398" s="17">
        <v>0.32</v>
      </c>
    </row>
    <row r="399" spans="1:16" ht="15.75" thickBot="1" x14ac:dyDescent="0.3">
      <c r="A399" s="13" t="s">
        <v>452</v>
      </c>
      <c r="B399" s="6">
        <v>45640</v>
      </c>
      <c r="C399" s="8" t="s">
        <v>59</v>
      </c>
      <c r="D399" s="5">
        <v>2024</v>
      </c>
      <c r="E399" s="7" t="s">
        <v>597</v>
      </c>
      <c r="F399" s="7" t="s">
        <v>41</v>
      </c>
      <c r="G399" s="7" t="s">
        <v>612</v>
      </c>
      <c r="H399" s="7" t="s">
        <v>622</v>
      </c>
      <c r="I399" s="9" t="s">
        <v>645</v>
      </c>
      <c r="J399" s="7" t="s">
        <v>618</v>
      </c>
      <c r="K399" s="7">
        <v>8</v>
      </c>
      <c r="L399" s="7">
        <v>20</v>
      </c>
      <c r="M399" s="5">
        <v>160</v>
      </c>
      <c r="N399" s="7">
        <v>115.2</v>
      </c>
      <c r="O399" s="7">
        <v>44.8</v>
      </c>
      <c r="P399" s="16">
        <v>0.27999999999999997</v>
      </c>
    </row>
    <row r="400" spans="1:16" ht="15.75" thickBot="1" x14ac:dyDescent="0.3">
      <c r="A400" s="14" t="s">
        <v>453</v>
      </c>
      <c r="B400" s="6">
        <v>45500</v>
      </c>
      <c r="C400" s="10" t="s">
        <v>80</v>
      </c>
      <c r="D400" s="5">
        <v>2024</v>
      </c>
      <c r="E400" s="9" t="s">
        <v>597</v>
      </c>
      <c r="F400" s="9" t="s">
        <v>41</v>
      </c>
      <c r="G400" s="9" t="s">
        <v>608</v>
      </c>
      <c r="H400" s="9" t="s">
        <v>620</v>
      </c>
      <c r="I400" s="9" t="s">
        <v>623</v>
      </c>
      <c r="J400" s="9" t="s">
        <v>618</v>
      </c>
      <c r="K400" s="9">
        <v>3</v>
      </c>
      <c r="L400" s="9">
        <v>700</v>
      </c>
      <c r="M400" s="5">
        <v>2100</v>
      </c>
      <c r="N400" s="9">
        <v>1344</v>
      </c>
      <c r="O400" s="9">
        <v>756</v>
      </c>
      <c r="P400" s="17">
        <v>0.36</v>
      </c>
    </row>
    <row r="401" spans="1:16" ht="15.75" thickBot="1" x14ac:dyDescent="0.3">
      <c r="A401" s="13" t="s">
        <v>454</v>
      </c>
      <c r="B401" s="6">
        <v>45595</v>
      </c>
      <c r="C401" s="8" t="s">
        <v>55</v>
      </c>
      <c r="D401" s="5">
        <v>2024</v>
      </c>
      <c r="E401" s="7" t="s">
        <v>597</v>
      </c>
      <c r="F401" s="7" t="s">
        <v>41</v>
      </c>
      <c r="G401" s="7" t="s">
        <v>608</v>
      </c>
      <c r="H401" s="7" t="s">
        <v>625</v>
      </c>
      <c r="I401" s="7" t="s">
        <v>627</v>
      </c>
      <c r="J401" s="7" t="s">
        <v>615</v>
      </c>
      <c r="K401" s="7">
        <v>4</v>
      </c>
      <c r="L401" s="7">
        <v>9000</v>
      </c>
      <c r="M401" s="5">
        <v>36000</v>
      </c>
      <c r="N401" s="7">
        <v>29160</v>
      </c>
      <c r="O401" s="7">
        <v>6840</v>
      </c>
      <c r="P401" s="16">
        <v>0.19</v>
      </c>
    </row>
    <row r="402" spans="1:16" ht="15.75" thickBot="1" x14ac:dyDescent="0.3">
      <c r="A402" s="14" t="s">
        <v>455</v>
      </c>
      <c r="B402" s="6">
        <v>45554</v>
      </c>
      <c r="C402" s="10" t="s">
        <v>80</v>
      </c>
      <c r="D402" s="5">
        <v>2024</v>
      </c>
      <c r="E402" s="9" t="s">
        <v>598</v>
      </c>
      <c r="F402" s="9" t="s">
        <v>40</v>
      </c>
      <c r="G402" s="9" t="s">
        <v>612</v>
      </c>
      <c r="H402" s="9" t="s">
        <v>613</v>
      </c>
      <c r="I402" s="9" t="s">
        <v>614</v>
      </c>
      <c r="J402" s="9" t="s">
        <v>618</v>
      </c>
      <c r="K402" s="9">
        <v>5</v>
      </c>
      <c r="L402" s="9">
        <v>4000</v>
      </c>
      <c r="M402" s="5">
        <v>20000</v>
      </c>
      <c r="N402" s="9">
        <v>13200</v>
      </c>
      <c r="O402" s="9">
        <v>6800</v>
      </c>
      <c r="P402" s="17">
        <v>0.34</v>
      </c>
    </row>
    <row r="403" spans="1:16" ht="15.75" thickBot="1" x14ac:dyDescent="0.3">
      <c r="A403" s="13" t="s">
        <v>456</v>
      </c>
      <c r="B403" s="6">
        <v>45448</v>
      </c>
      <c r="C403" s="8" t="s">
        <v>55</v>
      </c>
      <c r="D403" s="5">
        <v>2024</v>
      </c>
      <c r="E403" s="7" t="s">
        <v>596</v>
      </c>
      <c r="F403" s="7" t="s">
        <v>39</v>
      </c>
      <c r="G403" s="7" t="s">
        <v>610</v>
      </c>
      <c r="H403" s="7" t="s">
        <v>629</v>
      </c>
      <c r="I403" s="7" t="s">
        <v>623</v>
      </c>
      <c r="J403" s="7" t="s">
        <v>615</v>
      </c>
      <c r="K403" s="7">
        <v>13</v>
      </c>
      <c r="L403" s="7">
        <v>55000</v>
      </c>
      <c r="M403" s="5">
        <v>715000</v>
      </c>
      <c r="N403" s="7">
        <v>579150</v>
      </c>
      <c r="O403" s="7">
        <v>135850</v>
      </c>
      <c r="P403" s="16">
        <v>0.19</v>
      </c>
    </row>
    <row r="404" spans="1:16" ht="15.75" thickBot="1" x14ac:dyDescent="0.3">
      <c r="A404" s="14" t="s">
        <v>457</v>
      </c>
      <c r="B404" s="6">
        <v>45611</v>
      </c>
      <c r="C404" s="10" t="s">
        <v>83</v>
      </c>
      <c r="D404" s="5">
        <v>2024</v>
      </c>
      <c r="E404" s="9" t="s">
        <v>596</v>
      </c>
      <c r="F404" s="9" t="s">
        <v>39</v>
      </c>
      <c r="G404" s="9" t="s">
        <v>608</v>
      </c>
      <c r="H404" s="9" t="s">
        <v>616</v>
      </c>
      <c r="I404" s="9" t="s">
        <v>623</v>
      </c>
      <c r="J404" s="9" t="s">
        <v>615</v>
      </c>
      <c r="K404" s="9">
        <v>6</v>
      </c>
      <c r="L404" s="9">
        <v>8000</v>
      </c>
      <c r="M404" s="5">
        <v>48000</v>
      </c>
      <c r="N404" s="9">
        <v>39360</v>
      </c>
      <c r="O404" s="9">
        <v>8640</v>
      </c>
      <c r="P404" s="17">
        <v>0.18</v>
      </c>
    </row>
    <row r="405" spans="1:16" ht="15.75" thickBot="1" x14ac:dyDescent="0.3">
      <c r="A405" s="13" t="s">
        <v>458</v>
      </c>
      <c r="B405" s="6">
        <v>45627</v>
      </c>
      <c r="C405" s="8" t="s">
        <v>44</v>
      </c>
      <c r="D405" s="5">
        <v>2024</v>
      </c>
      <c r="E405" s="7" t="s">
        <v>604</v>
      </c>
      <c r="F405" s="7" t="s">
        <v>41</v>
      </c>
      <c r="G405" s="7" t="s">
        <v>608</v>
      </c>
      <c r="H405" s="7" t="s">
        <v>629</v>
      </c>
      <c r="I405" s="7" t="s">
        <v>627</v>
      </c>
      <c r="J405" s="7" t="s">
        <v>618</v>
      </c>
      <c r="K405" s="7">
        <v>18</v>
      </c>
      <c r="L405" s="7">
        <v>15000</v>
      </c>
      <c r="M405" s="5">
        <v>270000</v>
      </c>
      <c r="N405" s="7">
        <v>216000</v>
      </c>
      <c r="O405" s="7">
        <v>54000</v>
      </c>
      <c r="P405" s="16">
        <v>0.2</v>
      </c>
    </row>
    <row r="406" spans="1:16" ht="15.75" thickBot="1" x14ac:dyDescent="0.3">
      <c r="A406" s="14" t="s">
        <v>459</v>
      </c>
      <c r="B406" s="6">
        <v>45539</v>
      </c>
      <c r="C406" s="10" t="s">
        <v>44</v>
      </c>
      <c r="D406" s="5">
        <v>2024</v>
      </c>
      <c r="E406" s="9" t="s">
        <v>601</v>
      </c>
      <c r="F406" s="9" t="s">
        <v>41</v>
      </c>
      <c r="G406" s="9" t="s">
        <v>610</v>
      </c>
      <c r="H406" s="9" t="s">
        <v>624</v>
      </c>
      <c r="I406" s="9" t="s">
        <v>617</v>
      </c>
      <c r="J406" s="9" t="s">
        <v>618</v>
      </c>
      <c r="K406" s="9">
        <v>15</v>
      </c>
      <c r="L406" s="9">
        <v>12000</v>
      </c>
      <c r="M406" s="5">
        <v>180000</v>
      </c>
      <c r="N406" s="9">
        <v>120600</v>
      </c>
      <c r="O406" s="9">
        <v>59400</v>
      </c>
      <c r="P406" s="17">
        <v>0.33</v>
      </c>
    </row>
    <row r="407" spans="1:16" ht="15.75" thickBot="1" x14ac:dyDescent="0.3">
      <c r="A407" s="13" t="s">
        <v>460</v>
      </c>
      <c r="B407" s="6">
        <v>45383</v>
      </c>
      <c r="C407" s="8" t="s">
        <v>44</v>
      </c>
      <c r="D407" s="5">
        <v>2024</v>
      </c>
      <c r="E407" s="7" t="s">
        <v>603</v>
      </c>
      <c r="F407" s="7" t="s">
        <v>42</v>
      </c>
      <c r="G407" s="7" t="s">
        <v>612</v>
      </c>
      <c r="H407" s="7" t="s">
        <v>613</v>
      </c>
      <c r="I407" s="9" t="s">
        <v>645</v>
      </c>
      <c r="J407" s="7" t="s">
        <v>615</v>
      </c>
      <c r="K407" s="7">
        <v>12</v>
      </c>
      <c r="L407" s="7">
        <v>25000</v>
      </c>
      <c r="M407" s="5">
        <v>300000</v>
      </c>
      <c r="N407" s="7">
        <v>204000</v>
      </c>
      <c r="O407" s="7">
        <v>96000</v>
      </c>
      <c r="P407" s="16">
        <v>0.32</v>
      </c>
    </row>
    <row r="408" spans="1:16" ht="15.75" thickBot="1" x14ac:dyDescent="0.3">
      <c r="A408" s="14" t="s">
        <v>461</v>
      </c>
      <c r="B408" s="6">
        <v>45580</v>
      </c>
      <c r="C408" s="10" t="s">
        <v>83</v>
      </c>
      <c r="D408" s="5">
        <v>2024</v>
      </c>
      <c r="E408" s="9" t="s">
        <v>606</v>
      </c>
      <c r="F408" s="9" t="s">
        <v>40</v>
      </c>
      <c r="G408" s="9" t="s">
        <v>608</v>
      </c>
      <c r="H408" s="9" t="s">
        <v>629</v>
      </c>
      <c r="I408" s="9" t="s">
        <v>614</v>
      </c>
      <c r="J408" s="9" t="s">
        <v>618</v>
      </c>
      <c r="K408" s="9">
        <v>4</v>
      </c>
      <c r="L408" s="9">
        <v>7000</v>
      </c>
      <c r="M408" s="5">
        <v>28000</v>
      </c>
      <c r="N408" s="9">
        <v>24920</v>
      </c>
      <c r="O408" s="9">
        <v>3080</v>
      </c>
      <c r="P408" s="17">
        <v>0.11</v>
      </c>
    </row>
    <row r="409" spans="1:16" ht="15.75" thickBot="1" x14ac:dyDescent="0.3">
      <c r="A409" s="13" t="s">
        <v>462</v>
      </c>
      <c r="B409" s="6">
        <v>45404</v>
      </c>
      <c r="C409" s="8" t="s">
        <v>65</v>
      </c>
      <c r="D409" s="5">
        <v>2024</v>
      </c>
      <c r="E409" s="7" t="s">
        <v>594</v>
      </c>
      <c r="F409" s="7" t="s">
        <v>39</v>
      </c>
      <c r="G409" s="7" t="s">
        <v>608</v>
      </c>
      <c r="H409" s="7" t="s">
        <v>621</v>
      </c>
      <c r="I409" s="7" t="s">
        <v>614</v>
      </c>
      <c r="J409" s="7" t="s">
        <v>618</v>
      </c>
      <c r="K409" s="7">
        <v>13</v>
      </c>
      <c r="L409" s="7">
        <v>8000</v>
      </c>
      <c r="M409" s="5">
        <v>104000</v>
      </c>
      <c r="N409" s="7">
        <v>76960</v>
      </c>
      <c r="O409" s="7">
        <v>27040</v>
      </c>
      <c r="P409" s="16">
        <v>0.26</v>
      </c>
    </row>
    <row r="410" spans="1:16" ht="15.75" thickBot="1" x14ac:dyDescent="0.3">
      <c r="A410" s="14" t="s">
        <v>463</v>
      </c>
      <c r="B410" s="6">
        <v>45381</v>
      </c>
      <c r="C410" s="10" t="s">
        <v>55</v>
      </c>
      <c r="D410" s="5">
        <v>2024</v>
      </c>
      <c r="E410" s="9" t="s">
        <v>600</v>
      </c>
      <c r="F410" s="9" t="s">
        <v>39</v>
      </c>
      <c r="G410" s="9" t="s">
        <v>609</v>
      </c>
      <c r="H410" s="9" t="s">
        <v>624</v>
      </c>
      <c r="I410" s="9" t="s">
        <v>630</v>
      </c>
      <c r="J410" s="9" t="s">
        <v>615</v>
      </c>
      <c r="K410" s="9">
        <v>7</v>
      </c>
      <c r="L410" s="9">
        <v>700</v>
      </c>
      <c r="M410" s="5">
        <v>4900</v>
      </c>
      <c r="N410" s="9">
        <v>4214</v>
      </c>
      <c r="O410" s="9">
        <v>686</v>
      </c>
      <c r="P410" s="17">
        <v>0.14000000000000001</v>
      </c>
    </row>
    <row r="411" spans="1:16" ht="15.75" thickBot="1" x14ac:dyDescent="0.3">
      <c r="A411" s="13" t="s">
        <v>464</v>
      </c>
      <c r="B411" s="6">
        <v>45375</v>
      </c>
      <c r="C411" s="8" t="s">
        <v>57</v>
      </c>
      <c r="D411" s="5">
        <v>2024</v>
      </c>
      <c r="E411" s="7" t="s">
        <v>600</v>
      </c>
      <c r="F411" s="7" t="s">
        <v>39</v>
      </c>
      <c r="G411" s="7" t="s">
        <v>612</v>
      </c>
      <c r="H411" s="7" t="s">
        <v>624</v>
      </c>
      <c r="I411" s="7" t="s">
        <v>617</v>
      </c>
      <c r="J411" s="7" t="s">
        <v>618</v>
      </c>
      <c r="K411" s="7">
        <v>1</v>
      </c>
      <c r="L411" s="7">
        <v>700</v>
      </c>
      <c r="M411" s="5">
        <v>700</v>
      </c>
      <c r="N411" s="7">
        <v>581</v>
      </c>
      <c r="O411" s="7">
        <v>119</v>
      </c>
      <c r="P411" s="16">
        <v>0.17</v>
      </c>
    </row>
    <row r="412" spans="1:16" ht="15.75" thickBot="1" x14ac:dyDescent="0.3">
      <c r="A412" s="14" t="s">
        <v>465</v>
      </c>
      <c r="B412" s="6">
        <v>45578</v>
      </c>
      <c r="C412" s="10" t="s">
        <v>59</v>
      </c>
      <c r="D412" s="5">
        <v>2024</v>
      </c>
      <c r="E412" s="9" t="s">
        <v>598</v>
      </c>
      <c r="F412" s="9" t="s">
        <v>40</v>
      </c>
      <c r="G412" s="9" t="s">
        <v>612</v>
      </c>
      <c r="H412" s="9" t="s">
        <v>620</v>
      </c>
      <c r="I412" s="9" t="s">
        <v>627</v>
      </c>
      <c r="J412" s="9" t="s">
        <v>615</v>
      </c>
      <c r="K412" s="9">
        <v>9</v>
      </c>
      <c r="L412" s="9">
        <v>50</v>
      </c>
      <c r="M412" s="5">
        <v>450</v>
      </c>
      <c r="N412" s="9">
        <v>319.5</v>
      </c>
      <c r="O412" s="9">
        <v>130.5</v>
      </c>
      <c r="P412" s="17">
        <v>0.28999999999999998</v>
      </c>
    </row>
    <row r="413" spans="1:16" ht="15.75" thickBot="1" x14ac:dyDescent="0.3">
      <c r="A413" s="13" t="s">
        <v>466</v>
      </c>
      <c r="B413" s="6">
        <v>45569</v>
      </c>
      <c r="C413" s="8" t="s">
        <v>55</v>
      </c>
      <c r="D413" s="5">
        <v>2024</v>
      </c>
      <c r="E413" s="7" t="s">
        <v>595</v>
      </c>
      <c r="F413" s="7" t="s">
        <v>39</v>
      </c>
      <c r="G413" s="7" t="s">
        <v>609</v>
      </c>
      <c r="H413" s="7" t="s">
        <v>626</v>
      </c>
      <c r="I413" s="7" t="s">
        <v>617</v>
      </c>
      <c r="J413" s="7" t="s">
        <v>618</v>
      </c>
      <c r="K413" s="7">
        <v>1</v>
      </c>
      <c r="L413" s="7">
        <v>25000</v>
      </c>
      <c r="M413" s="5">
        <v>25000</v>
      </c>
      <c r="N413" s="7">
        <v>15500</v>
      </c>
      <c r="O413" s="7">
        <v>9500</v>
      </c>
      <c r="P413" s="16">
        <v>0.38</v>
      </c>
    </row>
    <row r="414" spans="1:16" ht="15.75" thickBot="1" x14ac:dyDescent="0.3">
      <c r="A414" s="14" t="s">
        <v>467</v>
      </c>
      <c r="B414" s="6">
        <v>45439</v>
      </c>
      <c r="C414" s="10" t="s">
        <v>57</v>
      </c>
      <c r="D414" s="5">
        <v>2024</v>
      </c>
      <c r="E414" s="9" t="s">
        <v>602</v>
      </c>
      <c r="F414" s="9" t="s">
        <v>42</v>
      </c>
      <c r="G414" s="9" t="s">
        <v>610</v>
      </c>
      <c r="H414" s="9" t="s">
        <v>622</v>
      </c>
      <c r="I414" s="9" t="s">
        <v>645</v>
      </c>
      <c r="J414" s="9" t="s">
        <v>618</v>
      </c>
      <c r="K414" s="9">
        <v>13</v>
      </c>
      <c r="L414" s="9">
        <v>150</v>
      </c>
      <c r="M414" s="5">
        <v>1950</v>
      </c>
      <c r="N414" s="9">
        <v>1618.5</v>
      </c>
      <c r="O414" s="9">
        <v>331.5</v>
      </c>
      <c r="P414" s="17">
        <v>0.17</v>
      </c>
    </row>
    <row r="415" spans="1:16" ht="15.75" thickBot="1" x14ac:dyDescent="0.3">
      <c r="A415" s="13" t="s">
        <v>468</v>
      </c>
      <c r="B415" s="6">
        <v>45533</v>
      </c>
      <c r="C415" s="8" t="s">
        <v>59</v>
      </c>
      <c r="D415" s="5">
        <v>2024</v>
      </c>
      <c r="E415" s="7" t="s">
        <v>607</v>
      </c>
      <c r="F415" s="7" t="s">
        <v>42</v>
      </c>
      <c r="G415" s="7" t="s">
        <v>608</v>
      </c>
      <c r="H415" s="7" t="s">
        <v>621</v>
      </c>
      <c r="I415" s="7" t="s">
        <v>630</v>
      </c>
      <c r="J415" s="7" t="s">
        <v>618</v>
      </c>
      <c r="K415" s="7">
        <v>3</v>
      </c>
      <c r="L415" s="7">
        <v>20</v>
      </c>
      <c r="M415" s="5">
        <v>60</v>
      </c>
      <c r="N415" s="7">
        <v>49.8</v>
      </c>
      <c r="O415" s="7">
        <v>10.200000000000003</v>
      </c>
      <c r="P415" s="16">
        <v>0.17000000000000004</v>
      </c>
    </row>
    <row r="416" spans="1:16" ht="15.75" thickBot="1" x14ac:dyDescent="0.3">
      <c r="A416" s="14" t="s">
        <v>469</v>
      </c>
      <c r="B416" s="6">
        <v>45572</v>
      </c>
      <c r="C416" s="10" t="s">
        <v>50</v>
      </c>
      <c r="D416" s="5">
        <v>2024</v>
      </c>
      <c r="E416" s="9" t="s">
        <v>607</v>
      </c>
      <c r="F416" s="9" t="s">
        <v>42</v>
      </c>
      <c r="G416" s="9" t="s">
        <v>610</v>
      </c>
      <c r="H416" s="9" t="s">
        <v>613</v>
      </c>
      <c r="I416" s="9" t="s">
        <v>623</v>
      </c>
      <c r="J416" s="9" t="s">
        <v>618</v>
      </c>
      <c r="K416" s="9">
        <v>2</v>
      </c>
      <c r="L416" s="9">
        <v>20</v>
      </c>
      <c r="M416" s="5">
        <v>40</v>
      </c>
      <c r="N416" s="9">
        <v>34.799999999999997</v>
      </c>
      <c r="O416" s="9">
        <v>5.2000000000000028</v>
      </c>
      <c r="P416" s="17">
        <v>0.13000000000000006</v>
      </c>
    </row>
    <row r="417" spans="1:16" ht="15.75" thickBot="1" x14ac:dyDescent="0.3">
      <c r="A417" s="13" t="s">
        <v>470</v>
      </c>
      <c r="B417" s="6">
        <v>45408</v>
      </c>
      <c r="C417" s="8" t="s">
        <v>83</v>
      </c>
      <c r="D417" s="5">
        <v>2024</v>
      </c>
      <c r="E417" s="7" t="s">
        <v>597</v>
      </c>
      <c r="F417" s="7" t="s">
        <v>41</v>
      </c>
      <c r="G417" s="7" t="s">
        <v>610</v>
      </c>
      <c r="H417" s="7" t="s">
        <v>629</v>
      </c>
      <c r="I417" s="7" t="s">
        <v>619</v>
      </c>
      <c r="J417" s="7" t="s">
        <v>615</v>
      </c>
      <c r="K417" s="7">
        <v>19</v>
      </c>
      <c r="L417" s="7">
        <v>1200</v>
      </c>
      <c r="M417" s="5">
        <v>22800</v>
      </c>
      <c r="N417" s="7">
        <v>14136</v>
      </c>
      <c r="O417" s="7">
        <v>8664</v>
      </c>
      <c r="P417" s="16">
        <v>0.38</v>
      </c>
    </row>
    <row r="418" spans="1:16" ht="15.75" thickBot="1" x14ac:dyDescent="0.3">
      <c r="A418" s="14" t="s">
        <v>471</v>
      </c>
      <c r="B418" s="6">
        <v>45413</v>
      </c>
      <c r="C418" s="10" t="s">
        <v>46</v>
      </c>
      <c r="D418" s="5">
        <v>2024</v>
      </c>
      <c r="E418" s="9" t="s">
        <v>606</v>
      </c>
      <c r="F418" s="9" t="s">
        <v>40</v>
      </c>
      <c r="G418" s="9" t="s">
        <v>608</v>
      </c>
      <c r="H418" s="9" t="s">
        <v>616</v>
      </c>
      <c r="I418" s="9" t="s">
        <v>614</v>
      </c>
      <c r="J418" s="9" t="s">
        <v>615</v>
      </c>
      <c r="K418" s="9">
        <v>10</v>
      </c>
      <c r="L418" s="9">
        <v>12000</v>
      </c>
      <c r="M418" s="5">
        <v>120000</v>
      </c>
      <c r="N418" s="9">
        <v>92400</v>
      </c>
      <c r="O418" s="9">
        <v>27600</v>
      </c>
      <c r="P418" s="17">
        <v>0.23</v>
      </c>
    </row>
    <row r="419" spans="1:16" ht="15.75" thickBot="1" x14ac:dyDescent="0.3">
      <c r="A419" s="13" t="s">
        <v>472</v>
      </c>
      <c r="B419" s="6">
        <v>45656</v>
      </c>
      <c r="C419" s="8" t="s">
        <v>80</v>
      </c>
      <c r="D419" s="5">
        <v>2024</v>
      </c>
      <c r="E419" s="7" t="s">
        <v>594</v>
      </c>
      <c r="F419" s="7" t="s">
        <v>39</v>
      </c>
      <c r="G419" s="7" t="s">
        <v>612</v>
      </c>
      <c r="H419" s="7" t="s">
        <v>621</v>
      </c>
      <c r="I419" s="7" t="s">
        <v>630</v>
      </c>
      <c r="J419" s="7" t="s">
        <v>618</v>
      </c>
      <c r="K419" s="7">
        <v>19</v>
      </c>
      <c r="L419" s="7">
        <v>7000</v>
      </c>
      <c r="M419" s="5">
        <v>133000</v>
      </c>
      <c r="N419" s="7">
        <v>107730</v>
      </c>
      <c r="O419" s="7">
        <v>25270</v>
      </c>
      <c r="P419" s="16">
        <v>0.19</v>
      </c>
    </row>
    <row r="420" spans="1:16" ht="15.75" thickBot="1" x14ac:dyDescent="0.3">
      <c r="A420" s="14" t="s">
        <v>473</v>
      </c>
      <c r="B420" s="6">
        <v>45465</v>
      </c>
      <c r="C420" s="10" t="s">
        <v>53</v>
      </c>
      <c r="D420" s="5">
        <v>2024</v>
      </c>
      <c r="E420" s="9" t="s">
        <v>603</v>
      </c>
      <c r="F420" s="9" t="s">
        <v>42</v>
      </c>
      <c r="G420" s="9" t="s">
        <v>611</v>
      </c>
      <c r="H420" s="9" t="s">
        <v>620</v>
      </c>
      <c r="I420" s="9" t="s">
        <v>630</v>
      </c>
      <c r="J420" s="9" t="s">
        <v>615</v>
      </c>
      <c r="K420" s="9">
        <v>1</v>
      </c>
      <c r="L420" s="9">
        <v>55000</v>
      </c>
      <c r="M420" s="5">
        <v>55000</v>
      </c>
      <c r="N420" s="9">
        <v>37950</v>
      </c>
      <c r="O420" s="9">
        <v>17050</v>
      </c>
      <c r="P420" s="17">
        <v>0.31</v>
      </c>
    </row>
    <row r="421" spans="1:16" ht="15.75" thickBot="1" x14ac:dyDescent="0.3">
      <c r="A421" s="13" t="s">
        <v>474</v>
      </c>
      <c r="B421" s="6">
        <v>45454</v>
      </c>
      <c r="C421" s="8" t="s">
        <v>59</v>
      </c>
      <c r="D421" s="5">
        <v>2024</v>
      </c>
      <c r="E421" s="7" t="s">
        <v>602</v>
      </c>
      <c r="F421" s="7" t="s">
        <v>42</v>
      </c>
      <c r="G421" s="7" t="s">
        <v>612</v>
      </c>
      <c r="H421" s="7" t="s">
        <v>624</v>
      </c>
      <c r="I421" s="7" t="s">
        <v>617</v>
      </c>
      <c r="J421" s="7" t="s">
        <v>615</v>
      </c>
      <c r="K421" s="7">
        <v>8</v>
      </c>
      <c r="L421" s="7">
        <v>150</v>
      </c>
      <c r="M421" s="5">
        <v>1200</v>
      </c>
      <c r="N421" s="7">
        <v>744</v>
      </c>
      <c r="O421" s="7">
        <v>456</v>
      </c>
      <c r="P421" s="16">
        <v>0.38</v>
      </c>
    </row>
    <row r="422" spans="1:16" ht="15.75" thickBot="1" x14ac:dyDescent="0.3">
      <c r="A422" s="14" t="s">
        <v>475</v>
      </c>
      <c r="B422" s="6">
        <v>45445</v>
      </c>
      <c r="C422" s="10" t="s">
        <v>53</v>
      </c>
      <c r="D422" s="5">
        <v>2024</v>
      </c>
      <c r="E422" s="9" t="s">
        <v>599</v>
      </c>
      <c r="F422" s="9" t="s">
        <v>39</v>
      </c>
      <c r="G422" s="9" t="s">
        <v>612</v>
      </c>
      <c r="H422" s="9" t="s">
        <v>621</v>
      </c>
      <c r="I422" s="9" t="s">
        <v>614</v>
      </c>
      <c r="J422" s="9" t="s">
        <v>615</v>
      </c>
      <c r="K422" s="9">
        <v>19</v>
      </c>
      <c r="L422" s="9">
        <v>150</v>
      </c>
      <c r="M422" s="5">
        <v>2850</v>
      </c>
      <c r="N422" s="9">
        <v>2194.5</v>
      </c>
      <c r="O422" s="9">
        <v>655.5</v>
      </c>
      <c r="P422" s="17">
        <v>0.23</v>
      </c>
    </row>
    <row r="423" spans="1:16" ht="15.75" thickBot="1" x14ac:dyDescent="0.3">
      <c r="A423" s="13" t="s">
        <v>476</v>
      </c>
      <c r="B423" s="6">
        <v>45482</v>
      </c>
      <c r="C423" s="8" t="s">
        <v>57</v>
      </c>
      <c r="D423" s="5">
        <v>2024</v>
      </c>
      <c r="E423" s="7" t="s">
        <v>593</v>
      </c>
      <c r="F423" s="7" t="s">
        <v>41</v>
      </c>
      <c r="G423" s="7" t="s">
        <v>609</v>
      </c>
      <c r="H423" s="7" t="s">
        <v>625</v>
      </c>
      <c r="I423" s="7" t="s">
        <v>627</v>
      </c>
      <c r="J423" s="7" t="s">
        <v>615</v>
      </c>
      <c r="K423" s="7">
        <v>10</v>
      </c>
      <c r="L423" s="7">
        <v>1200</v>
      </c>
      <c r="M423" s="5">
        <v>12000</v>
      </c>
      <c r="N423" s="7">
        <v>8040</v>
      </c>
      <c r="O423" s="7">
        <v>3960</v>
      </c>
      <c r="P423" s="16">
        <v>0.33</v>
      </c>
    </row>
    <row r="424" spans="1:16" ht="15.75" thickBot="1" x14ac:dyDescent="0.3">
      <c r="A424" s="14" t="s">
        <v>477</v>
      </c>
      <c r="B424" s="6">
        <v>45374</v>
      </c>
      <c r="C424" s="10" t="s">
        <v>48</v>
      </c>
      <c r="D424" s="5">
        <v>2024</v>
      </c>
      <c r="E424" s="9" t="s">
        <v>596</v>
      </c>
      <c r="F424" s="9" t="s">
        <v>39</v>
      </c>
      <c r="G424" s="9" t="s">
        <v>608</v>
      </c>
      <c r="H424" s="9" t="s">
        <v>613</v>
      </c>
      <c r="I424" s="9" t="s">
        <v>619</v>
      </c>
      <c r="J424" s="9" t="s">
        <v>615</v>
      </c>
      <c r="K424" s="9">
        <v>11</v>
      </c>
      <c r="L424" s="9">
        <v>700</v>
      </c>
      <c r="M424" s="5">
        <v>7700</v>
      </c>
      <c r="N424" s="9">
        <v>5082</v>
      </c>
      <c r="O424" s="9">
        <v>2618</v>
      </c>
      <c r="P424" s="17">
        <v>0.34</v>
      </c>
    </row>
    <row r="425" spans="1:16" ht="15.75" thickBot="1" x14ac:dyDescent="0.3">
      <c r="A425" s="13" t="s">
        <v>478</v>
      </c>
      <c r="B425" s="6">
        <v>45396</v>
      </c>
      <c r="C425" s="8" t="s">
        <v>57</v>
      </c>
      <c r="D425" s="5">
        <v>2024</v>
      </c>
      <c r="E425" s="7" t="s">
        <v>592</v>
      </c>
      <c r="F425" s="7" t="s">
        <v>40</v>
      </c>
      <c r="G425" s="7" t="s">
        <v>612</v>
      </c>
      <c r="H425" s="7" t="s">
        <v>628</v>
      </c>
      <c r="I425" s="7" t="s">
        <v>630</v>
      </c>
      <c r="J425" s="7" t="s">
        <v>618</v>
      </c>
      <c r="K425" s="7">
        <v>6</v>
      </c>
      <c r="L425" s="7">
        <v>150</v>
      </c>
      <c r="M425" s="5">
        <v>900</v>
      </c>
      <c r="N425" s="7">
        <v>675</v>
      </c>
      <c r="O425" s="7">
        <v>225</v>
      </c>
      <c r="P425" s="16">
        <v>0.25</v>
      </c>
    </row>
    <row r="426" spans="1:16" ht="15.75" thickBot="1" x14ac:dyDescent="0.3">
      <c r="A426" s="14" t="s">
        <v>479</v>
      </c>
      <c r="B426" s="6">
        <v>45656</v>
      </c>
      <c r="C426" s="10" t="s">
        <v>57</v>
      </c>
      <c r="D426" s="5">
        <v>2024</v>
      </c>
      <c r="E426" s="9" t="s">
        <v>605</v>
      </c>
      <c r="F426" s="9" t="s">
        <v>40</v>
      </c>
      <c r="G426" s="9" t="s">
        <v>610</v>
      </c>
      <c r="H426" s="9" t="s">
        <v>629</v>
      </c>
      <c r="I426" s="9" t="s">
        <v>645</v>
      </c>
      <c r="J426" s="9" t="s">
        <v>615</v>
      </c>
      <c r="K426" s="9">
        <v>10</v>
      </c>
      <c r="L426" s="9">
        <v>45000</v>
      </c>
      <c r="M426" s="5">
        <v>450000</v>
      </c>
      <c r="N426" s="9">
        <v>373500</v>
      </c>
      <c r="O426" s="9">
        <v>76500</v>
      </c>
      <c r="P426" s="17">
        <v>0.17</v>
      </c>
    </row>
    <row r="427" spans="1:16" ht="15.75" thickBot="1" x14ac:dyDescent="0.3">
      <c r="A427" s="13" t="s">
        <v>480</v>
      </c>
      <c r="B427" s="6">
        <v>45556</v>
      </c>
      <c r="C427" s="8" t="s">
        <v>46</v>
      </c>
      <c r="D427" s="5">
        <v>2024</v>
      </c>
      <c r="E427" s="7" t="s">
        <v>602</v>
      </c>
      <c r="F427" s="7" t="s">
        <v>42</v>
      </c>
      <c r="G427" s="7" t="s">
        <v>612</v>
      </c>
      <c r="H427" s="7" t="s">
        <v>628</v>
      </c>
      <c r="I427" s="9" t="s">
        <v>645</v>
      </c>
      <c r="J427" s="7" t="s">
        <v>618</v>
      </c>
      <c r="K427" s="7">
        <v>14</v>
      </c>
      <c r="L427" s="7">
        <v>700</v>
      </c>
      <c r="M427" s="5">
        <v>9800</v>
      </c>
      <c r="N427" s="7">
        <v>7252</v>
      </c>
      <c r="O427" s="7">
        <v>2548</v>
      </c>
      <c r="P427" s="16">
        <v>0.26</v>
      </c>
    </row>
    <row r="428" spans="1:16" ht="15.75" thickBot="1" x14ac:dyDescent="0.3">
      <c r="A428" s="14" t="s">
        <v>481</v>
      </c>
      <c r="B428" s="6">
        <v>45431</v>
      </c>
      <c r="C428" s="10" t="s">
        <v>53</v>
      </c>
      <c r="D428" s="5">
        <v>2024</v>
      </c>
      <c r="E428" s="9" t="s">
        <v>600</v>
      </c>
      <c r="F428" s="9" t="s">
        <v>39</v>
      </c>
      <c r="G428" s="9" t="s">
        <v>608</v>
      </c>
      <c r="H428" s="9" t="s">
        <v>622</v>
      </c>
      <c r="I428" s="9" t="s">
        <v>630</v>
      </c>
      <c r="J428" s="9" t="s">
        <v>618</v>
      </c>
      <c r="K428" s="9">
        <v>3</v>
      </c>
      <c r="L428" s="9">
        <v>45000</v>
      </c>
      <c r="M428" s="5">
        <v>135000</v>
      </c>
      <c r="N428" s="9">
        <v>85050</v>
      </c>
      <c r="O428" s="9">
        <v>49950</v>
      </c>
      <c r="P428" s="17">
        <v>0.37</v>
      </c>
    </row>
    <row r="429" spans="1:16" ht="15.75" thickBot="1" x14ac:dyDescent="0.3">
      <c r="A429" s="13" t="s">
        <v>482</v>
      </c>
      <c r="B429" s="6">
        <v>45536</v>
      </c>
      <c r="C429" s="8" t="s">
        <v>50</v>
      </c>
      <c r="D429" s="5">
        <v>2024</v>
      </c>
      <c r="E429" s="7" t="s">
        <v>605</v>
      </c>
      <c r="F429" s="7" t="s">
        <v>40</v>
      </c>
      <c r="G429" s="7" t="s">
        <v>610</v>
      </c>
      <c r="H429" s="7" t="s">
        <v>613</v>
      </c>
      <c r="I429" s="7" t="s">
        <v>623</v>
      </c>
      <c r="J429" s="7" t="s">
        <v>615</v>
      </c>
      <c r="K429" s="7">
        <v>16</v>
      </c>
      <c r="L429" s="7">
        <v>1200</v>
      </c>
      <c r="M429" s="5">
        <v>19200</v>
      </c>
      <c r="N429" s="7">
        <v>15552</v>
      </c>
      <c r="O429" s="7">
        <v>3648</v>
      </c>
      <c r="P429" s="16">
        <v>0.19</v>
      </c>
    </row>
    <row r="430" spans="1:16" ht="15.75" thickBot="1" x14ac:dyDescent="0.3">
      <c r="A430" s="14" t="s">
        <v>483</v>
      </c>
      <c r="B430" s="6">
        <v>45592</v>
      </c>
      <c r="C430" s="10" t="s">
        <v>57</v>
      </c>
      <c r="D430" s="5">
        <v>2024</v>
      </c>
      <c r="E430" s="9" t="s">
        <v>602</v>
      </c>
      <c r="F430" s="9" t="s">
        <v>42</v>
      </c>
      <c r="G430" s="9" t="s">
        <v>608</v>
      </c>
      <c r="H430" s="9" t="s">
        <v>620</v>
      </c>
      <c r="I430" s="9" t="s">
        <v>630</v>
      </c>
      <c r="J430" s="9" t="s">
        <v>618</v>
      </c>
      <c r="K430" s="9">
        <v>6</v>
      </c>
      <c r="L430" s="9">
        <v>700</v>
      </c>
      <c r="M430" s="5">
        <v>4200</v>
      </c>
      <c r="N430" s="9">
        <v>3318</v>
      </c>
      <c r="O430" s="9">
        <v>882</v>
      </c>
      <c r="P430" s="17">
        <v>0.21</v>
      </c>
    </row>
    <row r="431" spans="1:16" ht="15.75" thickBot="1" x14ac:dyDescent="0.3">
      <c r="A431" s="13" t="s">
        <v>484</v>
      </c>
      <c r="B431" s="6">
        <v>45477</v>
      </c>
      <c r="C431" s="8" t="s">
        <v>80</v>
      </c>
      <c r="D431" s="5">
        <v>2024</v>
      </c>
      <c r="E431" s="7" t="s">
        <v>605</v>
      </c>
      <c r="F431" s="7" t="s">
        <v>40</v>
      </c>
      <c r="G431" s="7" t="s">
        <v>609</v>
      </c>
      <c r="H431" s="7" t="s">
        <v>626</v>
      </c>
      <c r="I431" s="7" t="s">
        <v>614</v>
      </c>
      <c r="J431" s="7" t="s">
        <v>615</v>
      </c>
      <c r="K431" s="7">
        <v>4</v>
      </c>
      <c r="L431" s="7">
        <v>1200</v>
      </c>
      <c r="M431" s="5">
        <v>4800</v>
      </c>
      <c r="N431" s="7">
        <v>3168</v>
      </c>
      <c r="O431" s="7">
        <v>1632</v>
      </c>
      <c r="P431" s="16">
        <v>0.34</v>
      </c>
    </row>
    <row r="432" spans="1:16" ht="15.75" thickBot="1" x14ac:dyDescent="0.3">
      <c r="A432" s="14" t="s">
        <v>485</v>
      </c>
      <c r="B432" s="6">
        <v>45566</v>
      </c>
      <c r="C432" s="10" t="s">
        <v>53</v>
      </c>
      <c r="D432" s="5">
        <v>2024</v>
      </c>
      <c r="E432" s="9" t="s">
        <v>601</v>
      </c>
      <c r="F432" s="9" t="s">
        <v>41</v>
      </c>
      <c r="G432" s="9" t="s">
        <v>609</v>
      </c>
      <c r="H432" s="9" t="s">
        <v>628</v>
      </c>
      <c r="I432" s="9" t="s">
        <v>630</v>
      </c>
      <c r="J432" s="9" t="s">
        <v>618</v>
      </c>
      <c r="K432" s="9">
        <v>10</v>
      </c>
      <c r="L432" s="9">
        <v>300</v>
      </c>
      <c r="M432" s="5">
        <v>3000</v>
      </c>
      <c r="N432" s="9">
        <v>2490</v>
      </c>
      <c r="O432" s="9">
        <v>510</v>
      </c>
      <c r="P432" s="17">
        <v>0.17</v>
      </c>
    </row>
    <row r="433" spans="1:16" ht="15.75" thickBot="1" x14ac:dyDescent="0.3">
      <c r="A433" s="13" t="s">
        <v>486</v>
      </c>
      <c r="B433" s="6">
        <v>45409</v>
      </c>
      <c r="C433" s="8" t="s">
        <v>44</v>
      </c>
      <c r="D433" s="5">
        <v>2024</v>
      </c>
      <c r="E433" s="7" t="s">
        <v>598</v>
      </c>
      <c r="F433" s="7" t="s">
        <v>40</v>
      </c>
      <c r="G433" s="7" t="s">
        <v>610</v>
      </c>
      <c r="H433" s="7" t="s">
        <v>620</v>
      </c>
      <c r="I433" s="7" t="s">
        <v>630</v>
      </c>
      <c r="J433" s="7" t="s">
        <v>615</v>
      </c>
      <c r="K433" s="7">
        <v>13</v>
      </c>
      <c r="L433" s="7">
        <v>9000</v>
      </c>
      <c r="M433" s="5">
        <v>117000</v>
      </c>
      <c r="N433" s="7">
        <v>83070</v>
      </c>
      <c r="O433" s="7">
        <v>33930</v>
      </c>
      <c r="P433" s="16">
        <v>0.28999999999999998</v>
      </c>
    </row>
    <row r="434" spans="1:16" ht="15.75" thickBot="1" x14ac:dyDescent="0.3">
      <c r="A434" s="14" t="s">
        <v>487</v>
      </c>
      <c r="B434" s="6">
        <v>45597</v>
      </c>
      <c r="C434" s="10" t="s">
        <v>59</v>
      </c>
      <c r="D434" s="5">
        <v>2024</v>
      </c>
      <c r="E434" s="9" t="s">
        <v>594</v>
      </c>
      <c r="F434" s="9" t="s">
        <v>39</v>
      </c>
      <c r="G434" s="9" t="s">
        <v>612</v>
      </c>
      <c r="H434" s="9" t="s">
        <v>616</v>
      </c>
      <c r="I434" s="9" t="s">
        <v>619</v>
      </c>
      <c r="J434" s="9" t="s">
        <v>618</v>
      </c>
      <c r="K434" s="9">
        <v>2</v>
      </c>
      <c r="L434" s="9">
        <v>700</v>
      </c>
      <c r="M434" s="5">
        <v>1400</v>
      </c>
      <c r="N434" s="9">
        <v>854</v>
      </c>
      <c r="O434" s="9">
        <v>546</v>
      </c>
      <c r="P434" s="17">
        <v>0.39</v>
      </c>
    </row>
    <row r="435" spans="1:16" ht="15.75" thickBot="1" x14ac:dyDescent="0.3">
      <c r="A435" s="13" t="s">
        <v>488</v>
      </c>
      <c r="B435" s="6">
        <v>45469</v>
      </c>
      <c r="C435" s="8" t="s">
        <v>65</v>
      </c>
      <c r="D435" s="5">
        <v>2024</v>
      </c>
      <c r="E435" s="7" t="s">
        <v>601</v>
      </c>
      <c r="F435" s="7" t="s">
        <v>41</v>
      </c>
      <c r="G435" s="7" t="s">
        <v>609</v>
      </c>
      <c r="H435" s="7" t="s">
        <v>620</v>
      </c>
      <c r="I435" s="7" t="s">
        <v>617</v>
      </c>
      <c r="J435" s="7" t="s">
        <v>615</v>
      </c>
      <c r="K435" s="7">
        <v>7</v>
      </c>
      <c r="L435" s="7">
        <v>1200</v>
      </c>
      <c r="M435" s="5">
        <v>8400</v>
      </c>
      <c r="N435" s="7">
        <v>5544</v>
      </c>
      <c r="O435" s="7">
        <v>2856</v>
      </c>
      <c r="P435" s="16">
        <v>0.34</v>
      </c>
    </row>
    <row r="436" spans="1:16" ht="15.75" thickBot="1" x14ac:dyDescent="0.3">
      <c r="A436" s="14" t="s">
        <v>489</v>
      </c>
      <c r="B436" s="6">
        <v>45510</v>
      </c>
      <c r="C436" s="10" t="s">
        <v>55</v>
      </c>
      <c r="D436" s="5">
        <v>2024</v>
      </c>
      <c r="E436" s="9" t="s">
        <v>606</v>
      </c>
      <c r="F436" s="9" t="s">
        <v>40</v>
      </c>
      <c r="G436" s="9" t="s">
        <v>612</v>
      </c>
      <c r="H436" s="9" t="s">
        <v>625</v>
      </c>
      <c r="I436" s="9" t="s">
        <v>645</v>
      </c>
      <c r="J436" s="9" t="s">
        <v>618</v>
      </c>
      <c r="K436" s="9">
        <v>3</v>
      </c>
      <c r="L436" s="9">
        <v>55000</v>
      </c>
      <c r="M436" s="5">
        <v>165000</v>
      </c>
      <c r="N436" s="9">
        <v>117150</v>
      </c>
      <c r="O436" s="9">
        <v>47850</v>
      </c>
      <c r="P436" s="17">
        <v>0.28999999999999998</v>
      </c>
    </row>
    <row r="437" spans="1:16" ht="15.75" thickBot="1" x14ac:dyDescent="0.3">
      <c r="A437" s="13" t="s">
        <v>490</v>
      </c>
      <c r="B437" s="6">
        <v>45509</v>
      </c>
      <c r="C437" s="8" t="s">
        <v>65</v>
      </c>
      <c r="D437" s="5">
        <v>2024</v>
      </c>
      <c r="E437" s="7" t="s">
        <v>600</v>
      </c>
      <c r="F437" s="7" t="s">
        <v>39</v>
      </c>
      <c r="G437" s="7" t="s">
        <v>610</v>
      </c>
      <c r="H437" s="7" t="s">
        <v>625</v>
      </c>
      <c r="I437" s="7" t="s">
        <v>627</v>
      </c>
      <c r="J437" s="7" t="s">
        <v>615</v>
      </c>
      <c r="K437" s="7">
        <v>17</v>
      </c>
      <c r="L437" s="7">
        <v>8000</v>
      </c>
      <c r="M437" s="5">
        <v>136000</v>
      </c>
      <c r="N437" s="7">
        <v>82960</v>
      </c>
      <c r="O437" s="7">
        <v>53040</v>
      </c>
      <c r="P437" s="16">
        <v>0.39</v>
      </c>
    </row>
    <row r="438" spans="1:16" ht="15.75" thickBot="1" x14ac:dyDescent="0.3">
      <c r="A438" s="14" t="s">
        <v>491</v>
      </c>
      <c r="B438" s="6">
        <v>45627</v>
      </c>
      <c r="C438" s="10" t="s">
        <v>48</v>
      </c>
      <c r="D438" s="5">
        <v>2024</v>
      </c>
      <c r="E438" s="9" t="s">
        <v>593</v>
      </c>
      <c r="F438" s="9" t="s">
        <v>41</v>
      </c>
      <c r="G438" s="9" t="s">
        <v>610</v>
      </c>
      <c r="H438" s="9" t="s">
        <v>626</v>
      </c>
      <c r="I438" s="9" t="s">
        <v>627</v>
      </c>
      <c r="J438" s="9" t="s">
        <v>615</v>
      </c>
      <c r="K438" s="9">
        <v>4</v>
      </c>
      <c r="L438" s="9">
        <v>45000</v>
      </c>
      <c r="M438" s="5">
        <v>180000</v>
      </c>
      <c r="N438" s="9">
        <v>156600</v>
      </c>
      <c r="O438" s="9">
        <v>23400</v>
      </c>
      <c r="P438" s="17">
        <v>0.13</v>
      </c>
    </row>
    <row r="439" spans="1:16" ht="15.75" thickBot="1" x14ac:dyDescent="0.3">
      <c r="A439" s="13" t="s">
        <v>492</v>
      </c>
      <c r="B439" s="6">
        <v>45573</v>
      </c>
      <c r="C439" s="8" t="s">
        <v>80</v>
      </c>
      <c r="D439" s="5">
        <v>2024</v>
      </c>
      <c r="E439" s="7" t="s">
        <v>598</v>
      </c>
      <c r="F439" s="7" t="s">
        <v>40</v>
      </c>
      <c r="G439" s="7" t="s">
        <v>610</v>
      </c>
      <c r="H439" s="7" t="s">
        <v>628</v>
      </c>
      <c r="I439" s="7" t="s">
        <v>617</v>
      </c>
      <c r="J439" s="7" t="s">
        <v>618</v>
      </c>
      <c r="K439" s="7">
        <v>14</v>
      </c>
      <c r="L439" s="7">
        <v>9000</v>
      </c>
      <c r="M439" s="5">
        <v>126000</v>
      </c>
      <c r="N439" s="7">
        <v>88200</v>
      </c>
      <c r="O439" s="7">
        <v>37800</v>
      </c>
      <c r="P439" s="16">
        <v>0.3</v>
      </c>
    </row>
    <row r="440" spans="1:16" ht="15.75" thickBot="1" x14ac:dyDescent="0.3">
      <c r="A440" s="14" t="s">
        <v>493</v>
      </c>
      <c r="B440" s="6">
        <v>45444</v>
      </c>
      <c r="C440" s="10" t="s">
        <v>48</v>
      </c>
      <c r="D440" s="5">
        <v>2024</v>
      </c>
      <c r="E440" s="9" t="s">
        <v>600</v>
      </c>
      <c r="F440" s="9" t="s">
        <v>39</v>
      </c>
      <c r="G440" s="9" t="s">
        <v>608</v>
      </c>
      <c r="H440" s="9" t="s">
        <v>613</v>
      </c>
      <c r="I440" s="9" t="s">
        <v>645</v>
      </c>
      <c r="J440" s="9" t="s">
        <v>618</v>
      </c>
      <c r="K440" s="9">
        <v>9</v>
      </c>
      <c r="L440" s="9">
        <v>3500</v>
      </c>
      <c r="M440" s="5">
        <v>31500</v>
      </c>
      <c r="N440" s="9">
        <v>27720</v>
      </c>
      <c r="O440" s="9">
        <v>3780</v>
      </c>
      <c r="P440" s="17">
        <v>0.12</v>
      </c>
    </row>
    <row r="441" spans="1:16" ht="15.75" thickBot="1" x14ac:dyDescent="0.3">
      <c r="A441" s="13" t="s">
        <v>494</v>
      </c>
      <c r="B441" s="6">
        <v>45372</v>
      </c>
      <c r="C441" s="8" t="s">
        <v>62</v>
      </c>
      <c r="D441" s="5">
        <v>2024</v>
      </c>
      <c r="E441" s="7" t="s">
        <v>599</v>
      </c>
      <c r="F441" s="7" t="s">
        <v>39</v>
      </c>
      <c r="G441" s="7" t="s">
        <v>612</v>
      </c>
      <c r="H441" s="7" t="s">
        <v>624</v>
      </c>
      <c r="I441" s="9" t="s">
        <v>645</v>
      </c>
      <c r="J441" s="7" t="s">
        <v>615</v>
      </c>
      <c r="K441" s="7">
        <v>7</v>
      </c>
      <c r="L441" s="7">
        <v>300</v>
      </c>
      <c r="M441" s="5">
        <v>2100</v>
      </c>
      <c r="N441" s="7">
        <v>1701</v>
      </c>
      <c r="O441" s="7">
        <v>399</v>
      </c>
      <c r="P441" s="16">
        <v>0.19</v>
      </c>
    </row>
    <row r="442" spans="1:16" ht="15.75" thickBot="1" x14ac:dyDescent="0.3">
      <c r="A442" s="14" t="s">
        <v>495</v>
      </c>
      <c r="B442" s="6">
        <v>45538</v>
      </c>
      <c r="C442" s="10" t="s">
        <v>83</v>
      </c>
      <c r="D442" s="5">
        <v>2024</v>
      </c>
      <c r="E442" s="9" t="s">
        <v>598</v>
      </c>
      <c r="F442" s="9" t="s">
        <v>40</v>
      </c>
      <c r="G442" s="9" t="s">
        <v>612</v>
      </c>
      <c r="H442" s="9" t="s">
        <v>626</v>
      </c>
      <c r="I442" s="9" t="s">
        <v>614</v>
      </c>
      <c r="J442" s="9" t="s">
        <v>618</v>
      </c>
      <c r="K442" s="9">
        <v>16</v>
      </c>
      <c r="L442" s="9">
        <v>3500</v>
      </c>
      <c r="M442" s="5">
        <v>56000</v>
      </c>
      <c r="N442" s="9">
        <v>38080</v>
      </c>
      <c r="O442" s="9">
        <v>17920</v>
      </c>
      <c r="P442" s="17">
        <v>0.32</v>
      </c>
    </row>
    <row r="443" spans="1:16" ht="15.75" thickBot="1" x14ac:dyDescent="0.3">
      <c r="A443" s="13" t="s">
        <v>496</v>
      </c>
      <c r="B443" s="6">
        <v>45371</v>
      </c>
      <c r="C443" s="8" t="s">
        <v>53</v>
      </c>
      <c r="D443" s="5">
        <v>2024</v>
      </c>
      <c r="E443" s="7" t="s">
        <v>603</v>
      </c>
      <c r="F443" s="7" t="s">
        <v>42</v>
      </c>
      <c r="G443" s="7" t="s">
        <v>611</v>
      </c>
      <c r="H443" s="7" t="s">
        <v>621</v>
      </c>
      <c r="I443" s="7" t="s">
        <v>614</v>
      </c>
      <c r="J443" s="7" t="s">
        <v>615</v>
      </c>
      <c r="K443" s="7">
        <v>4</v>
      </c>
      <c r="L443" s="7">
        <v>55000</v>
      </c>
      <c r="M443" s="5">
        <v>220000</v>
      </c>
      <c r="N443" s="7">
        <v>176000</v>
      </c>
      <c r="O443" s="7">
        <v>44000</v>
      </c>
      <c r="P443" s="16">
        <v>0.2</v>
      </c>
    </row>
    <row r="444" spans="1:16" ht="15.75" thickBot="1" x14ac:dyDescent="0.3">
      <c r="A444" s="14" t="s">
        <v>497</v>
      </c>
      <c r="B444" s="6">
        <v>45457</v>
      </c>
      <c r="C444" s="10" t="s">
        <v>57</v>
      </c>
      <c r="D444" s="5">
        <v>2024</v>
      </c>
      <c r="E444" s="9" t="s">
        <v>607</v>
      </c>
      <c r="F444" s="9" t="s">
        <v>42</v>
      </c>
      <c r="G444" s="9" t="s">
        <v>610</v>
      </c>
      <c r="H444" s="9" t="s">
        <v>622</v>
      </c>
      <c r="I444" s="9" t="s">
        <v>627</v>
      </c>
      <c r="J444" s="9" t="s">
        <v>615</v>
      </c>
      <c r="K444" s="9">
        <v>7</v>
      </c>
      <c r="L444" s="9">
        <v>20</v>
      </c>
      <c r="M444" s="5">
        <v>140</v>
      </c>
      <c r="N444" s="9">
        <v>91</v>
      </c>
      <c r="O444" s="9">
        <v>49</v>
      </c>
      <c r="P444" s="17">
        <v>0.35</v>
      </c>
    </row>
    <row r="445" spans="1:16" ht="15.75" thickBot="1" x14ac:dyDescent="0.3">
      <c r="A445" s="13" t="s">
        <v>498</v>
      </c>
      <c r="B445" s="6">
        <v>45570</v>
      </c>
      <c r="C445" s="8" t="s">
        <v>46</v>
      </c>
      <c r="D445" s="5">
        <v>2024</v>
      </c>
      <c r="E445" s="7" t="s">
        <v>597</v>
      </c>
      <c r="F445" s="7" t="s">
        <v>41</v>
      </c>
      <c r="G445" s="7" t="s">
        <v>612</v>
      </c>
      <c r="H445" s="7" t="s">
        <v>628</v>
      </c>
      <c r="I445" s="7" t="s">
        <v>619</v>
      </c>
      <c r="J445" s="7" t="s">
        <v>615</v>
      </c>
      <c r="K445" s="7">
        <v>5</v>
      </c>
      <c r="L445" s="7">
        <v>4000</v>
      </c>
      <c r="M445" s="5">
        <v>20000</v>
      </c>
      <c r="N445" s="7">
        <v>15600</v>
      </c>
      <c r="O445" s="7">
        <v>4400</v>
      </c>
      <c r="P445" s="16">
        <v>0.22</v>
      </c>
    </row>
    <row r="446" spans="1:16" ht="15.75" thickBot="1" x14ac:dyDescent="0.3">
      <c r="A446" s="14" t="s">
        <v>499</v>
      </c>
      <c r="B446" s="6">
        <v>45525</v>
      </c>
      <c r="C446" s="10" t="s">
        <v>44</v>
      </c>
      <c r="D446" s="5">
        <v>2024</v>
      </c>
      <c r="E446" s="9" t="s">
        <v>592</v>
      </c>
      <c r="F446" s="9" t="s">
        <v>40</v>
      </c>
      <c r="G446" s="9" t="s">
        <v>612</v>
      </c>
      <c r="H446" s="9" t="s">
        <v>622</v>
      </c>
      <c r="I446" s="9" t="s">
        <v>645</v>
      </c>
      <c r="J446" s="9" t="s">
        <v>618</v>
      </c>
      <c r="K446" s="9">
        <v>12</v>
      </c>
      <c r="L446" s="9">
        <v>3500</v>
      </c>
      <c r="M446" s="5">
        <v>42000</v>
      </c>
      <c r="N446" s="9">
        <v>26040</v>
      </c>
      <c r="O446" s="9">
        <v>15960</v>
      </c>
      <c r="P446" s="17">
        <v>0.38</v>
      </c>
    </row>
    <row r="447" spans="1:16" ht="15.75" thickBot="1" x14ac:dyDescent="0.3">
      <c r="A447" s="13" t="s">
        <v>500</v>
      </c>
      <c r="B447" s="6">
        <v>45395</v>
      </c>
      <c r="C447" s="8" t="s">
        <v>53</v>
      </c>
      <c r="D447" s="5">
        <v>2024</v>
      </c>
      <c r="E447" s="7" t="s">
        <v>602</v>
      </c>
      <c r="F447" s="7" t="s">
        <v>42</v>
      </c>
      <c r="G447" s="7" t="s">
        <v>611</v>
      </c>
      <c r="H447" s="7" t="s">
        <v>622</v>
      </c>
      <c r="I447" s="7" t="s">
        <v>617</v>
      </c>
      <c r="J447" s="7" t="s">
        <v>618</v>
      </c>
      <c r="K447" s="7">
        <v>15</v>
      </c>
      <c r="L447" s="7">
        <v>8000</v>
      </c>
      <c r="M447" s="5">
        <v>120000</v>
      </c>
      <c r="N447" s="7">
        <v>85200</v>
      </c>
      <c r="O447" s="7">
        <v>34800</v>
      </c>
      <c r="P447" s="16">
        <v>0.28999999999999998</v>
      </c>
    </row>
    <row r="448" spans="1:16" ht="15.75" thickBot="1" x14ac:dyDescent="0.3">
      <c r="A448" s="14" t="s">
        <v>501</v>
      </c>
      <c r="B448" s="6">
        <v>45437</v>
      </c>
      <c r="C448" s="10" t="s">
        <v>80</v>
      </c>
      <c r="D448" s="5">
        <v>2024</v>
      </c>
      <c r="E448" s="9" t="s">
        <v>593</v>
      </c>
      <c r="F448" s="9" t="s">
        <v>41</v>
      </c>
      <c r="G448" s="9" t="s">
        <v>609</v>
      </c>
      <c r="H448" s="9" t="s">
        <v>621</v>
      </c>
      <c r="I448" s="9" t="s">
        <v>614</v>
      </c>
      <c r="J448" s="9" t="s">
        <v>615</v>
      </c>
      <c r="K448" s="9">
        <v>17</v>
      </c>
      <c r="L448" s="9">
        <v>20</v>
      </c>
      <c r="M448" s="5">
        <v>340</v>
      </c>
      <c r="N448" s="9">
        <v>241.4</v>
      </c>
      <c r="O448" s="9">
        <v>98.6</v>
      </c>
      <c r="P448" s="17">
        <v>0.28999999999999998</v>
      </c>
    </row>
    <row r="449" spans="1:16" ht="15.75" thickBot="1" x14ac:dyDescent="0.3">
      <c r="A449" s="13" t="s">
        <v>502</v>
      </c>
      <c r="B449" s="6">
        <v>45305</v>
      </c>
      <c r="C449" s="8" t="s">
        <v>46</v>
      </c>
      <c r="D449" s="5">
        <v>2024</v>
      </c>
      <c r="E449" s="7" t="s">
        <v>597</v>
      </c>
      <c r="F449" s="7" t="s">
        <v>41</v>
      </c>
      <c r="G449" s="7" t="s">
        <v>610</v>
      </c>
      <c r="H449" s="7" t="s">
        <v>620</v>
      </c>
      <c r="I449" s="9" t="s">
        <v>645</v>
      </c>
      <c r="J449" s="7" t="s">
        <v>615</v>
      </c>
      <c r="K449" s="7">
        <v>2</v>
      </c>
      <c r="L449" s="7">
        <v>50</v>
      </c>
      <c r="M449" s="5">
        <v>100</v>
      </c>
      <c r="N449" s="7">
        <v>80</v>
      </c>
      <c r="O449" s="7">
        <v>20</v>
      </c>
      <c r="P449" s="16">
        <v>0.2</v>
      </c>
    </row>
    <row r="450" spans="1:16" ht="15.75" thickBot="1" x14ac:dyDescent="0.3">
      <c r="A450" s="14" t="s">
        <v>503</v>
      </c>
      <c r="B450" s="6">
        <v>45320</v>
      </c>
      <c r="C450" s="10" t="s">
        <v>83</v>
      </c>
      <c r="D450" s="5">
        <v>2024</v>
      </c>
      <c r="E450" s="9" t="s">
        <v>601</v>
      </c>
      <c r="F450" s="9" t="s">
        <v>41</v>
      </c>
      <c r="G450" s="9" t="s">
        <v>611</v>
      </c>
      <c r="H450" s="9" t="s">
        <v>629</v>
      </c>
      <c r="I450" s="9" t="s">
        <v>630</v>
      </c>
      <c r="J450" s="9" t="s">
        <v>615</v>
      </c>
      <c r="K450" s="9">
        <v>9</v>
      </c>
      <c r="L450" s="9">
        <v>12000</v>
      </c>
      <c r="M450" s="5">
        <v>108000</v>
      </c>
      <c r="N450" s="9">
        <v>77760</v>
      </c>
      <c r="O450" s="9">
        <v>30240</v>
      </c>
      <c r="P450" s="17">
        <v>0.28000000000000003</v>
      </c>
    </row>
    <row r="451" spans="1:16" ht="15.75" thickBot="1" x14ac:dyDescent="0.3">
      <c r="A451" s="13" t="s">
        <v>504</v>
      </c>
      <c r="B451" s="6">
        <v>45612</v>
      </c>
      <c r="C451" s="8" t="s">
        <v>48</v>
      </c>
      <c r="D451" s="5">
        <v>2024</v>
      </c>
      <c r="E451" s="7" t="s">
        <v>593</v>
      </c>
      <c r="F451" s="7" t="s">
        <v>41</v>
      </c>
      <c r="G451" s="7" t="s">
        <v>611</v>
      </c>
      <c r="H451" s="7" t="s">
        <v>629</v>
      </c>
      <c r="I451" s="7" t="s">
        <v>619</v>
      </c>
      <c r="J451" s="7" t="s">
        <v>615</v>
      </c>
      <c r="K451" s="7">
        <v>13</v>
      </c>
      <c r="L451" s="7">
        <v>1200</v>
      </c>
      <c r="M451" s="5">
        <v>15600</v>
      </c>
      <c r="N451" s="7">
        <v>12324</v>
      </c>
      <c r="O451" s="7">
        <v>3276</v>
      </c>
      <c r="P451" s="16">
        <v>0.21</v>
      </c>
    </row>
    <row r="452" spans="1:16" ht="15.75" thickBot="1" x14ac:dyDescent="0.3">
      <c r="A452" s="14" t="s">
        <v>505</v>
      </c>
      <c r="B452" s="6">
        <v>45497</v>
      </c>
      <c r="C452" s="10" t="s">
        <v>53</v>
      </c>
      <c r="D452" s="5">
        <v>2024</v>
      </c>
      <c r="E452" s="9" t="s">
        <v>597</v>
      </c>
      <c r="F452" s="9" t="s">
        <v>41</v>
      </c>
      <c r="G452" s="9" t="s">
        <v>609</v>
      </c>
      <c r="H452" s="9" t="s">
        <v>622</v>
      </c>
      <c r="I452" s="9" t="s">
        <v>617</v>
      </c>
      <c r="J452" s="9" t="s">
        <v>618</v>
      </c>
      <c r="K452" s="9">
        <v>13</v>
      </c>
      <c r="L452" s="9">
        <v>45000</v>
      </c>
      <c r="M452" s="5">
        <v>585000</v>
      </c>
      <c r="N452" s="9">
        <v>520650</v>
      </c>
      <c r="O452" s="9">
        <v>64350</v>
      </c>
      <c r="P452" s="17">
        <v>0.11</v>
      </c>
    </row>
    <row r="453" spans="1:16" ht="15.75" thickBot="1" x14ac:dyDescent="0.3">
      <c r="A453" s="13" t="s">
        <v>506</v>
      </c>
      <c r="B453" s="6">
        <v>45592</v>
      </c>
      <c r="C453" s="8" t="s">
        <v>46</v>
      </c>
      <c r="D453" s="5">
        <v>2024</v>
      </c>
      <c r="E453" s="7" t="s">
        <v>605</v>
      </c>
      <c r="F453" s="7" t="s">
        <v>40</v>
      </c>
      <c r="G453" s="7" t="s">
        <v>611</v>
      </c>
      <c r="H453" s="7" t="s">
        <v>624</v>
      </c>
      <c r="I453" s="7" t="s">
        <v>619</v>
      </c>
      <c r="J453" s="7" t="s">
        <v>615</v>
      </c>
      <c r="K453" s="7">
        <v>14</v>
      </c>
      <c r="L453" s="7">
        <v>9000</v>
      </c>
      <c r="M453" s="5">
        <v>126000</v>
      </c>
      <c r="N453" s="7">
        <v>93240</v>
      </c>
      <c r="O453" s="7">
        <v>32760</v>
      </c>
      <c r="P453" s="16">
        <v>0.26</v>
      </c>
    </row>
    <row r="454" spans="1:16" ht="15.75" thickBot="1" x14ac:dyDescent="0.3">
      <c r="A454" s="14" t="s">
        <v>507</v>
      </c>
      <c r="B454" s="6">
        <v>45340</v>
      </c>
      <c r="C454" s="10" t="s">
        <v>48</v>
      </c>
      <c r="D454" s="5">
        <v>2024</v>
      </c>
      <c r="E454" s="9" t="s">
        <v>606</v>
      </c>
      <c r="F454" s="9" t="s">
        <v>40</v>
      </c>
      <c r="G454" s="9" t="s">
        <v>611</v>
      </c>
      <c r="H454" s="9" t="s">
        <v>628</v>
      </c>
      <c r="I454" s="9" t="s">
        <v>617</v>
      </c>
      <c r="J454" s="9" t="s">
        <v>615</v>
      </c>
      <c r="K454" s="9">
        <v>10</v>
      </c>
      <c r="L454" s="9">
        <v>3500</v>
      </c>
      <c r="M454" s="5">
        <v>35000</v>
      </c>
      <c r="N454" s="9">
        <v>21000</v>
      </c>
      <c r="O454" s="9">
        <v>14000</v>
      </c>
      <c r="P454" s="17">
        <v>0.4</v>
      </c>
    </row>
    <row r="455" spans="1:16" ht="15.75" thickBot="1" x14ac:dyDescent="0.3">
      <c r="A455" s="13" t="s">
        <v>508</v>
      </c>
      <c r="B455" s="6">
        <v>45510</v>
      </c>
      <c r="C455" s="8" t="s">
        <v>55</v>
      </c>
      <c r="D455" s="5">
        <v>2024</v>
      </c>
      <c r="E455" s="7" t="s">
        <v>606</v>
      </c>
      <c r="F455" s="7" t="s">
        <v>40</v>
      </c>
      <c r="G455" s="7" t="s">
        <v>609</v>
      </c>
      <c r="H455" s="7" t="s">
        <v>624</v>
      </c>
      <c r="I455" s="7" t="s">
        <v>630</v>
      </c>
      <c r="J455" s="7" t="s">
        <v>615</v>
      </c>
      <c r="K455" s="7">
        <v>16</v>
      </c>
      <c r="L455" s="7">
        <v>150</v>
      </c>
      <c r="M455" s="5">
        <v>2400</v>
      </c>
      <c r="N455" s="7">
        <v>1704</v>
      </c>
      <c r="O455" s="7">
        <v>696</v>
      </c>
      <c r="P455" s="16">
        <v>0.28999999999999998</v>
      </c>
    </row>
    <row r="456" spans="1:16" ht="15.75" thickBot="1" x14ac:dyDescent="0.3">
      <c r="A456" s="14" t="s">
        <v>509</v>
      </c>
      <c r="B456" s="6">
        <v>45332</v>
      </c>
      <c r="C456" s="10" t="s">
        <v>59</v>
      </c>
      <c r="D456" s="5">
        <v>2024</v>
      </c>
      <c r="E456" s="9" t="s">
        <v>605</v>
      </c>
      <c r="F456" s="9" t="s">
        <v>40</v>
      </c>
      <c r="G456" s="9" t="s">
        <v>610</v>
      </c>
      <c r="H456" s="9" t="s">
        <v>621</v>
      </c>
      <c r="I456" s="9" t="s">
        <v>627</v>
      </c>
      <c r="J456" s="9" t="s">
        <v>618</v>
      </c>
      <c r="K456" s="9">
        <v>12</v>
      </c>
      <c r="L456" s="9">
        <v>25000</v>
      </c>
      <c r="M456" s="5">
        <v>300000</v>
      </c>
      <c r="N456" s="9">
        <v>213000</v>
      </c>
      <c r="O456" s="9">
        <v>87000</v>
      </c>
      <c r="P456" s="17">
        <v>0.28999999999999998</v>
      </c>
    </row>
    <row r="457" spans="1:16" ht="15.75" thickBot="1" x14ac:dyDescent="0.3">
      <c r="A457" s="13" t="s">
        <v>510</v>
      </c>
      <c r="B457" s="6">
        <v>45335</v>
      </c>
      <c r="C457" s="8" t="s">
        <v>65</v>
      </c>
      <c r="D457" s="5">
        <v>2024</v>
      </c>
      <c r="E457" s="7" t="s">
        <v>607</v>
      </c>
      <c r="F457" s="7" t="s">
        <v>42</v>
      </c>
      <c r="G457" s="7" t="s">
        <v>612</v>
      </c>
      <c r="H457" s="7" t="s">
        <v>624</v>
      </c>
      <c r="I457" s="9" t="s">
        <v>645</v>
      </c>
      <c r="J457" s="7" t="s">
        <v>615</v>
      </c>
      <c r="K457" s="7">
        <v>14</v>
      </c>
      <c r="L457" s="7">
        <v>4000</v>
      </c>
      <c r="M457" s="5">
        <v>56000</v>
      </c>
      <c r="N457" s="7">
        <v>49840</v>
      </c>
      <c r="O457" s="7">
        <v>6160</v>
      </c>
      <c r="P457" s="16">
        <v>0.11</v>
      </c>
    </row>
    <row r="458" spans="1:16" ht="15.75" thickBot="1" x14ac:dyDescent="0.3">
      <c r="A458" s="14" t="s">
        <v>511</v>
      </c>
      <c r="B458" s="6">
        <v>45362</v>
      </c>
      <c r="C458" s="10" t="s">
        <v>50</v>
      </c>
      <c r="D458" s="5">
        <v>2024</v>
      </c>
      <c r="E458" s="9" t="s">
        <v>595</v>
      </c>
      <c r="F458" s="9" t="s">
        <v>39</v>
      </c>
      <c r="G458" s="9" t="s">
        <v>612</v>
      </c>
      <c r="H458" s="9" t="s">
        <v>616</v>
      </c>
      <c r="I458" s="9" t="s">
        <v>623</v>
      </c>
      <c r="J458" s="9" t="s">
        <v>618</v>
      </c>
      <c r="K458" s="9">
        <v>1</v>
      </c>
      <c r="L458" s="9">
        <v>20</v>
      </c>
      <c r="M458" s="5">
        <v>20</v>
      </c>
      <c r="N458" s="9">
        <v>15.6</v>
      </c>
      <c r="O458" s="9">
        <v>4.4000000000000004</v>
      </c>
      <c r="P458" s="17">
        <v>0.22000000000000003</v>
      </c>
    </row>
    <row r="459" spans="1:16" ht="15.75" thickBot="1" x14ac:dyDescent="0.3">
      <c r="A459" s="13" t="s">
        <v>512</v>
      </c>
      <c r="B459" s="6">
        <v>45586</v>
      </c>
      <c r="C459" s="8" t="s">
        <v>83</v>
      </c>
      <c r="D459" s="5">
        <v>2024</v>
      </c>
      <c r="E459" s="7" t="s">
        <v>596</v>
      </c>
      <c r="F459" s="7" t="s">
        <v>39</v>
      </c>
      <c r="G459" s="7" t="s">
        <v>612</v>
      </c>
      <c r="H459" s="7" t="s">
        <v>616</v>
      </c>
      <c r="I459" s="7" t="s">
        <v>619</v>
      </c>
      <c r="J459" s="7" t="s">
        <v>618</v>
      </c>
      <c r="K459" s="7">
        <v>12</v>
      </c>
      <c r="L459" s="7">
        <v>4000</v>
      </c>
      <c r="M459" s="5">
        <v>48000</v>
      </c>
      <c r="N459" s="7">
        <v>40320</v>
      </c>
      <c r="O459" s="7">
        <v>7680</v>
      </c>
      <c r="P459" s="16">
        <v>0.16</v>
      </c>
    </row>
    <row r="460" spans="1:16" ht="15.75" thickBot="1" x14ac:dyDescent="0.3">
      <c r="A460" s="14" t="s">
        <v>513</v>
      </c>
      <c r="B460" s="6">
        <v>45357</v>
      </c>
      <c r="C460" s="10" t="s">
        <v>44</v>
      </c>
      <c r="D460" s="5">
        <v>2024</v>
      </c>
      <c r="E460" s="9" t="s">
        <v>607</v>
      </c>
      <c r="F460" s="9" t="s">
        <v>42</v>
      </c>
      <c r="G460" s="9" t="s">
        <v>608</v>
      </c>
      <c r="H460" s="9" t="s">
        <v>613</v>
      </c>
      <c r="I460" s="9" t="s">
        <v>645</v>
      </c>
      <c r="J460" s="9" t="s">
        <v>615</v>
      </c>
      <c r="K460" s="9">
        <v>3</v>
      </c>
      <c r="L460" s="9">
        <v>700</v>
      </c>
      <c r="M460" s="5">
        <v>2100</v>
      </c>
      <c r="N460" s="9">
        <v>1344</v>
      </c>
      <c r="O460" s="9">
        <v>756</v>
      </c>
      <c r="P460" s="17">
        <v>0.36</v>
      </c>
    </row>
    <row r="461" spans="1:16" ht="15.75" thickBot="1" x14ac:dyDescent="0.3">
      <c r="A461" s="13" t="s">
        <v>514</v>
      </c>
      <c r="B461" s="6">
        <v>45571</v>
      </c>
      <c r="C461" s="8" t="s">
        <v>50</v>
      </c>
      <c r="D461" s="5">
        <v>2024</v>
      </c>
      <c r="E461" s="7" t="s">
        <v>594</v>
      </c>
      <c r="F461" s="7" t="s">
        <v>39</v>
      </c>
      <c r="G461" s="7" t="s">
        <v>609</v>
      </c>
      <c r="H461" s="7" t="s">
        <v>620</v>
      </c>
      <c r="I461" s="7" t="s">
        <v>619</v>
      </c>
      <c r="J461" s="7" t="s">
        <v>618</v>
      </c>
      <c r="K461" s="7">
        <v>5</v>
      </c>
      <c r="L461" s="7">
        <v>12000</v>
      </c>
      <c r="M461" s="5">
        <v>60000</v>
      </c>
      <c r="N461" s="7">
        <v>38400</v>
      </c>
      <c r="O461" s="7">
        <v>21600</v>
      </c>
      <c r="P461" s="16">
        <v>0.36</v>
      </c>
    </row>
    <row r="462" spans="1:16" ht="15.75" thickBot="1" x14ac:dyDescent="0.3">
      <c r="A462" s="14" t="s">
        <v>515</v>
      </c>
      <c r="B462" s="6">
        <v>45448</v>
      </c>
      <c r="C462" s="10" t="s">
        <v>46</v>
      </c>
      <c r="D462" s="5">
        <v>2024</v>
      </c>
      <c r="E462" s="9" t="s">
        <v>602</v>
      </c>
      <c r="F462" s="9" t="s">
        <v>42</v>
      </c>
      <c r="G462" s="9" t="s">
        <v>608</v>
      </c>
      <c r="H462" s="9" t="s">
        <v>613</v>
      </c>
      <c r="I462" s="9" t="s">
        <v>645</v>
      </c>
      <c r="J462" s="9" t="s">
        <v>618</v>
      </c>
      <c r="K462" s="9">
        <v>8</v>
      </c>
      <c r="L462" s="9">
        <v>700</v>
      </c>
      <c r="M462" s="5">
        <v>5600</v>
      </c>
      <c r="N462" s="9">
        <v>4536</v>
      </c>
      <c r="O462" s="9">
        <v>1064</v>
      </c>
      <c r="P462" s="17">
        <v>0.19</v>
      </c>
    </row>
    <row r="463" spans="1:16" ht="15.75" thickBot="1" x14ac:dyDescent="0.3">
      <c r="A463" s="13" t="s">
        <v>516</v>
      </c>
      <c r="B463" s="6">
        <v>45392</v>
      </c>
      <c r="C463" s="8" t="s">
        <v>48</v>
      </c>
      <c r="D463" s="5">
        <v>2024</v>
      </c>
      <c r="E463" s="7" t="s">
        <v>605</v>
      </c>
      <c r="F463" s="7" t="s">
        <v>40</v>
      </c>
      <c r="G463" s="7" t="s">
        <v>610</v>
      </c>
      <c r="H463" s="7" t="s">
        <v>628</v>
      </c>
      <c r="I463" s="9" t="s">
        <v>645</v>
      </c>
      <c r="J463" s="7" t="s">
        <v>618</v>
      </c>
      <c r="K463" s="7">
        <v>2</v>
      </c>
      <c r="L463" s="7">
        <v>12000</v>
      </c>
      <c r="M463" s="5">
        <v>24000</v>
      </c>
      <c r="N463" s="7">
        <v>21120</v>
      </c>
      <c r="O463" s="7">
        <v>2880</v>
      </c>
      <c r="P463" s="16">
        <v>0.12</v>
      </c>
    </row>
    <row r="464" spans="1:16" ht="15.75" thickBot="1" x14ac:dyDescent="0.3">
      <c r="A464" s="14" t="s">
        <v>517</v>
      </c>
      <c r="B464" s="6">
        <v>45408</v>
      </c>
      <c r="C464" s="10" t="s">
        <v>65</v>
      </c>
      <c r="D464" s="5">
        <v>2024</v>
      </c>
      <c r="E464" s="9" t="s">
        <v>606</v>
      </c>
      <c r="F464" s="9" t="s">
        <v>40</v>
      </c>
      <c r="G464" s="9" t="s">
        <v>609</v>
      </c>
      <c r="H464" s="9" t="s">
        <v>624</v>
      </c>
      <c r="I464" s="9" t="s">
        <v>623</v>
      </c>
      <c r="J464" s="9" t="s">
        <v>615</v>
      </c>
      <c r="K464" s="9">
        <v>9</v>
      </c>
      <c r="L464" s="9">
        <v>8000</v>
      </c>
      <c r="M464" s="5">
        <v>72000</v>
      </c>
      <c r="N464" s="9">
        <v>61920</v>
      </c>
      <c r="O464" s="9">
        <v>10080</v>
      </c>
      <c r="P464" s="17">
        <v>0.14000000000000001</v>
      </c>
    </row>
    <row r="465" spans="1:16" ht="15.75" thickBot="1" x14ac:dyDescent="0.3">
      <c r="A465" s="13" t="s">
        <v>518</v>
      </c>
      <c r="B465" s="6">
        <v>45548</v>
      </c>
      <c r="C465" s="8" t="s">
        <v>62</v>
      </c>
      <c r="D465" s="5">
        <v>2024</v>
      </c>
      <c r="E465" s="7" t="s">
        <v>594</v>
      </c>
      <c r="F465" s="7" t="s">
        <v>39</v>
      </c>
      <c r="G465" s="7" t="s">
        <v>608</v>
      </c>
      <c r="H465" s="7" t="s">
        <v>613</v>
      </c>
      <c r="I465" s="9" t="s">
        <v>645</v>
      </c>
      <c r="J465" s="7" t="s">
        <v>618</v>
      </c>
      <c r="K465" s="7">
        <v>9</v>
      </c>
      <c r="L465" s="7">
        <v>45000</v>
      </c>
      <c r="M465" s="5">
        <v>405000</v>
      </c>
      <c r="N465" s="7">
        <v>275400</v>
      </c>
      <c r="O465" s="7">
        <v>129600</v>
      </c>
      <c r="P465" s="16">
        <v>0.32</v>
      </c>
    </row>
    <row r="466" spans="1:16" ht="15.75" thickBot="1" x14ac:dyDescent="0.3">
      <c r="A466" s="14" t="s">
        <v>519</v>
      </c>
      <c r="B466" s="6">
        <v>45639</v>
      </c>
      <c r="C466" s="10" t="s">
        <v>65</v>
      </c>
      <c r="D466" s="5">
        <v>2024</v>
      </c>
      <c r="E466" s="9" t="s">
        <v>607</v>
      </c>
      <c r="F466" s="9" t="s">
        <v>42</v>
      </c>
      <c r="G466" s="9" t="s">
        <v>609</v>
      </c>
      <c r="H466" s="9" t="s">
        <v>629</v>
      </c>
      <c r="I466" s="9" t="s">
        <v>623</v>
      </c>
      <c r="J466" s="9" t="s">
        <v>615</v>
      </c>
      <c r="K466" s="9">
        <v>7</v>
      </c>
      <c r="L466" s="9">
        <v>1200</v>
      </c>
      <c r="M466" s="5">
        <v>8400</v>
      </c>
      <c r="N466" s="9">
        <v>6972</v>
      </c>
      <c r="O466" s="9">
        <v>1428</v>
      </c>
      <c r="P466" s="17">
        <v>0.17</v>
      </c>
    </row>
    <row r="467" spans="1:16" ht="15.75" thickBot="1" x14ac:dyDescent="0.3">
      <c r="A467" s="13" t="s">
        <v>520</v>
      </c>
      <c r="B467" s="6">
        <v>45578</v>
      </c>
      <c r="C467" s="8" t="s">
        <v>53</v>
      </c>
      <c r="D467" s="5">
        <v>2024</v>
      </c>
      <c r="E467" s="7" t="s">
        <v>607</v>
      </c>
      <c r="F467" s="7" t="s">
        <v>42</v>
      </c>
      <c r="G467" s="7" t="s">
        <v>612</v>
      </c>
      <c r="H467" s="7" t="s">
        <v>625</v>
      </c>
      <c r="I467" s="9" t="s">
        <v>645</v>
      </c>
      <c r="J467" s="7" t="s">
        <v>618</v>
      </c>
      <c r="K467" s="7">
        <v>17</v>
      </c>
      <c r="L467" s="7">
        <v>300</v>
      </c>
      <c r="M467" s="5">
        <v>5100</v>
      </c>
      <c r="N467" s="7">
        <v>3723</v>
      </c>
      <c r="O467" s="7">
        <v>1377</v>
      </c>
      <c r="P467" s="16">
        <v>0.27</v>
      </c>
    </row>
    <row r="468" spans="1:16" ht="15.75" thickBot="1" x14ac:dyDescent="0.3">
      <c r="A468" s="14" t="s">
        <v>521</v>
      </c>
      <c r="B468" s="6">
        <v>45584</v>
      </c>
      <c r="C468" s="10" t="s">
        <v>53</v>
      </c>
      <c r="D468" s="5">
        <v>2024</v>
      </c>
      <c r="E468" s="9" t="s">
        <v>603</v>
      </c>
      <c r="F468" s="9" t="s">
        <v>42</v>
      </c>
      <c r="G468" s="9" t="s">
        <v>608</v>
      </c>
      <c r="H468" s="9" t="s">
        <v>629</v>
      </c>
      <c r="I468" s="9" t="s">
        <v>627</v>
      </c>
      <c r="J468" s="9" t="s">
        <v>615</v>
      </c>
      <c r="K468" s="9">
        <v>13</v>
      </c>
      <c r="L468" s="9">
        <v>4000</v>
      </c>
      <c r="M468" s="5">
        <v>52000</v>
      </c>
      <c r="N468" s="9">
        <v>45760</v>
      </c>
      <c r="O468" s="9">
        <v>6240</v>
      </c>
      <c r="P468" s="17">
        <v>0.12</v>
      </c>
    </row>
    <row r="469" spans="1:16" ht="15.75" thickBot="1" x14ac:dyDescent="0.3">
      <c r="A469" s="13" t="s">
        <v>522</v>
      </c>
      <c r="B469" s="6">
        <v>45488</v>
      </c>
      <c r="C469" s="8" t="s">
        <v>48</v>
      </c>
      <c r="D469" s="5">
        <v>2024</v>
      </c>
      <c r="E469" s="7" t="s">
        <v>606</v>
      </c>
      <c r="F469" s="7" t="s">
        <v>40</v>
      </c>
      <c r="G469" s="7" t="s">
        <v>612</v>
      </c>
      <c r="H469" s="7" t="s">
        <v>621</v>
      </c>
      <c r="I469" s="7" t="s">
        <v>619</v>
      </c>
      <c r="J469" s="7" t="s">
        <v>618</v>
      </c>
      <c r="K469" s="7">
        <v>15</v>
      </c>
      <c r="L469" s="7">
        <v>20</v>
      </c>
      <c r="M469" s="5">
        <v>300</v>
      </c>
      <c r="N469" s="7">
        <v>228</v>
      </c>
      <c r="O469" s="7">
        <v>72</v>
      </c>
      <c r="P469" s="16">
        <v>0.24</v>
      </c>
    </row>
    <row r="470" spans="1:16" ht="15.75" thickBot="1" x14ac:dyDescent="0.3">
      <c r="A470" s="14" t="s">
        <v>523</v>
      </c>
      <c r="B470" s="6">
        <v>45500</v>
      </c>
      <c r="C470" s="10" t="s">
        <v>50</v>
      </c>
      <c r="D470" s="5">
        <v>2024</v>
      </c>
      <c r="E470" s="9" t="s">
        <v>598</v>
      </c>
      <c r="F470" s="9" t="s">
        <v>40</v>
      </c>
      <c r="G470" s="9" t="s">
        <v>608</v>
      </c>
      <c r="H470" s="9" t="s">
        <v>625</v>
      </c>
      <c r="I470" s="9" t="s">
        <v>627</v>
      </c>
      <c r="J470" s="9" t="s">
        <v>615</v>
      </c>
      <c r="K470" s="9">
        <v>13</v>
      </c>
      <c r="L470" s="9">
        <v>700</v>
      </c>
      <c r="M470" s="5">
        <v>9100</v>
      </c>
      <c r="N470" s="9">
        <v>7007</v>
      </c>
      <c r="O470" s="9">
        <v>2093</v>
      </c>
      <c r="P470" s="17">
        <v>0.23</v>
      </c>
    </row>
    <row r="471" spans="1:16" ht="15.75" thickBot="1" x14ac:dyDescent="0.3">
      <c r="A471" s="13" t="s">
        <v>524</v>
      </c>
      <c r="B471" s="6">
        <v>45459</v>
      </c>
      <c r="C471" s="8" t="s">
        <v>80</v>
      </c>
      <c r="D471" s="5">
        <v>2024</v>
      </c>
      <c r="E471" s="7" t="s">
        <v>604</v>
      </c>
      <c r="F471" s="7" t="s">
        <v>41</v>
      </c>
      <c r="G471" s="7" t="s">
        <v>612</v>
      </c>
      <c r="H471" s="7" t="s">
        <v>620</v>
      </c>
      <c r="I471" s="7" t="s">
        <v>623</v>
      </c>
      <c r="J471" s="7" t="s">
        <v>618</v>
      </c>
      <c r="K471" s="7">
        <v>13</v>
      </c>
      <c r="L471" s="7">
        <v>12000</v>
      </c>
      <c r="M471" s="5">
        <v>156000</v>
      </c>
      <c r="N471" s="7">
        <v>95160</v>
      </c>
      <c r="O471" s="7">
        <v>60840</v>
      </c>
      <c r="P471" s="16">
        <v>0.39</v>
      </c>
    </row>
    <row r="472" spans="1:16" ht="15.75" thickBot="1" x14ac:dyDescent="0.3">
      <c r="A472" s="14" t="s">
        <v>525</v>
      </c>
      <c r="B472" s="6">
        <v>45292</v>
      </c>
      <c r="C472" s="10" t="s">
        <v>50</v>
      </c>
      <c r="D472" s="5">
        <v>2024</v>
      </c>
      <c r="E472" s="9" t="s">
        <v>605</v>
      </c>
      <c r="F472" s="9" t="s">
        <v>40</v>
      </c>
      <c r="G472" s="9" t="s">
        <v>609</v>
      </c>
      <c r="H472" s="9" t="s">
        <v>628</v>
      </c>
      <c r="I472" s="9" t="s">
        <v>619</v>
      </c>
      <c r="J472" s="9" t="s">
        <v>615</v>
      </c>
      <c r="K472" s="9">
        <v>4</v>
      </c>
      <c r="L472" s="9">
        <v>300</v>
      </c>
      <c r="M472" s="5">
        <v>1200</v>
      </c>
      <c r="N472" s="9">
        <v>768</v>
      </c>
      <c r="O472" s="9">
        <v>432</v>
      </c>
      <c r="P472" s="17">
        <v>0.36</v>
      </c>
    </row>
    <row r="473" spans="1:16" ht="15.75" thickBot="1" x14ac:dyDescent="0.3">
      <c r="A473" s="13" t="s">
        <v>526</v>
      </c>
      <c r="B473" s="6">
        <v>45360</v>
      </c>
      <c r="C473" s="8" t="s">
        <v>57</v>
      </c>
      <c r="D473" s="5">
        <v>2024</v>
      </c>
      <c r="E473" s="7" t="s">
        <v>606</v>
      </c>
      <c r="F473" s="7" t="s">
        <v>40</v>
      </c>
      <c r="G473" s="7" t="s">
        <v>612</v>
      </c>
      <c r="H473" s="7" t="s">
        <v>625</v>
      </c>
      <c r="I473" s="7" t="s">
        <v>627</v>
      </c>
      <c r="J473" s="7" t="s">
        <v>615</v>
      </c>
      <c r="K473" s="7">
        <v>8</v>
      </c>
      <c r="L473" s="7">
        <v>15000</v>
      </c>
      <c r="M473" s="5">
        <v>120000</v>
      </c>
      <c r="N473" s="7">
        <v>108000</v>
      </c>
      <c r="O473" s="7">
        <v>12000</v>
      </c>
      <c r="P473" s="16">
        <v>0.1</v>
      </c>
    </row>
    <row r="474" spans="1:16" ht="15.75" thickBot="1" x14ac:dyDescent="0.3">
      <c r="A474" s="14" t="s">
        <v>527</v>
      </c>
      <c r="B474" s="6">
        <v>45631</v>
      </c>
      <c r="C474" s="10" t="s">
        <v>83</v>
      </c>
      <c r="D474" s="5">
        <v>2024</v>
      </c>
      <c r="E474" s="9" t="s">
        <v>605</v>
      </c>
      <c r="F474" s="9" t="s">
        <v>40</v>
      </c>
      <c r="G474" s="9" t="s">
        <v>608</v>
      </c>
      <c r="H474" s="9" t="s">
        <v>616</v>
      </c>
      <c r="I474" s="9" t="s">
        <v>627</v>
      </c>
      <c r="J474" s="9" t="s">
        <v>618</v>
      </c>
      <c r="K474" s="9">
        <v>2</v>
      </c>
      <c r="L474" s="9">
        <v>3500</v>
      </c>
      <c r="M474" s="5">
        <v>7000</v>
      </c>
      <c r="N474" s="9">
        <v>5600</v>
      </c>
      <c r="O474" s="9">
        <v>1400</v>
      </c>
      <c r="P474" s="17">
        <v>0.2</v>
      </c>
    </row>
    <row r="475" spans="1:16" ht="15.75" thickBot="1" x14ac:dyDescent="0.3">
      <c r="A475" s="13" t="s">
        <v>528</v>
      </c>
      <c r="B475" s="6">
        <v>45643</v>
      </c>
      <c r="C475" s="8" t="s">
        <v>62</v>
      </c>
      <c r="D475" s="5">
        <v>2024</v>
      </c>
      <c r="E475" s="7" t="s">
        <v>593</v>
      </c>
      <c r="F475" s="7" t="s">
        <v>41</v>
      </c>
      <c r="G475" s="7" t="s">
        <v>611</v>
      </c>
      <c r="H475" s="7" t="s">
        <v>616</v>
      </c>
      <c r="I475" s="9" t="s">
        <v>645</v>
      </c>
      <c r="J475" s="7" t="s">
        <v>618</v>
      </c>
      <c r="K475" s="7">
        <v>15</v>
      </c>
      <c r="L475" s="7">
        <v>12000</v>
      </c>
      <c r="M475" s="5">
        <v>180000</v>
      </c>
      <c r="N475" s="7">
        <v>115200</v>
      </c>
      <c r="O475" s="7">
        <v>64800</v>
      </c>
      <c r="P475" s="16">
        <v>0.36</v>
      </c>
    </row>
    <row r="476" spans="1:16" ht="15.75" thickBot="1" x14ac:dyDescent="0.3">
      <c r="A476" s="14" t="s">
        <v>529</v>
      </c>
      <c r="B476" s="6">
        <v>45569</v>
      </c>
      <c r="C476" s="10" t="s">
        <v>46</v>
      </c>
      <c r="D476" s="5">
        <v>2024</v>
      </c>
      <c r="E476" s="9" t="s">
        <v>593</v>
      </c>
      <c r="F476" s="9" t="s">
        <v>41</v>
      </c>
      <c r="G476" s="9" t="s">
        <v>612</v>
      </c>
      <c r="H476" s="9" t="s">
        <v>616</v>
      </c>
      <c r="I476" s="9" t="s">
        <v>645</v>
      </c>
      <c r="J476" s="9" t="s">
        <v>618</v>
      </c>
      <c r="K476" s="9">
        <v>13</v>
      </c>
      <c r="L476" s="9">
        <v>1200</v>
      </c>
      <c r="M476" s="5">
        <v>15600</v>
      </c>
      <c r="N476" s="9">
        <v>13416</v>
      </c>
      <c r="O476" s="9">
        <v>2184</v>
      </c>
      <c r="P476" s="17">
        <v>0.14000000000000001</v>
      </c>
    </row>
    <row r="477" spans="1:16" ht="15.75" thickBot="1" x14ac:dyDescent="0.3">
      <c r="A477" s="13" t="s">
        <v>530</v>
      </c>
      <c r="B477" s="6">
        <v>45534</v>
      </c>
      <c r="C477" s="8" t="s">
        <v>53</v>
      </c>
      <c r="D477" s="5">
        <v>2024</v>
      </c>
      <c r="E477" s="7" t="s">
        <v>595</v>
      </c>
      <c r="F477" s="7" t="s">
        <v>39</v>
      </c>
      <c r="G477" s="7" t="s">
        <v>612</v>
      </c>
      <c r="H477" s="7" t="s">
        <v>613</v>
      </c>
      <c r="I477" s="7" t="s">
        <v>623</v>
      </c>
      <c r="J477" s="7" t="s">
        <v>618</v>
      </c>
      <c r="K477" s="7">
        <v>18</v>
      </c>
      <c r="L477" s="7">
        <v>50</v>
      </c>
      <c r="M477" s="5">
        <v>900</v>
      </c>
      <c r="N477" s="7">
        <v>594</v>
      </c>
      <c r="O477" s="7">
        <v>306</v>
      </c>
      <c r="P477" s="16">
        <v>0.34</v>
      </c>
    </row>
    <row r="478" spans="1:16" ht="15.75" thickBot="1" x14ac:dyDescent="0.3">
      <c r="A478" s="14" t="s">
        <v>531</v>
      </c>
      <c r="B478" s="6">
        <v>45363</v>
      </c>
      <c r="C478" s="10" t="s">
        <v>55</v>
      </c>
      <c r="D478" s="5">
        <v>2024</v>
      </c>
      <c r="E478" s="9" t="s">
        <v>603</v>
      </c>
      <c r="F478" s="9" t="s">
        <v>42</v>
      </c>
      <c r="G478" s="9" t="s">
        <v>612</v>
      </c>
      <c r="H478" s="9" t="s">
        <v>613</v>
      </c>
      <c r="I478" s="9" t="s">
        <v>614</v>
      </c>
      <c r="J478" s="9" t="s">
        <v>615</v>
      </c>
      <c r="K478" s="9">
        <v>9</v>
      </c>
      <c r="L478" s="9">
        <v>700</v>
      </c>
      <c r="M478" s="5">
        <v>6300</v>
      </c>
      <c r="N478" s="9">
        <v>5103</v>
      </c>
      <c r="O478" s="9">
        <v>1197</v>
      </c>
      <c r="P478" s="17">
        <v>0.19</v>
      </c>
    </row>
    <row r="479" spans="1:16" ht="15.75" thickBot="1" x14ac:dyDescent="0.3">
      <c r="A479" s="13" t="s">
        <v>532</v>
      </c>
      <c r="B479" s="6">
        <v>45523</v>
      </c>
      <c r="C479" s="8" t="s">
        <v>55</v>
      </c>
      <c r="D479" s="5">
        <v>2024</v>
      </c>
      <c r="E479" s="7" t="s">
        <v>601</v>
      </c>
      <c r="F479" s="7" t="s">
        <v>41</v>
      </c>
      <c r="G479" s="7" t="s">
        <v>612</v>
      </c>
      <c r="H479" s="7" t="s">
        <v>628</v>
      </c>
      <c r="I479" s="7" t="s">
        <v>619</v>
      </c>
      <c r="J479" s="7" t="s">
        <v>618</v>
      </c>
      <c r="K479" s="7">
        <v>5</v>
      </c>
      <c r="L479" s="7">
        <v>4000</v>
      </c>
      <c r="M479" s="5">
        <v>20000</v>
      </c>
      <c r="N479" s="7">
        <v>13600</v>
      </c>
      <c r="O479" s="7">
        <v>6400</v>
      </c>
      <c r="P479" s="16">
        <v>0.32</v>
      </c>
    </row>
    <row r="480" spans="1:16" ht="15.75" thickBot="1" x14ac:dyDescent="0.3">
      <c r="A480" s="14" t="s">
        <v>533</v>
      </c>
      <c r="B480" s="6">
        <v>45391</v>
      </c>
      <c r="C480" s="10" t="s">
        <v>53</v>
      </c>
      <c r="D480" s="5">
        <v>2024</v>
      </c>
      <c r="E480" s="9" t="s">
        <v>592</v>
      </c>
      <c r="F480" s="9" t="s">
        <v>40</v>
      </c>
      <c r="G480" s="9" t="s">
        <v>611</v>
      </c>
      <c r="H480" s="9" t="s">
        <v>620</v>
      </c>
      <c r="I480" s="9" t="s">
        <v>627</v>
      </c>
      <c r="J480" s="9" t="s">
        <v>618</v>
      </c>
      <c r="K480" s="9">
        <v>12</v>
      </c>
      <c r="L480" s="9">
        <v>150</v>
      </c>
      <c r="M480" s="5">
        <v>1800</v>
      </c>
      <c r="N480" s="9">
        <v>1206</v>
      </c>
      <c r="O480" s="9">
        <v>594</v>
      </c>
      <c r="P480" s="17">
        <v>0.33</v>
      </c>
    </row>
    <row r="481" spans="1:16" ht="15.75" thickBot="1" x14ac:dyDescent="0.3">
      <c r="A481" s="13" t="s">
        <v>534</v>
      </c>
      <c r="B481" s="6">
        <v>45507</v>
      </c>
      <c r="C481" s="8" t="s">
        <v>59</v>
      </c>
      <c r="D481" s="5">
        <v>2024</v>
      </c>
      <c r="E481" s="7" t="s">
        <v>595</v>
      </c>
      <c r="F481" s="7" t="s">
        <v>39</v>
      </c>
      <c r="G481" s="7" t="s">
        <v>609</v>
      </c>
      <c r="H481" s="7" t="s">
        <v>629</v>
      </c>
      <c r="I481" s="9" t="s">
        <v>645</v>
      </c>
      <c r="J481" s="7" t="s">
        <v>615</v>
      </c>
      <c r="K481" s="7">
        <v>3</v>
      </c>
      <c r="L481" s="7">
        <v>7000</v>
      </c>
      <c r="M481" s="5">
        <v>21000</v>
      </c>
      <c r="N481" s="7">
        <v>15750</v>
      </c>
      <c r="O481" s="7">
        <v>5250</v>
      </c>
      <c r="P481" s="16">
        <v>0.25</v>
      </c>
    </row>
    <row r="482" spans="1:16" ht="15.75" thickBot="1" x14ac:dyDescent="0.3">
      <c r="A482" s="14" t="s">
        <v>535</v>
      </c>
      <c r="B482" s="6">
        <v>45396</v>
      </c>
      <c r="C482" s="10" t="s">
        <v>83</v>
      </c>
      <c r="D482" s="5">
        <v>2024</v>
      </c>
      <c r="E482" s="9" t="s">
        <v>602</v>
      </c>
      <c r="F482" s="9" t="s">
        <v>42</v>
      </c>
      <c r="G482" s="9" t="s">
        <v>610</v>
      </c>
      <c r="H482" s="9" t="s">
        <v>624</v>
      </c>
      <c r="I482" s="9" t="s">
        <v>617</v>
      </c>
      <c r="J482" s="9" t="s">
        <v>615</v>
      </c>
      <c r="K482" s="9">
        <v>14</v>
      </c>
      <c r="L482" s="9">
        <v>55000</v>
      </c>
      <c r="M482" s="5">
        <v>770000</v>
      </c>
      <c r="N482" s="9">
        <v>654500</v>
      </c>
      <c r="O482" s="9">
        <v>115500</v>
      </c>
      <c r="P482" s="17">
        <v>0.15</v>
      </c>
    </row>
    <row r="483" spans="1:16" ht="15.75" thickBot="1" x14ac:dyDescent="0.3">
      <c r="A483" s="13" t="s">
        <v>536</v>
      </c>
      <c r="B483" s="6">
        <v>45330</v>
      </c>
      <c r="C483" s="8" t="s">
        <v>55</v>
      </c>
      <c r="D483" s="5">
        <v>2024</v>
      </c>
      <c r="E483" s="7" t="s">
        <v>599</v>
      </c>
      <c r="F483" s="7" t="s">
        <v>39</v>
      </c>
      <c r="G483" s="7" t="s">
        <v>609</v>
      </c>
      <c r="H483" s="7" t="s">
        <v>628</v>
      </c>
      <c r="I483" s="9" t="s">
        <v>645</v>
      </c>
      <c r="J483" s="7" t="s">
        <v>615</v>
      </c>
      <c r="K483" s="7">
        <v>20</v>
      </c>
      <c r="L483" s="7">
        <v>4000</v>
      </c>
      <c r="M483" s="5">
        <v>80000</v>
      </c>
      <c r="N483" s="7">
        <v>66400</v>
      </c>
      <c r="O483" s="7">
        <v>13600</v>
      </c>
      <c r="P483" s="16">
        <v>0.17</v>
      </c>
    </row>
    <row r="484" spans="1:16" ht="15.75" thickBot="1" x14ac:dyDescent="0.3">
      <c r="A484" s="14" t="s">
        <v>537</v>
      </c>
      <c r="B484" s="6">
        <v>45394</v>
      </c>
      <c r="C484" s="10" t="s">
        <v>48</v>
      </c>
      <c r="D484" s="5">
        <v>2024</v>
      </c>
      <c r="E484" s="9" t="s">
        <v>603</v>
      </c>
      <c r="F484" s="9" t="s">
        <v>42</v>
      </c>
      <c r="G484" s="9" t="s">
        <v>611</v>
      </c>
      <c r="H484" s="9" t="s">
        <v>625</v>
      </c>
      <c r="I484" s="9" t="s">
        <v>617</v>
      </c>
      <c r="J484" s="9" t="s">
        <v>615</v>
      </c>
      <c r="K484" s="9">
        <v>11</v>
      </c>
      <c r="L484" s="9">
        <v>1200</v>
      </c>
      <c r="M484" s="5">
        <v>13200</v>
      </c>
      <c r="N484" s="9">
        <v>9636</v>
      </c>
      <c r="O484" s="9">
        <v>3564</v>
      </c>
      <c r="P484" s="17">
        <v>0.27</v>
      </c>
    </row>
    <row r="485" spans="1:16" ht="15.75" thickBot="1" x14ac:dyDescent="0.3">
      <c r="A485" s="13" t="s">
        <v>538</v>
      </c>
      <c r="B485" s="6">
        <v>45642</v>
      </c>
      <c r="C485" s="8" t="s">
        <v>57</v>
      </c>
      <c r="D485" s="5">
        <v>2024</v>
      </c>
      <c r="E485" s="7" t="s">
        <v>607</v>
      </c>
      <c r="F485" s="7" t="s">
        <v>42</v>
      </c>
      <c r="G485" s="7" t="s">
        <v>611</v>
      </c>
      <c r="H485" s="7" t="s">
        <v>620</v>
      </c>
      <c r="I485" s="7" t="s">
        <v>614</v>
      </c>
      <c r="J485" s="7" t="s">
        <v>615</v>
      </c>
      <c r="K485" s="7">
        <v>12</v>
      </c>
      <c r="L485" s="7">
        <v>55000</v>
      </c>
      <c r="M485" s="5">
        <v>660000</v>
      </c>
      <c r="N485" s="7">
        <v>448800</v>
      </c>
      <c r="O485" s="7">
        <v>211200</v>
      </c>
      <c r="P485" s="16">
        <v>0.32</v>
      </c>
    </row>
    <row r="486" spans="1:16" ht="15.75" thickBot="1" x14ac:dyDescent="0.3">
      <c r="A486" s="14" t="s">
        <v>539</v>
      </c>
      <c r="B486" s="6">
        <v>45392</v>
      </c>
      <c r="C486" s="10" t="s">
        <v>48</v>
      </c>
      <c r="D486" s="5">
        <v>2024</v>
      </c>
      <c r="E486" s="9" t="s">
        <v>598</v>
      </c>
      <c r="F486" s="9" t="s">
        <v>40</v>
      </c>
      <c r="G486" s="9" t="s">
        <v>612</v>
      </c>
      <c r="H486" s="9" t="s">
        <v>616</v>
      </c>
      <c r="I486" s="9" t="s">
        <v>617</v>
      </c>
      <c r="J486" s="9" t="s">
        <v>615</v>
      </c>
      <c r="K486" s="9">
        <v>19</v>
      </c>
      <c r="L486" s="9">
        <v>8000</v>
      </c>
      <c r="M486" s="5">
        <v>152000</v>
      </c>
      <c r="N486" s="9">
        <v>120080</v>
      </c>
      <c r="O486" s="9">
        <v>31920</v>
      </c>
      <c r="P486" s="17">
        <v>0.21</v>
      </c>
    </row>
    <row r="487" spans="1:16" ht="15.75" thickBot="1" x14ac:dyDescent="0.3">
      <c r="A487" s="13" t="s">
        <v>540</v>
      </c>
      <c r="B487" s="6">
        <v>45393</v>
      </c>
      <c r="C487" s="8" t="s">
        <v>80</v>
      </c>
      <c r="D487" s="5">
        <v>2024</v>
      </c>
      <c r="E487" s="7" t="s">
        <v>602</v>
      </c>
      <c r="F487" s="7" t="s">
        <v>42</v>
      </c>
      <c r="G487" s="7" t="s">
        <v>611</v>
      </c>
      <c r="H487" s="7" t="s">
        <v>624</v>
      </c>
      <c r="I487" s="9" t="s">
        <v>645</v>
      </c>
      <c r="J487" s="7" t="s">
        <v>618</v>
      </c>
      <c r="K487" s="7">
        <v>13</v>
      </c>
      <c r="L487" s="7">
        <v>55000</v>
      </c>
      <c r="M487" s="5">
        <v>715000</v>
      </c>
      <c r="N487" s="7">
        <v>457600</v>
      </c>
      <c r="O487" s="7">
        <v>257400</v>
      </c>
      <c r="P487" s="16">
        <v>0.36</v>
      </c>
    </row>
    <row r="488" spans="1:16" ht="15.75" thickBot="1" x14ac:dyDescent="0.3">
      <c r="A488" s="14" t="s">
        <v>541</v>
      </c>
      <c r="B488" s="6">
        <v>45452</v>
      </c>
      <c r="C488" s="10" t="s">
        <v>44</v>
      </c>
      <c r="D488" s="5">
        <v>2024</v>
      </c>
      <c r="E488" s="9" t="s">
        <v>603</v>
      </c>
      <c r="F488" s="9" t="s">
        <v>42</v>
      </c>
      <c r="G488" s="9" t="s">
        <v>611</v>
      </c>
      <c r="H488" s="9" t="s">
        <v>622</v>
      </c>
      <c r="I488" s="9" t="s">
        <v>619</v>
      </c>
      <c r="J488" s="9" t="s">
        <v>618</v>
      </c>
      <c r="K488" s="9">
        <v>15</v>
      </c>
      <c r="L488" s="9">
        <v>700</v>
      </c>
      <c r="M488" s="5">
        <v>10500</v>
      </c>
      <c r="N488" s="9">
        <v>8820</v>
      </c>
      <c r="O488" s="9">
        <v>1680</v>
      </c>
      <c r="P488" s="17">
        <v>0.16</v>
      </c>
    </row>
    <row r="489" spans="1:16" ht="15.75" thickBot="1" x14ac:dyDescent="0.3">
      <c r="A489" s="13" t="s">
        <v>542</v>
      </c>
      <c r="B489" s="6">
        <v>45311</v>
      </c>
      <c r="C489" s="8" t="s">
        <v>80</v>
      </c>
      <c r="D489" s="5">
        <v>2024</v>
      </c>
      <c r="E489" s="7" t="s">
        <v>598</v>
      </c>
      <c r="F489" s="7" t="s">
        <v>40</v>
      </c>
      <c r="G489" s="7" t="s">
        <v>610</v>
      </c>
      <c r="H489" s="7" t="s">
        <v>625</v>
      </c>
      <c r="I489" s="7" t="s">
        <v>630</v>
      </c>
      <c r="J489" s="7" t="s">
        <v>615</v>
      </c>
      <c r="K489" s="7">
        <v>13</v>
      </c>
      <c r="L489" s="7">
        <v>25000</v>
      </c>
      <c r="M489" s="5">
        <v>325000</v>
      </c>
      <c r="N489" s="7">
        <v>243750</v>
      </c>
      <c r="O489" s="7">
        <v>81250</v>
      </c>
      <c r="P489" s="16">
        <v>0.25</v>
      </c>
    </row>
    <row r="490" spans="1:16" ht="15.75" thickBot="1" x14ac:dyDescent="0.3">
      <c r="A490" s="14" t="s">
        <v>543</v>
      </c>
      <c r="B490" s="6">
        <v>45604</v>
      </c>
      <c r="C490" s="10" t="s">
        <v>62</v>
      </c>
      <c r="D490" s="5">
        <v>2024</v>
      </c>
      <c r="E490" s="9" t="s">
        <v>603</v>
      </c>
      <c r="F490" s="9" t="s">
        <v>42</v>
      </c>
      <c r="G490" s="9" t="s">
        <v>608</v>
      </c>
      <c r="H490" s="9" t="s">
        <v>626</v>
      </c>
      <c r="I490" s="9" t="s">
        <v>645</v>
      </c>
      <c r="J490" s="9" t="s">
        <v>615</v>
      </c>
      <c r="K490" s="9">
        <v>17</v>
      </c>
      <c r="L490" s="9">
        <v>8000</v>
      </c>
      <c r="M490" s="5">
        <v>136000</v>
      </c>
      <c r="N490" s="9">
        <v>97920</v>
      </c>
      <c r="O490" s="9">
        <v>38080</v>
      </c>
      <c r="P490" s="17">
        <v>0.28000000000000003</v>
      </c>
    </row>
    <row r="491" spans="1:16" ht="15.75" thickBot="1" x14ac:dyDescent="0.3">
      <c r="A491" s="13" t="s">
        <v>544</v>
      </c>
      <c r="B491" s="6">
        <v>45348</v>
      </c>
      <c r="C491" s="8" t="s">
        <v>65</v>
      </c>
      <c r="D491" s="5">
        <v>2024</v>
      </c>
      <c r="E491" s="7" t="s">
        <v>605</v>
      </c>
      <c r="F491" s="7" t="s">
        <v>40</v>
      </c>
      <c r="G491" s="7" t="s">
        <v>610</v>
      </c>
      <c r="H491" s="7" t="s">
        <v>628</v>
      </c>
      <c r="I491" s="9" t="s">
        <v>645</v>
      </c>
      <c r="J491" s="7" t="s">
        <v>618</v>
      </c>
      <c r="K491" s="7">
        <v>8</v>
      </c>
      <c r="L491" s="7">
        <v>20</v>
      </c>
      <c r="M491" s="5">
        <v>160</v>
      </c>
      <c r="N491" s="7">
        <v>132.80000000000001</v>
      </c>
      <c r="O491" s="7">
        <v>27.199999999999989</v>
      </c>
      <c r="P491" s="16">
        <v>0.16999999999999993</v>
      </c>
    </row>
    <row r="492" spans="1:16" ht="15.75" thickBot="1" x14ac:dyDescent="0.3">
      <c r="A492" s="14" t="s">
        <v>545</v>
      </c>
      <c r="B492" s="6">
        <v>45478</v>
      </c>
      <c r="C492" s="10" t="s">
        <v>57</v>
      </c>
      <c r="D492" s="5">
        <v>2024</v>
      </c>
      <c r="E492" s="9" t="s">
        <v>605</v>
      </c>
      <c r="F492" s="9" t="s">
        <v>40</v>
      </c>
      <c r="G492" s="9" t="s">
        <v>608</v>
      </c>
      <c r="H492" s="9" t="s">
        <v>626</v>
      </c>
      <c r="I492" s="9" t="s">
        <v>623</v>
      </c>
      <c r="J492" s="9" t="s">
        <v>615</v>
      </c>
      <c r="K492" s="9">
        <v>11</v>
      </c>
      <c r="L492" s="9">
        <v>8000</v>
      </c>
      <c r="M492" s="5">
        <v>88000</v>
      </c>
      <c r="N492" s="9">
        <v>56320</v>
      </c>
      <c r="O492" s="9">
        <v>31680</v>
      </c>
      <c r="P492" s="17">
        <v>0.36</v>
      </c>
    </row>
    <row r="493" spans="1:16" ht="15.75" thickBot="1" x14ac:dyDescent="0.3">
      <c r="A493" s="13" t="s">
        <v>546</v>
      </c>
      <c r="B493" s="6">
        <v>45312</v>
      </c>
      <c r="C493" s="8" t="s">
        <v>44</v>
      </c>
      <c r="D493" s="5">
        <v>2024</v>
      </c>
      <c r="E493" s="7" t="s">
        <v>601</v>
      </c>
      <c r="F493" s="7" t="s">
        <v>41</v>
      </c>
      <c r="G493" s="7" t="s">
        <v>610</v>
      </c>
      <c r="H493" s="7" t="s">
        <v>629</v>
      </c>
      <c r="I493" s="7" t="s">
        <v>627</v>
      </c>
      <c r="J493" s="7" t="s">
        <v>615</v>
      </c>
      <c r="K493" s="7">
        <v>20</v>
      </c>
      <c r="L493" s="7">
        <v>20</v>
      </c>
      <c r="M493" s="5">
        <v>400</v>
      </c>
      <c r="N493" s="7">
        <v>276</v>
      </c>
      <c r="O493" s="7">
        <v>124</v>
      </c>
      <c r="P493" s="16">
        <v>0.31</v>
      </c>
    </row>
    <row r="494" spans="1:16" ht="15.75" thickBot="1" x14ac:dyDescent="0.3">
      <c r="A494" s="14" t="s">
        <v>547</v>
      </c>
      <c r="B494" s="6">
        <v>45656</v>
      </c>
      <c r="C494" s="10" t="s">
        <v>83</v>
      </c>
      <c r="D494" s="5">
        <v>2024</v>
      </c>
      <c r="E494" s="9" t="s">
        <v>597</v>
      </c>
      <c r="F494" s="9" t="s">
        <v>41</v>
      </c>
      <c r="G494" s="9" t="s">
        <v>611</v>
      </c>
      <c r="H494" s="9" t="s">
        <v>624</v>
      </c>
      <c r="I494" s="9" t="s">
        <v>645</v>
      </c>
      <c r="J494" s="9" t="s">
        <v>618</v>
      </c>
      <c r="K494" s="9">
        <v>12</v>
      </c>
      <c r="L494" s="9">
        <v>4000</v>
      </c>
      <c r="M494" s="5">
        <v>48000</v>
      </c>
      <c r="N494" s="9">
        <v>34560</v>
      </c>
      <c r="O494" s="9">
        <v>13440</v>
      </c>
      <c r="P494" s="17">
        <v>0.28000000000000003</v>
      </c>
    </row>
    <row r="495" spans="1:16" ht="15.75" thickBot="1" x14ac:dyDescent="0.3">
      <c r="A495" s="13" t="s">
        <v>548</v>
      </c>
      <c r="B495" s="6">
        <v>45551</v>
      </c>
      <c r="C495" s="8" t="s">
        <v>57</v>
      </c>
      <c r="D495" s="5">
        <v>2024</v>
      </c>
      <c r="E495" s="7" t="s">
        <v>593</v>
      </c>
      <c r="F495" s="7" t="s">
        <v>41</v>
      </c>
      <c r="G495" s="7" t="s">
        <v>611</v>
      </c>
      <c r="H495" s="7" t="s">
        <v>622</v>
      </c>
      <c r="I495" s="9" t="s">
        <v>645</v>
      </c>
      <c r="J495" s="7" t="s">
        <v>618</v>
      </c>
      <c r="K495" s="7">
        <v>18</v>
      </c>
      <c r="L495" s="7">
        <v>8000</v>
      </c>
      <c r="M495" s="5">
        <v>144000</v>
      </c>
      <c r="N495" s="7">
        <v>99360</v>
      </c>
      <c r="O495" s="7">
        <v>44640</v>
      </c>
      <c r="P495" s="16">
        <v>0.31</v>
      </c>
    </row>
    <row r="496" spans="1:16" ht="15.75" thickBot="1" x14ac:dyDescent="0.3">
      <c r="A496" s="14" t="s">
        <v>549</v>
      </c>
      <c r="B496" s="6">
        <v>45336</v>
      </c>
      <c r="C496" s="10" t="s">
        <v>80</v>
      </c>
      <c r="D496" s="5">
        <v>2024</v>
      </c>
      <c r="E496" s="9" t="s">
        <v>599</v>
      </c>
      <c r="F496" s="9" t="s">
        <v>39</v>
      </c>
      <c r="G496" s="9" t="s">
        <v>612</v>
      </c>
      <c r="H496" s="9" t="s">
        <v>625</v>
      </c>
      <c r="I496" s="9" t="s">
        <v>645</v>
      </c>
      <c r="J496" s="9" t="s">
        <v>618</v>
      </c>
      <c r="K496" s="9">
        <v>9</v>
      </c>
      <c r="L496" s="9">
        <v>7000</v>
      </c>
      <c r="M496" s="5">
        <v>63000</v>
      </c>
      <c r="N496" s="9">
        <v>49140</v>
      </c>
      <c r="O496" s="9">
        <v>13860</v>
      </c>
      <c r="P496" s="17">
        <v>0.22</v>
      </c>
    </row>
    <row r="497" spans="1:16" ht="15.75" thickBot="1" x14ac:dyDescent="0.3">
      <c r="A497" s="13" t="s">
        <v>550</v>
      </c>
      <c r="B497" s="6">
        <v>45552</v>
      </c>
      <c r="C497" s="8" t="s">
        <v>83</v>
      </c>
      <c r="D497" s="5">
        <v>2024</v>
      </c>
      <c r="E497" s="7" t="s">
        <v>599</v>
      </c>
      <c r="F497" s="7" t="s">
        <v>39</v>
      </c>
      <c r="G497" s="7" t="s">
        <v>612</v>
      </c>
      <c r="H497" s="7" t="s">
        <v>622</v>
      </c>
      <c r="I497" s="7" t="s">
        <v>614</v>
      </c>
      <c r="J497" s="7" t="s">
        <v>615</v>
      </c>
      <c r="K497" s="7">
        <v>17</v>
      </c>
      <c r="L497" s="7">
        <v>55000</v>
      </c>
      <c r="M497" s="5">
        <v>935000</v>
      </c>
      <c r="N497" s="7">
        <v>673200</v>
      </c>
      <c r="O497" s="7">
        <v>261800</v>
      </c>
      <c r="P497" s="16">
        <v>0.28000000000000003</v>
      </c>
    </row>
    <row r="498" spans="1:16" ht="15.75" thickBot="1" x14ac:dyDescent="0.3">
      <c r="A498" s="14" t="s">
        <v>551</v>
      </c>
      <c r="B498" s="6">
        <v>45507</v>
      </c>
      <c r="C498" s="10" t="s">
        <v>83</v>
      </c>
      <c r="D498" s="5">
        <v>2024</v>
      </c>
      <c r="E498" s="9" t="s">
        <v>606</v>
      </c>
      <c r="F498" s="9" t="s">
        <v>40</v>
      </c>
      <c r="G498" s="9" t="s">
        <v>610</v>
      </c>
      <c r="H498" s="9" t="s">
        <v>624</v>
      </c>
      <c r="I498" s="9" t="s">
        <v>614</v>
      </c>
      <c r="J498" s="9" t="s">
        <v>618</v>
      </c>
      <c r="K498" s="9">
        <v>9</v>
      </c>
      <c r="L498" s="9">
        <v>55000</v>
      </c>
      <c r="M498" s="5">
        <v>495000</v>
      </c>
      <c r="N498" s="9">
        <v>297000</v>
      </c>
      <c r="O498" s="9">
        <v>198000</v>
      </c>
      <c r="P498" s="17">
        <v>0.4</v>
      </c>
    </row>
    <row r="499" spans="1:16" ht="15.75" thickBot="1" x14ac:dyDescent="0.3">
      <c r="A499" s="13" t="s">
        <v>552</v>
      </c>
      <c r="B499" s="6">
        <v>45379</v>
      </c>
      <c r="C499" s="8" t="s">
        <v>53</v>
      </c>
      <c r="D499" s="5">
        <v>2024</v>
      </c>
      <c r="E499" s="7" t="s">
        <v>592</v>
      </c>
      <c r="F499" s="7" t="s">
        <v>40</v>
      </c>
      <c r="G499" s="7" t="s">
        <v>611</v>
      </c>
      <c r="H499" s="7" t="s">
        <v>624</v>
      </c>
      <c r="I499" s="7" t="s">
        <v>617</v>
      </c>
      <c r="J499" s="7" t="s">
        <v>618</v>
      </c>
      <c r="K499" s="7">
        <v>2</v>
      </c>
      <c r="L499" s="7">
        <v>8000</v>
      </c>
      <c r="M499" s="5">
        <v>16000</v>
      </c>
      <c r="N499" s="7">
        <v>12480</v>
      </c>
      <c r="O499" s="7">
        <v>3520</v>
      </c>
      <c r="P499" s="16">
        <v>0.22</v>
      </c>
    </row>
    <row r="500" spans="1:16" ht="15.75" thickBot="1" x14ac:dyDescent="0.3">
      <c r="A500" s="14" t="s">
        <v>553</v>
      </c>
      <c r="B500" s="6">
        <v>45417</v>
      </c>
      <c r="C500" s="10" t="s">
        <v>48</v>
      </c>
      <c r="D500" s="5">
        <v>2024</v>
      </c>
      <c r="E500" s="9" t="s">
        <v>602</v>
      </c>
      <c r="F500" s="9" t="s">
        <v>42</v>
      </c>
      <c r="G500" s="9" t="s">
        <v>608</v>
      </c>
      <c r="H500" s="9" t="s">
        <v>625</v>
      </c>
      <c r="I500" s="9" t="s">
        <v>645</v>
      </c>
      <c r="J500" s="9" t="s">
        <v>618</v>
      </c>
      <c r="K500" s="9">
        <v>5</v>
      </c>
      <c r="L500" s="9">
        <v>9000</v>
      </c>
      <c r="M500" s="5">
        <v>45000</v>
      </c>
      <c r="N500" s="9">
        <v>30150</v>
      </c>
      <c r="O500" s="9">
        <v>14850</v>
      </c>
      <c r="P500" s="17">
        <v>0.33</v>
      </c>
    </row>
    <row r="501" spans="1:16" ht="15.75" thickBot="1" x14ac:dyDescent="0.3">
      <c r="A501" s="13" t="s">
        <v>554</v>
      </c>
      <c r="B501" s="6">
        <v>45441</v>
      </c>
      <c r="C501" s="8" t="s">
        <v>55</v>
      </c>
      <c r="D501" s="5">
        <v>2024</v>
      </c>
      <c r="E501" s="7" t="s">
        <v>598</v>
      </c>
      <c r="F501" s="7" t="s">
        <v>40</v>
      </c>
      <c r="G501" s="7" t="s">
        <v>611</v>
      </c>
      <c r="H501" s="7" t="s">
        <v>625</v>
      </c>
      <c r="I501" s="7" t="s">
        <v>617</v>
      </c>
      <c r="J501" s="7" t="s">
        <v>618</v>
      </c>
      <c r="K501" s="7">
        <v>1</v>
      </c>
      <c r="L501" s="7">
        <v>3500</v>
      </c>
      <c r="M501" s="5">
        <v>3500</v>
      </c>
      <c r="N501" s="7">
        <v>2380</v>
      </c>
      <c r="O501" s="7">
        <v>1120</v>
      </c>
      <c r="P501" s="16">
        <v>0.32</v>
      </c>
    </row>
    <row r="502" spans="1:16" ht="15.75" thickBot="1" x14ac:dyDescent="0.3">
      <c r="A502" s="14" t="s">
        <v>555</v>
      </c>
      <c r="B502" s="6">
        <v>45473</v>
      </c>
      <c r="C502" s="10" t="s">
        <v>83</v>
      </c>
      <c r="D502" s="5">
        <v>2024</v>
      </c>
      <c r="E502" s="9" t="s">
        <v>594</v>
      </c>
      <c r="F502" s="9" t="s">
        <v>39</v>
      </c>
      <c r="G502" s="9" t="s">
        <v>609</v>
      </c>
      <c r="H502" s="9" t="s">
        <v>616</v>
      </c>
      <c r="I502" s="9" t="s">
        <v>623</v>
      </c>
      <c r="J502" s="9" t="s">
        <v>618</v>
      </c>
      <c r="K502" s="9">
        <v>5</v>
      </c>
      <c r="L502" s="9">
        <v>3500</v>
      </c>
      <c r="M502" s="5">
        <v>17500</v>
      </c>
      <c r="N502" s="9">
        <v>15225</v>
      </c>
      <c r="O502" s="9">
        <v>2275</v>
      </c>
      <c r="P502" s="17">
        <v>0.13</v>
      </c>
    </row>
    <row r="503" spans="1:16" ht="15.75" thickBot="1" x14ac:dyDescent="0.3">
      <c r="A503" s="13" t="s">
        <v>556</v>
      </c>
      <c r="B503" s="6">
        <v>45534</v>
      </c>
      <c r="C503" s="8" t="s">
        <v>57</v>
      </c>
      <c r="D503" s="5">
        <v>2024</v>
      </c>
      <c r="E503" s="7" t="s">
        <v>592</v>
      </c>
      <c r="F503" s="7" t="s">
        <v>40</v>
      </c>
      <c r="G503" s="7" t="s">
        <v>609</v>
      </c>
      <c r="H503" s="7" t="s">
        <v>613</v>
      </c>
      <c r="I503" s="9" t="s">
        <v>645</v>
      </c>
      <c r="J503" s="7" t="s">
        <v>618</v>
      </c>
      <c r="K503" s="7">
        <v>10</v>
      </c>
      <c r="L503" s="7">
        <v>150</v>
      </c>
      <c r="M503" s="5">
        <v>1500</v>
      </c>
      <c r="N503" s="7">
        <v>1110</v>
      </c>
      <c r="O503" s="7">
        <v>390</v>
      </c>
      <c r="P503" s="16">
        <v>0.26</v>
      </c>
    </row>
    <row r="504" spans="1:16" ht="15.75" thickBot="1" x14ac:dyDescent="0.3">
      <c r="A504" s="14" t="s">
        <v>557</v>
      </c>
      <c r="B504" s="6">
        <v>45455</v>
      </c>
      <c r="C504" s="10" t="s">
        <v>65</v>
      </c>
      <c r="D504" s="5">
        <v>2024</v>
      </c>
      <c r="E504" s="9" t="s">
        <v>593</v>
      </c>
      <c r="F504" s="9" t="s">
        <v>41</v>
      </c>
      <c r="G504" s="9" t="s">
        <v>611</v>
      </c>
      <c r="H504" s="9" t="s">
        <v>626</v>
      </c>
      <c r="I504" s="9" t="s">
        <v>617</v>
      </c>
      <c r="J504" s="9" t="s">
        <v>615</v>
      </c>
      <c r="K504" s="9">
        <v>17</v>
      </c>
      <c r="L504" s="9">
        <v>3500</v>
      </c>
      <c r="M504" s="5">
        <v>59500</v>
      </c>
      <c r="N504" s="9">
        <v>47600</v>
      </c>
      <c r="O504" s="9">
        <v>11900</v>
      </c>
      <c r="P504" s="17">
        <v>0.2</v>
      </c>
    </row>
    <row r="505" spans="1:16" ht="15.75" thickBot="1" x14ac:dyDescent="0.3">
      <c r="A505" s="13" t="s">
        <v>558</v>
      </c>
      <c r="B505" s="6">
        <v>45451</v>
      </c>
      <c r="C505" s="8" t="s">
        <v>62</v>
      </c>
      <c r="D505" s="5">
        <v>2024</v>
      </c>
      <c r="E505" s="7" t="s">
        <v>599</v>
      </c>
      <c r="F505" s="7" t="s">
        <v>39</v>
      </c>
      <c r="G505" s="7" t="s">
        <v>612</v>
      </c>
      <c r="H505" s="7" t="s">
        <v>620</v>
      </c>
      <c r="I505" s="7" t="s">
        <v>614</v>
      </c>
      <c r="J505" s="7" t="s">
        <v>618</v>
      </c>
      <c r="K505" s="7">
        <v>4</v>
      </c>
      <c r="L505" s="7">
        <v>4000</v>
      </c>
      <c r="M505" s="5">
        <v>16000</v>
      </c>
      <c r="N505" s="7">
        <v>13120</v>
      </c>
      <c r="O505" s="7">
        <v>2880</v>
      </c>
      <c r="P505" s="16">
        <v>0.18</v>
      </c>
    </row>
    <row r="506" spans="1:16" ht="15.75" thickBot="1" x14ac:dyDescent="0.3">
      <c r="A506" s="14" t="s">
        <v>559</v>
      </c>
      <c r="B506" s="6">
        <v>45312</v>
      </c>
      <c r="C506" s="10" t="s">
        <v>62</v>
      </c>
      <c r="D506" s="5">
        <v>2024</v>
      </c>
      <c r="E506" s="9" t="s">
        <v>598</v>
      </c>
      <c r="F506" s="9" t="s">
        <v>40</v>
      </c>
      <c r="G506" s="9" t="s">
        <v>610</v>
      </c>
      <c r="H506" s="9" t="s">
        <v>620</v>
      </c>
      <c r="I506" s="9" t="s">
        <v>630</v>
      </c>
      <c r="J506" s="9" t="s">
        <v>615</v>
      </c>
      <c r="K506" s="9">
        <v>5</v>
      </c>
      <c r="L506" s="9">
        <v>7000</v>
      </c>
      <c r="M506" s="5">
        <v>35000</v>
      </c>
      <c r="N506" s="9">
        <v>30800</v>
      </c>
      <c r="O506" s="9">
        <v>4200</v>
      </c>
      <c r="P506" s="17">
        <v>0.12</v>
      </c>
    </row>
    <row r="507" spans="1:16" ht="15.75" thickBot="1" x14ac:dyDescent="0.3">
      <c r="A507" s="13" t="s">
        <v>560</v>
      </c>
      <c r="B507" s="6">
        <v>45440</v>
      </c>
      <c r="C507" s="8" t="s">
        <v>80</v>
      </c>
      <c r="D507" s="5">
        <v>2024</v>
      </c>
      <c r="E507" s="7" t="s">
        <v>604</v>
      </c>
      <c r="F507" s="7" t="s">
        <v>41</v>
      </c>
      <c r="G507" s="7" t="s">
        <v>612</v>
      </c>
      <c r="H507" s="7" t="s">
        <v>626</v>
      </c>
      <c r="I507" s="7" t="s">
        <v>627</v>
      </c>
      <c r="J507" s="7" t="s">
        <v>618</v>
      </c>
      <c r="K507" s="7">
        <v>19</v>
      </c>
      <c r="L507" s="7">
        <v>3500</v>
      </c>
      <c r="M507" s="5">
        <v>66500</v>
      </c>
      <c r="N507" s="7">
        <v>53865</v>
      </c>
      <c r="O507" s="7">
        <v>12635</v>
      </c>
      <c r="P507" s="16">
        <v>0.19</v>
      </c>
    </row>
    <row r="508" spans="1:16" ht="15.75" thickBot="1" x14ac:dyDescent="0.3">
      <c r="A508" s="14" t="s">
        <v>561</v>
      </c>
      <c r="B508" s="6">
        <v>45423</v>
      </c>
      <c r="C508" s="10" t="s">
        <v>50</v>
      </c>
      <c r="D508" s="5">
        <v>2024</v>
      </c>
      <c r="E508" s="9" t="s">
        <v>597</v>
      </c>
      <c r="F508" s="9" t="s">
        <v>41</v>
      </c>
      <c r="G508" s="9" t="s">
        <v>608</v>
      </c>
      <c r="H508" s="9" t="s">
        <v>613</v>
      </c>
      <c r="I508" s="9" t="s">
        <v>619</v>
      </c>
      <c r="J508" s="9" t="s">
        <v>615</v>
      </c>
      <c r="K508" s="9">
        <v>12</v>
      </c>
      <c r="L508" s="9">
        <v>50</v>
      </c>
      <c r="M508" s="5">
        <v>600</v>
      </c>
      <c r="N508" s="9">
        <v>414</v>
      </c>
      <c r="O508" s="9">
        <v>186</v>
      </c>
      <c r="P508" s="17">
        <v>0.31</v>
      </c>
    </row>
    <row r="509" spans="1:16" ht="15.75" thickBot="1" x14ac:dyDescent="0.3">
      <c r="A509" s="13" t="s">
        <v>562</v>
      </c>
      <c r="B509" s="6">
        <v>45333</v>
      </c>
      <c r="C509" s="8" t="s">
        <v>46</v>
      </c>
      <c r="D509" s="5">
        <v>2024</v>
      </c>
      <c r="E509" s="7" t="s">
        <v>606</v>
      </c>
      <c r="F509" s="7" t="s">
        <v>40</v>
      </c>
      <c r="G509" s="7" t="s">
        <v>612</v>
      </c>
      <c r="H509" s="7" t="s">
        <v>625</v>
      </c>
      <c r="I509" s="7" t="s">
        <v>627</v>
      </c>
      <c r="J509" s="7" t="s">
        <v>615</v>
      </c>
      <c r="K509" s="7">
        <v>1</v>
      </c>
      <c r="L509" s="7">
        <v>4000</v>
      </c>
      <c r="M509" s="5">
        <v>4000</v>
      </c>
      <c r="N509" s="7">
        <v>3440</v>
      </c>
      <c r="O509" s="7">
        <v>560</v>
      </c>
      <c r="P509" s="16">
        <v>0.14000000000000001</v>
      </c>
    </row>
    <row r="510" spans="1:16" ht="15.75" thickBot="1" x14ac:dyDescent="0.3">
      <c r="A510" s="14" t="s">
        <v>563</v>
      </c>
      <c r="B510" s="6">
        <v>45638</v>
      </c>
      <c r="C510" s="10" t="s">
        <v>62</v>
      </c>
      <c r="D510" s="5">
        <v>2024</v>
      </c>
      <c r="E510" s="9" t="s">
        <v>594</v>
      </c>
      <c r="F510" s="9" t="s">
        <v>39</v>
      </c>
      <c r="G510" s="9" t="s">
        <v>610</v>
      </c>
      <c r="H510" s="9" t="s">
        <v>628</v>
      </c>
      <c r="I510" s="9" t="s">
        <v>617</v>
      </c>
      <c r="J510" s="9" t="s">
        <v>618</v>
      </c>
      <c r="K510" s="9">
        <v>8</v>
      </c>
      <c r="L510" s="9">
        <v>8000</v>
      </c>
      <c r="M510" s="5">
        <v>64000</v>
      </c>
      <c r="N510" s="9">
        <v>40960</v>
      </c>
      <c r="O510" s="9">
        <v>23040</v>
      </c>
      <c r="P510" s="17">
        <v>0.36</v>
      </c>
    </row>
    <row r="511" spans="1:16" ht="15.75" thickBot="1" x14ac:dyDescent="0.3">
      <c r="A511" s="13" t="s">
        <v>564</v>
      </c>
      <c r="B511" s="6">
        <v>45621</v>
      </c>
      <c r="C511" s="8" t="s">
        <v>65</v>
      </c>
      <c r="D511" s="5">
        <v>2024</v>
      </c>
      <c r="E511" s="7" t="s">
        <v>601</v>
      </c>
      <c r="F511" s="7" t="s">
        <v>41</v>
      </c>
      <c r="G511" s="7" t="s">
        <v>609</v>
      </c>
      <c r="H511" s="7" t="s">
        <v>622</v>
      </c>
      <c r="I511" s="7" t="s">
        <v>623</v>
      </c>
      <c r="J511" s="7" t="s">
        <v>618</v>
      </c>
      <c r="K511" s="7">
        <v>17</v>
      </c>
      <c r="L511" s="7">
        <v>7000</v>
      </c>
      <c r="M511" s="5">
        <v>119000</v>
      </c>
      <c r="N511" s="7">
        <v>82110</v>
      </c>
      <c r="O511" s="7">
        <v>36890</v>
      </c>
      <c r="P511" s="16">
        <v>0.31</v>
      </c>
    </row>
    <row r="512" spans="1:16" ht="15.75" thickBot="1" x14ac:dyDescent="0.3">
      <c r="A512" s="14" t="s">
        <v>565</v>
      </c>
      <c r="B512" s="6">
        <v>45555</v>
      </c>
      <c r="C512" s="10" t="s">
        <v>80</v>
      </c>
      <c r="D512" s="5">
        <v>2024</v>
      </c>
      <c r="E512" s="9" t="s">
        <v>594</v>
      </c>
      <c r="F512" s="9" t="s">
        <v>39</v>
      </c>
      <c r="G512" s="9" t="s">
        <v>610</v>
      </c>
      <c r="H512" s="9" t="s">
        <v>622</v>
      </c>
      <c r="I512" s="9" t="s">
        <v>630</v>
      </c>
      <c r="J512" s="9" t="s">
        <v>615</v>
      </c>
      <c r="K512" s="9">
        <v>3</v>
      </c>
      <c r="L512" s="9">
        <v>9000</v>
      </c>
      <c r="M512" s="5">
        <v>27000</v>
      </c>
      <c r="N512" s="9">
        <v>21870</v>
      </c>
      <c r="O512" s="9">
        <v>5130</v>
      </c>
      <c r="P512" s="17">
        <v>0.19</v>
      </c>
    </row>
    <row r="513" spans="1:16" ht="15.75" thickBot="1" x14ac:dyDescent="0.3">
      <c r="A513" s="13" t="s">
        <v>566</v>
      </c>
      <c r="B513" s="6">
        <v>45304</v>
      </c>
      <c r="C513" s="8" t="s">
        <v>50</v>
      </c>
      <c r="D513" s="5">
        <v>2024</v>
      </c>
      <c r="E513" s="7" t="s">
        <v>603</v>
      </c>
      <c r="F513" s="7" t="s">
        <v>42</v>
      </c>
      <c r="G513" s="7" t="s">
        <v>610</v>
      </c>
      <c r="H513" s="7" t="s">
        <v>626</v>
      </c>
      <c r="I513" s="7" t="s">
        <v>627</v>
      </c>
      <c r="J513" s="7" t="s">
        <v>615</v>
      </c>
      <c r="K513" s="7">
        <v>7</v>
      </c>
      <c r="L513" s="7">
        <v>25000</v>
      </c>
      <c r="M513" s="5">
        <v>175000</v>
      </c>
      <c r="N513" s="7">
        <v>143500</v>
      </c>
      <c r="O513" s="7">
        <v>31500</v>
      </c>
      <c r="P513" s="16">
        <v>0.18</v>
      </c>
    </row>
    <row r="514" spans="1:16" ht="15.75" thickBot="1" x14ac:dyDescent="0.3">
      <c r="A514" s="14" t="s">
        <v>567</v>
      </c>
      <c r="B514" s="6">
        <v>45645</v>
      </c>
      <c r="C514" s="10" t="s">
        <v>65</v>
      </c>
      <c r="D514" s="5">
        <v>2024</v>
      </c>
      <c r="E514" s="9" t="s">
        <v>603</v>
      </c>
      <c r="F514" s="9" t="s">
        <v>42</v>
      </c>
      <c r="G514" s="9" t="s">
        <v>611</v>
      </c>
      <c r="H514" s="9" t="s">
        <v>613</v>
      </c>
      <c r="I514" s="9" t="s">
        <v>614</v>
      </c>
      <c r="J514" s="9" t="s">
        <v>615</v>
      </c>
      <c r="K514" s="9">
        <v>2</v>
      </c>
      <c r="L514" s="9">
        <v>9000</v>
      </c>
      <c r="M514" s="5">
        <v>18000</v>
      </c>
      <c r="N514" s="9">
        <v>14400</v>
      </c>
      <c r="O514" s="9">
        <v>3600</v>
      </c>
      <c r="P514" s="17">
        <v>0.2</v>
      </c>
    </row>
    <row r="515" spans="1:16" ht="15.75" thickBot="1" x14ac:dyDescent="0.3">
      <c r="A515" s="13" t="s">
        <v>568</v>
      </c>
      <c r="B515" s="6">
        <v>45541</v>
      </c>
      <c r="C515" s="8" t="s">
        <v>62</v>
      </c>
      <c r="D515" s="5">
        <v>2024</v>
      </c>
      <c r="E515" s="7" t="s">
        <v>599</v>
      </c>
      <c r="F515" s="7" t="s">
        <v>39</v>
      </c>
      <c r="G515" s="7" t="s">
        <v>611</v>
      </c>
      <c r="H515" s="7" t="s">
        <v>626</v>
      </c>
      <c r="I515" s="7" t="s">
        <v>630</v>
      </c>
      <c r="J515" s="7" t="s">
        <v>615</v>
      </c>
      <c r="K515" s="7">
        <v>7</v>
      </c>
      <c r="L515" s="7">
        <v>300</v>
      </c>
      <c r="M515" s="5">
        <v>2100</v>
      </c>
      <c r="N515" s="7">
        <v>1743</v>
      </c>
      <c r="O515" s="7">
        <v>357</v>
      </c>
      <c r="P515" s="16">
        <v>0.17</v>
      </c>
    </row>
    <row r="516" spans="1:16" ht="15.75" thickBot="1" x14ac:dyDescent="0.3">
      <c r="A516" s="14" t="s">
        <v>569</v>
      </c>
      <c r="B516" s="6">
        <v>45515</v>
      </c>
      <c r="C516" s="10" t="s">
        <v>62</v>
      </c>
      <c r="D516" s="5">
        <v>2024</v>
      </c>
      <c r="E516" s="9" t="s">
        <v>602</v>
      </c>
      <c r="F516" s="9" t="s">
        <v>42</v>
      </c>
      <c r="G516" s="9" t="s">
        <v>610</v>
      </c>
      <c r="H516" s="9" t="s">
        <v>616</v>
      </c>
      <c r="I516" s="9" t="s">
        <v>645</v>
      </c>
      <c r="J516" s="9" t="s">
        <v>615</v>
      </c>
      <c r="K516" s="9">
        <v>4</v>
      </c>
      <c r="L516" s="9">
        <v>150</v>
      </c>
      <c r="M516" s="5">
        <v>600</v>
      </c>
      <c r="N516" s="9">
        <v>402</v>
      </c>
      <c r="O516" s="9">
        <v>198</v>
      </c>
      <c r="P516" s="17">
        <v>0.33</v>
      </c>
    </row>
    <row r="517" spans="1:16" ht="15.75" thickBot="1" x14ac:dyDescent="0.3">
      <c r="A517" s="13" t="s">
        <v>570</v>
      </c>
      <c r="B517" s="6">
        <v>45440</v>
      </c>
      <c r="C517" s="8" t="s">
        <v>44</v>
      </c>
      <c r="D517" s="5">
        <v>2024</v>
      </c>
      <c r="E517" s="7" t="s">
        <v>594</v>
      </c>
      <c r="F517" s="7" t="s">
        <v>39</v>
      </c>
      <c r="G517" s="7" t="s">
        <v>608</v>
      </c>
      <c r="H517" s="7" t="s">
        <v>625</v>
      </c>
      <c r="I517" s="7" t="s">
        <v>619</v>
      </c>
      <c r="J517" s="7" t="s">
        <v>618</v>
      </c>
      <c r="K517" s="7">
        <v>17</v>
      </c>
      <c r="L517" s="7">
        <v>20</v>
      </c>
      <c r="M517" s="5">
        <v>340</v>
      </c>
      <c r="N517" s="7">
        <v>204</v>
      </c>
      <c r="O517" s="7">
        <v>136</v>
      </c>
      <c r="P517" s="16">
        <v>0.4</v>
      </c>
    </row>
    <row r="518" spans="1:16" ht="15.75" thickBot="1" x14ac:dyDescent="0.3">
      <c r="A518" s="14" t="s">
        <v>571</v>
      </c>
      <c r="B518" s="6">
        <v>45620</v>
      </c>
      <c r="C518" s="10" t="s">
        <v>65</v>
      </c>
      <c r="D518" s="5">
        <v>2024</v>
      </c>
      <c r="E518" s="9" t="s">
        <v>596</v>
      </c>
      <c r="F518" s="9" t="s">
        <v>39</v>
      </c>
      <c r="G518" s="9" t="s">
        <v>611</v>
      </c>
      <c r="H518" s="9" t="s">
        <v>629</v>
      </c>
      <c r="I518" s="9" t="s">
        <v>627</v>
      </c>
      <c r="J518" s="9" t="s">
        <v>618</v>
      </c>
      <c r="K518" s="9">
        <v>19</v>
      </c>
      <c r="L518" s="9">
        <v>1200</v>
      </c>
      <c r="M518" s="5">
        <v>22800</v>
      </c>
      <c r="N518" s="9">
        <v>20520</v>
      </c>
      <c r="O518" s="9">
        <v>2280</v>
      </c>
      <c r="P518" s="17">
        <v>0.1</v>
      </c>
    </row>
    <row r="519" spans="1:16" ht="15.75" thickBot="1" x14ac:dyDescent="0.3">
      <c r="A519" s="13" t="s">
        <v>572</v>
      </c>
      <c r="B519" s="6">
        <v>45310</v>
      </c>
      <c r="C519" s="8" t="s">
        <v>83</v>
      </c>
      <c r="D519" s="5">
        <v>2024</v>
      </c>
      <c r="E519" s="7" t="s">
        <v>605</v>
      </c>
      <c r="F519" s="7" t="s">
        <v>40</v>
      </c>
      <c r="G519" s="7" t="s">
        <v>609</v>
      </c>
      <c r="H519" s="7" t="s">
        <v>616</v>
      </c>
      <c r="I519" s="7" t="s">
        <v>617</v>
      </c>
      <c r="J519" s="7" t="s">
        <v>618</v>
      </c>
      <c r="K519" s="7">
        <v>17</v>
      </c>
      <c r="L519" s="7">
        <v>50</v>
      </c>
      <c r="M519" s="5">
        <v>850</v>
      </c>
      <c r="N519" s="7">
        <v>680</v>
      </c>
      <c r="O519" s="7">
        <v>170</v>
      </c>
      <c r="P519" s="16">
        <v>0.2</v>
      </c>
    </row>
    <row r="520" spans="1:16" ht="15.75" thickBot="1" x14ac:dyDescent="0.3">
      <c r="A520" s="14" t="s">
        <v>573</v>
      </c>
      <c r="B520" s="6">
        <v>45416</v>
      </c>
      <c r="C520" s="10" t="s">
        <v>62</v>
      </c>
      <c r="D520" s="5">
        <v>2024</v>
      </c>
      <c r="E520" s="9" t="s">
        <v>600</v>
      </c>
      <c r="F520" s="9" t="s">
        <v>39</v>
      </c>
      <c r="G520" s="9" t="s">
        <v>612</v>
      </c>
      <c r="H520" s="9" t="s">
        <v>616</v>
      </c>
      <c r="I520" s="9" t="s">
        <v>645</v>
      </c>
      <c r="J520" s="9" t="s">
        <v>618</v>
      </c>
      <c r="K520" s="9">
        <v>1</v>
      </c>
      <c r="L520" s="9">
        <v>25000</v>
      </c>
      <c r="M520" s="5">
        <v>25000</v>
      </c>
      <c r="N520" s="9">
        <v>19000</v>
      </c>
      <c r="O520" s="9">
        <v>6000</v>
      </c>
      <c r="P520" s="17">
        <v>0.24</v>
      </c>
    </row>
    <row r="521" spans="1:16" ht="15.75" thickBot="1" x14ac:dyDescent="0.3">
      <c r="A521" s="13" t="s">
        <v>574</v>
      </c>
      <c r="B521" s="6">
        <v>45603</v>
      </c>
      <c r="C521" s="8" t="s">
        <v>46</v>
      </c>
      <c r="D521" s="5">
        <v>2024</v>
      </c>
      <c r="E521" s="7" t="s">
        <v>595</v>
      </c>
      <c r="F521" s="7" t="s">
        <v>39</v>
      </c>
      <c r="G521" s="7" t="s">
        <v>612</v>
      </c>
      <c r="H521" s="7" t="s">
        <v>628</v>
      </c>
      <c r="I521" s="9" t="s">
        <v>645</v>
      </c>
      <c r="J521" s="7" t="s">
        <v>615</v>
      </c>
      <c r="K521" s="7">
        <v>19</v>
      </c>
      <c r="L521" s="7">
        <v>20</v>
      </c>
      <c r="M521" s="5">
        <v>380</v>
      </c>
      <c r="N521" s="7">
        <v>334.4</v>
      </c>
      <c r="O521" s="7">
        <v>45.600000000000023</v>
      </c>
      <c r="P521" s="16">
        <v>0.12000000000000006</v>
      </c>
    </row>
    <row r="522" spans="1:16" ht="15.75" thickBot="1" x14ac:dyDescent="0.3">
      <c r="A522" s="14" t="s">
        <v>575</v>
      </c>
      <c r="B522" s="6">
        <v>45578</v>
      </c>
      <c r="C522" s="10" t="s">
        <v>65</v>
      </c>
      <c r="D522" s="5">
        <v>2024</v>
      </c>
      <c r="E522" s="9" t="s">
        <v>606</v>
      </c>
      <c r="F522" s="9" t="s">
        <v>40</v>
      </c>
      <c r="G522" s="9" t="s">
        <v>608</v>
      </c>
      <c r="H522" s="9" t="s">
        <v>629</v>
      </c>
      <c r="I522" s="9" t="s">
        <v>619</v>
      </c>
      <c r="J522" s="9" t="s">
        <v>615</v>
      </c>
      <c r="K522" s="9">
        <v>11</v>
      </c>
      <c r="L522" s="9">
        <v>50</v>
      </c>
      <c r="M522" s="5">
        <v>550</v>
      </c>
      <c r="N522" s="9">
        <v>357.5</v>
      </c>
      <c r="O522" s="9">
        <v>192.5</v>
      </c>
      <c r="P522" s="17">
        <v>0.35</v>
      </c>
    </row>
    <row r="523" spans="1:16" ht="15.75" thickBot="1" x14ac:dyDescent="0.3">
      <c r="A523" s="13" t="s">
        <v>576</v>
      </c>
      <c r="B523" s="6">
        <v>45547</v>
      </c>
      <c r="C523" s="8" t="s">
        <v>83</v>
      </c>
      <c r="D523" s="5">
        <v>2024</v>
      </c>
      <c r="E523" s="7" t="s">
        <v>592</v>
      </c>
      <c r="F523" s="7" t="s">
        <v>40</v>
      </c>
      <c r="G523" s="7" t="s">
        <v>611</v>
      </c>
      <c r="H523" s="7" t="s">
        <v>621</v>
      </c>
      <c r="I523" s="7" t="s">
        <v>630</v>
      </c>
      <c r="J523" s="7" t="s">
        <v>618</v>
      </c>
      <c r="K523" s="7">
        <v>8</v>
      </c>
      <c r="L523" s="7">
        <v>4000</v>
      </c>
      <c r="M523" s="5">
        <v>32000</v>
      </c>
      <c r="N523" s="7">
        <v>24960</v>
      </c>
      <c r="O523" s="7">
        <v>7040</v>
      </c>
      <c r="P523" s="16">
        <v>0.22</v>
      </c>
    </row>
    <row r="524" spans="1:16" ht="15.75" thickBot="1" x14ac:dyDescent="0.3">
      <c r="A524" s="14" t="s">
        <v>577</v>
      </c>
      <c r="B524" s="6">
        <v>45494</v>
      </c>
      <c r="C524" s="10" t="s">
        <v>83</v>
      </c>
      <c r="D524" s="5">
        <v>2024</v>
      </c>
      <c r="E524" s="9" t="s">
        <v>599</v>
      </c>
      <c r="F524" s="9" t="s">
        <v>39</v>
      </c>
      <c r="G524" s="9" t="s">
        <v>612</v>
      </c>
      <c r="H524" s="9" t="s">
        <v>629</v>
      </c>
      <c r="I524" s="9" t="s">
        <v>614</v>
      </c>
      <c r="J524" s="9" t="s">
        <v>615</v>
      </c>
      <c r="K524" s="9">
        <v>5</v>
      </c>
      <c r="L524" s="9">
        <v>12000</v>
      </c>
      <c r="M524" s="5">
        <v>60000</v>
      </c>
      <c r="N524" s="9">
        <v>53400</v>
      </c>
      <c r="O524" s="9">
        <v>6600</v>
      </c>
      <c r="P524" s="17">
        <v>0.11</v>
      </c>
    </row>
    <row r="525" spans="1:16" ht="15.75" thickBot="1" x14ac:dyDescent="0.3">
      <c r="A525" s="13" t="s">
        <v>578</v>
      </c>
      <c r="B525" s="6">
        <v>45541</v>
      </c>
      <c r="C525" s="8" t="s">
        <v>80</v>
      </c>
      <c r="D525" s="5">
        <v>2024</v>
      </c>
      <c r="E525" s="7" t="s">
        <v>594</v>
      </c>
      <c r="F525" s="7" t="s">
        <v>39</v>
      </c>
      <c r="G525" s="7" t="s">
        <v>608</v>
      </c>
      <c r="H525" s="7" t="s">
        <v>624</v>
      </c>
      <c r="I525" s="7" t="s">
        <v>614</v>
      </c>
      <c r="J525" s="7" t="s">
        <v>618</v>
      </c>
      <c r="K525" s="7">
        <v>11</v>
      </c>
      <c r="L525" s="7">
        <v>15000</v>
      </c>
      <c r="M525" s="5">
        <v>165000</v>
      </c>
      <c r="N525" s="7">
        <v>120450</v>
      </c>
      <c r="O525" s="7">
        <v>44550</v>
      </c>
      <c r="P525" s="16">
        <v>0.27</v>
      </c>
    </row>
    <row r="526" spans="1:16" ht="15.75" thickBot="1" x14ac:dyDescent="0.3">
      <c r="A526" s="14" t="s">
        <v>579</v>
      </c>
      <c r="B526" s="6">
        <v>45538</v>
      </c>
      <c r="C526" s="10" t="s">
        <v>62</v>
      </c>
      <c r="D526" s="5">
        <v>2024</v>
      </c>
      <c r="E526" s="9" t="s">
        <v>601</v>
      </c>
      <c r="F526" s="9" t="s">
        <v>41</v>
      </c>
      <c r="G526" s="9" t="s">
        <v>610</v>
      </c>
      <c r="H526" s="9" t="s">
        <v>616</v>
      </c>
      <c r="I526" s="9" t="s">
        <v>645</v>
      </c>
      <c r="J526" s="9" t="s">
        <v>618</v>
      </c>
      <c r="K526" s="9">
        <v>12</v>
      </c>
      <c r="L526" s="9">
        <v>7000</v>
      </c>
      <c r="M526" s="5">
        <v>84000</v>
      </c>
      <c r="N526" s="9">
        <v>70560</v>
      </c>
      <c r="O526" s="9">
        <v>13440</v>
      </c>
      <c r="P526" s="17">
        <v>0.16</v>
      </c>
    </row>
    <row r="527" spans="1:16" ht="15.75" thickBot="1" x14ac:dyDescent="0.3">
      <c r="A527" s="13" t="s">
        <v>580</v>
      </c>
      <c r="B527" s="6">
        <v>45384</v>
      </c>
      <c r="C527" s="8" t="s">
        <v>65</v>
      </c>
      <c r="D527" s="5">
        <v>2024</v>
      </c>
      <c r="E527" s="7" t="s">
        <v>592</v>
      </c>
      <c r="F527" s="7" t="s">
        <v>40</v>
      </c>
      <c r="G527" s="7" t="s">
        <v>612</v>
      </c>
      <c r="H527" s="7" t="s">
        <v>628</v>
      </c>
      <c r="I527" s="7" t="s">
        <v>627</v>
      </c>
      <c r="J527" s="7" t="s">
        <v>615</v>
      </c>
      <c r="K527" s="7">
        <v>1</v>
      </c>
      <c r="L527" s="7">
        <v>15000</v>
      </c>
      <c r="M527" s="5">
        <v>15000</v>
      </c>
      <c r="N527" s="7">
        <v>12600</v>
      </c>
      <c r="O527" s="7">
        <v>2400</v>
      </c>
      <c r="P527" s="16">
        <v>0.16</v>
      </c>
    </row>
    <row r="528" spans="1:16" ht="15.75" thickBot="1" x14ac:dyDescent="0.3">
      <c r="A528" s="14" t="s">
        <v>581</v>
      </c>
      <c r="B528" s="6">
        <v>45622</v>
      </c>
      <c r="C528" s="10" t="s">
        <v>55</v>
      </c>
      <c r="D528" s="5">
        <v>2024</v>
      </c>
      <c r="E528" s="9" t="s">
        <v>605</v>
      </c>
      <c r="F528" s="9" t="s">
        <v>40</v>
      </c>
      <c r="G528" s="9" t="s">
        <v>611</v>
      </c>
      <c r="H528" s="9" t="s">
        <v>620</v>
      </c>
      <c r="I528" s="9" t="s">
        <v>645</v>
      </c>
      <c r="J528" s="9" t="s">
        <v>618</v>
      </c>
      <c r="K528" s="9">
        <v>18</v>
      </c>
      <c r="L528" s="9">
        <v>300</v>
      </c>
      <c r="M528" s="5">
        <v>5400</v>
      </c>
      <c r="N528" s="9">
        <v>4428</v>
      </c>
      <c r="O528" s="9">
        <v>972</v>
      </c>
      <c r="P528" s="17">
        <v>0.18</v>
      </c>
    </row>
    <row r="529" spans="1:16" ht="15.75" thickBot="1" x14ac:dyDescent="0.3">
      <c r="A529" s="13" t="s">
        <v>582</v>
      </c>
      <c r="B529" s="6">
        <v>45492</v>
      </c>
      <c r="C529" s="8" t="s">
        <v>50</v>
      </c>
      <c r="D529" s="5">
        <v>2024</v>
      </c>
      <c r="E529" s="7" t="s">
        <v>599</v>
      </c>
      <c r="F529" s="7" t="s">
        <v>39</v>
      </c>
      <c r="G529" s="7" t="s">
        <v>608</v>
      </c>
      <c r="H529" s="7" t="s">
        <v>626</v>
      </c>
      <c r="I529" s="9" t="s">
        <v>645</v>
      </c>
      <c r="J529" s="7" t="s">
        <v>615</v>
      </c>
      <c r="K529" s="7">
        <v>6</v>
      </c>
      <c r="L529" s="7">
        <v>1200</v>
      </c>
      <c r="M529" s="5">
        <v>7200</v>
      </c>
      <c r="N529" s="7">
        <v>4680</v>
      </c>
      <c r="O529" s="7">
        <v>2520</v>
      </c>
      <c r="P529" s="16">
        <v>0.35</v>
      </c>
    </row>
    <row r="530" spans="1:16" ht="15.75" thickBot="1" x14ac:dyDescent="0.3">
      <c r="A530" s="14" t="s">
        <v>583</v>
      </c>
      <c r="B530" s="6">
        <v>45369</v>
      </c>
      <c r="C530" s="10" t="s">
        <v>55</v>
      </c>
      <c r="D530" s="5">
        <v>2024</v>
      </c>
      <c r="E530" s="9" t="s">
        <v>607</v>
      </c>
      <c r="F530" s="9" t="s">
        <v>42</v>
      </c>
      <c r="G530" s="9" t="s">
        <v>608</v>
      </c>
      <c r="H530" s="9" t="s">
        <v>613</v>
      </c>
      <c r="I530" s="9" t="s">
        <v>630</v>
      </c>
      <c r="J530" s="9" t="s">
        <v>615</v>
      </c>
      <c r="K530" s="9">
        <v>2</v>
      </c>
      <c r="L530" s="9">
        <v>45000</v>
      </c>
      <c r="M530" s="5">
        <v>90000</v>
      </c>
      <c r="N530" s="9">
        <v>56700</v>
      </c>
      <c r="O530" s="9">
        <v>33300</v>
      </c>
      <c r="P530" s="17">
        <v>0.37</v>
      </c>
    </row>
    <row r="531" spans="1:16" ht="15.75" thickBot="1" x14ac:dyDescent="0.3">
      <c r="A531" s="13" t="s">
        <v>584</v>
      </c>
      <c r="B531" s="6">
        <v>45328</v>
      </c>
      <c r="C531" s="8" t="s">
        <v>59</v>
      </c>
      <c r="D531" s="5">
        <v>2024</v>
      </c>
      <c r="E531" s="7" t="s">
        <v>594</v>
      </c>
      <c r="F531" s="7" t="s">
        <v>39</v>
      </c>
      <c r="G531" s="7" t="s">
        <v>612</v>
      </c>
      <c r="H531" s="7" t="s">
        <v>629</v>
      </c>
      <c r="I531" s="7" t="s">
        <v>630</v>
      </c>
      <c r="J531" s="7" t="s">
        <v>615</v>
      </c>
      <c r="K531" s="7">
        <v>4</v>
      </c>
      <c r="L531" s="7">
        <v>20</v>
      </c>
      <c r="M531" s="5">
        <v>80</v>
      </c>
      <c r="N531" s="7">
        <v>62.4</v>
      </c>
      <c r="O531" s="7">
        <v>17.600000000000001</v>
      </c>
      <c r="P531" s="16">
        <v>0.22000000000000003</v>
      </c>
    </row>
    <row r="532" spans="1:16" ht="15.75" thickBot="1" x14ac:dyDescent="0.3">
      <c r="A532" s="14" t="s">
        <v>585</v>
      </c>
      <c r="B532" s="6">
        <v>45459</v>
      </c>
      <c r="C532" s="10" t="s">
        <v>53</v>
      </c>
      <c r="D532" s="5">
        <v>2024</v>
      </c>
      <c r="E532" s="9" t="s">
        <v>607</v>
      </c>
      <c r="F532" s="9" t="s">
        <v>42</v>
      </c>
      <c r="G532" s="9" t="s">
        <v>610</v>
      </c>
      <c r="H532" s="9" t="s">
        <v>628</v>
      </c>
      <c r="I532" s="9" t="s">
        <v>617</v>
      </c>
      <c r="J532" s="9" t="s">
        <v>615</v>
      </c>
      <c r="K532" s="9">
        <v>5</v>
      </c>
      <c r="L532" s="9">
        <v>12000</v>
      </c>
      <c r="M532" s="5">
        <v>60000</v>
      </c>
      <c r="N532" s="9">
        <v>44400</v>
      </c>
      <c r="O532" s="9">
        <v>15600</v>
      </c>
      <c r="P532" s="17">
        <v>0.26</v>
      </c>
    </row>
    <row r="533" spans="1:16" ht="15.75" thickBot="1" x14ac:dyDescent="0.3">
      <c r="A533" s="13" t="s">
        <v>586</v>
      </c>
      <c r="B533" s="6">
        <v>45442</v>
      </c>
      <c r="C533" s="8" t="s">
        <v>46</v>
      </c>
      <c r="D533" s="5">
        <v>2024</v>
      </c>
      <c r="E533" s="7" t="s">
        <v>604</v>
      </c>
      <c r="F533" s="7" t="s">
        <v>41</v>
      </c>
      <c r="G533" s="7" t="s">
        <v>611</v>
      </c>
      <c r="H533" s="7" t="s">
        <v>613</v>
      </c>
      <c r="I533" s="7" t="s">
        <v>619</v>
      </c>
      <c r="J533" s="7" t="s">
        <v>615</v>
      </c>
      <c r="K533" s="7">
        <v>17</v>
      </c>
      <c r="L533" s="7">
        <v>55000</v>
      </c>
      <c r="M533" s="5">
        <v>935000</v>
      </c>
      <c r="N533" s="7">
        <v>570350</v>
      </c>
      <c r="O533" s="7">
        <v>364650</v>
      </c>
      <c r="P533" s="16">
        <v>0.39</v>
      </c>
    </row>
    <row r="534" spans="1:16" ht="15.75" thickBot="1" x14ac:dyDescent="0.3">
      <c r="A534" s="14" t="s">
        <v>587</v>
      </c>
      <c r="B534" s="6">
        <v>45359</v>
      </c>
      <c r="C534" s="10" t="s">
        <v>44</v>
      </c>
      <c r="D534" s="5">
        <v>2024</v>
      </c>
      <c r="E534" s="9" t="s">
        <v>595</v>
      </c>
      <c r="F534" s="9" t="s">
        <v>39</v>
      </c>
      <c r="G534" s="9" t="s">
        <v>612</v>
      </c>
      <c r="H534" s="9" t="s">
        <v>628</v>
      </c>
      <c r="I534" s="9" t="s">
        <v>617</v>
      </c>
      <c r="J534" s="9" t="s">
        <v>618</v>
      </c>
      <c r="K534" s="9">
        <v>1</v>
      </c>
      <c r="L534" s="9">
        <v>15000</v>
      </c>
      <c r="M534" s="5">
        <v>15000</v>
      </c>
      <c r="N534" s="9">
        <v>13500</v>
      </c>
      <c r="O534" s="9">
        <v>1500</v>
      </c>
      <c r="P534" s="17">
        <v>0.1</v>
      </c>
    </row>
    <row r="535" spans="1:16" ht="15.75" thickBot="1" x14ac:dyDescent="0.3">
      <c r="A535" s="13" t="s">
        <v>588</v>
      </c>
      <c r="B535" s="6">
        <v>45486</v>
      </c>
      <c r="C535" s="8" t="s">
        <v>44</v>
      </c>
      <c r="D535" s="5">
        <v>2024</v>
      </c>
      <c r="E535" s="7" t="s">
        <v>593</v>
      </c>
      <c r="F535" s="7" t="s">
        <v>41</v>
      </c>
      <c r="G535" s="7" t="s">
        <v>611</v>
      </c>
      <c r="H535" s="7" t="s">
        <v>622</v>
      </c>
      <c r="I535" s="9" t="s">
        <v>645</v>
      </c>
      <c r="J535" s="7" t="s">
        <v>615</v>
      </c>
      <c r="K535" s="7">
        <v>9</v>
      </c>
      <c r="L535" s="7">
        <v>1200</v>
      </c>
      <c r="M535" s="5">
        <v>10800</v>
      </c>
      <c r="N535" s="7">
        <v>8964</v>
      </c>
      <c r="O535" s="7">
        <v>1836</v>
      </c>
      <c r="P535" s="16">
        <v>0.17</v>
      </c>
    </row>
    <row r="536" spans="1:16" ht="15.75" thickBot="1" x14ac:dyDescent="0.3">
      <c r="A536" s="14" t="s">
        <v>589</v>
      </c>
      <c r="B536" s="6">
        <v>45604</v>
      </c>
      <c r="C536" s="10" t="s">
        <v>55</v>
      </c>
      <c r="D536" s="5">
        <v>2024</v>
      </c>
      <c r="E536" s="9" t="s">
        <v>594</v>
      </c>
      <c r="F536" s="9" t="s">
        <v>39</v>
      </c>
      <c r="G536" s="9" t="s">
        <v>608</v>
      </c>
      <c r="H536" s="9" t="s">
        <v>624</v>
      </c>
      <c r="I536" s="9" t="s">
        <v>630</v>
      </c>
      <c r="J536" s="9" t="s">
        <v>618</v>
      </c>
      <c r="K536" s="9">
        <v>8</v>
      </c>
      <c r="L536" s="9">
        <v>300</v>
      </c>
      <c r="M536" s="5">
        <v>2400</v>
      </c>
      <c r="N536" s="9">
        <v>1728</v>
      </c>
      <c r="O536" s="9">
        <v>672</v>
      </c>
      <c r="P536" s="17">
        <v>0.28000000000000003</v>
      </c>
    </row>
    <row r="537" spans="1:16" ht="15.75" thickBot="1" x14ac:dyDescent="0.3">
      <c r="A537" s="13" t="s">
        <v>590</v>
      </c>
      <c r="B537" s="6">
        <v>45301</v>
      </c>
      <c r="C537" s="8" t="s">
        <v>50</v>
      </c>
      <c r="D537" s="5">
        <v>2024</v>
      </c>
      <c r="E537" s="7" t="s">
        <v>607</v>
      </c>
      <c r="F537" s="7" t="s">
        <v>42</v>
      </c>
      <c r="G537" s="7" t="s">
        <v>608</v>
      </c>
      <c r="H537" s="7" t="s">
        <v>625</v>
      </c>
      <c r="I537" s="7" t="s">
        <v>619</v>
      </c>
      <c r="J537" s="7" t="s">
        <v>615</v>
      </c>
      <c r="K537" s="7">
        <v>15</v>
      </c>
      <c r="L537" s="7">
        <v>50</v>
      </c>
      <c r="M537" s="5">
        <v>750</v>
      </c>
      <c r="N537" s="7">
        <v>667.5</v>
      </c>
      <c r="O537" s="7">
        <v>82.5</v>
      </c>
      <c r="P537" s="16">
        <v>0.11</v>
      </c>
    </row>
    <row r="538" spans="1:16" x14ac:dyDescent="0.25">
      <c r="A538" s="14" t="s">
        <v>591</v>
      </c>
      <c r="B538" s="6">
        <v>45327</v>
      </c>
      <c r="C538" s="10" t="s">
        <v>46</v>
      </c>
      <c r="D538" s="5">
        <v>2024</v>
      </c>
      <c r="E538" s="9" t="s">
        <v>599</v>
      </c>
      <c r="F538" s="9" t="s">
        <v>39</v>
      </c>
      <c r="G538" s="9" t="s">
        <v>609</v>
      </c>
      <c r="H538" s="9" t="s">
        <v>625</v>
      </c>
      <c r="I538" s="9" t="s">
        <v>627</v>
      </c>
      <c r="J538" s="9" t="s">
        <v>615</v>
      </c>
      <c r="K538" s="9">
        <v>14</v>
      </c>
      <c r="L538" s="9">
        <v>55000</v>
      </c>
      <c r="M538" s="5">
        <v>770000</v>
      </c>
      <c r="N538" s="9">
        <v>492800</v>
      </c>
      <c r="O538" s="9">
        <v>277200</v>
      </c>
      <c r="P538" s="17">
        <v>0.36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31BC6-5C67-4B56-BEB4-952A92A952DD}">
  <dimension ref="A1:P1075"/>
  <sheetViews>
    <sheetView workbookViewId="0">
      <selection activeCell="E11" sqref="E11"/>
    </sheetView>
  </sheetViews>
  <sheetFormatPr defaultRowHeight="15" x14ac:dyDescent="0.25"/>
  <cols>
    <col min="1" max="1" width="10.7109375" bestFit="1" customWidth="1"/>
    <col min="2" max="2" width="10.42578125" style="2" bestFit="1" customWidth="1"/>
    <col min="3" max="3" width="9.28515625" bestFit="1" customWidth="1"/>
    <col min="4" max="4" width="7.28515625" bestFit="1" customWidth="1"/>
    <col min="5" max="5" width="16" bestFit="1" customWidth="1"/>
    <col min="6" max="6" width="14.5703125" bestFit="1" customWidth="1"/>
    <col min="7" max="7" width="9.42578125" bestFit="1" customWidth="1"/>
    <col min="8" max="8" width="12" bestFit="1" customWidth="1"/>
    <col min="9" max="9" width="14" bestFit="1" customWidth="1"/>
    <col min="10" max="10" width="16.7109375" bestFit="1" customWidth="1"/>
    <col min="11" max="11" width="11" bestFit="1" customWidth="1"/>
    <col min="12" max="12" width="12" bestFit="1" customWidth="1"/>
    <col min="13" max="13" width="15.5703125" bestFit="1" customWidth="1"/>
    <col min="14" max="14" width="7.140625" bestFit="1" customWidth="1"/>
    <col min="15" max="15" width="8.28515625" bestFit="1" customWidth="1"/>
    <col min="16" max="16" width="10.28515625" style="11" bestFit="1" customWidth="1"/>
  </cols>
  <sheetData>
    <row r="1" spans="1:16" x14ac:dyDescent="0.25">
      <c r="A1" t="s">
        <v>28</v>
      </c>
      <c r="B1" s="2" t="s">
        <v>16</v>
      </c>
      <c r="C1" t="s">
        <v>29</v>
      </c>
      <c r="D1" t="s">
        <v>30</v>
      </c>
      <c r="E1" t="s">
        <v>17</v>
      </c>
      <c r="F1" t="s">
        <v>31</v>
      </c>
      <c r="G1" t="s">
        <v>18</v>
      </c>
      <c r="H1" t="s">
        <v>32</v>
      </c>
      <c r="I1" t="s">
        <v>33</v>
      </c>
      <c r="J1" t="s">
        <v>34</v>
      </c>
      <c r="K1" t="s">
        <v>20</v>
      </c>
      <c r="L1" t="s">
        <v>35</v>
      </c>
      <c r="M1" t="s">
        <v>19</v>
      </c>
      <c r="N1" t="s">
        <v>36</v>
      </c>
      <c r="O1" t="s">
        <v>21</v>
      </c>
      <c r="P1" s="11" t="s">
        <v>37</v>
      </c>
    </row>
    <row r="2" spans="1:16" x14ac:dyDescent="0.25">
      <c r="A2" s="36" t="s">
        <v>123</v>
      </c>
      <c r="B2" s="2">
        <v>45292</v>
      </c>
      <c r="C2" s="36" t="s">
        <v>57</v>
      </c>
      <c r="D2">
        <v>2024</v>
      </c>
      <c r="E2" s="36" t="s">
        <v>593</v>
      </c>
      <c r="F2" s="36" t="s">
        <v>41</v>
      </c>
      <c r="G2" s="36" t="s">
        <v>609</v>
      </c>
      <c r="H2" s="36" t="s">
        <v>620</v>
      </c>
      <c r="I2" s="36" t="s">
        <v>645</v>
      </c>
      <c r="J2" s="36" t="s">
        <v>618</v>
      </c>
      <c r="K2">
        <v>3</v>
      </c>
      <c r="L2">
        <v>1200</v>
      </c>
      <c r="M2">
        <v>3600</v>
      </c>
      <c r="N2">
        <v>3204</v>
      </c>
      <c r="O2">
        <v>396</v>
      </c>
      <c r="P2" s="11">
        <v>0.11</v>
      </c>
    </row>
    <row r="3" spans="1:16" x14ac:dyDescent="0.25">
      <c r="A3" s="36" t="s">
        <v>373</v>
      </c>
      <c r="B3" s="2">
        <v>45292</v>
      </c>
      <c r="C3" s="36" t="s">
        <v>44</v>
      </c>
      <c r="D3">
        <v>2024</v>
      </c>
      <c r="E3" s="36" t="s">
        <v>601</v>
      </c>
      <c r="F3" s="36" t="s">
        <v>41</v>
      </c>
      <c r="G3" s="36" t="s">
        <v>608</v>
      </c>
      <c r="H3" s="36" t="s">
        <v>620</v>
      </c>
      <c r="I3" s="36" t="s">
        <v>623</v>
      </c>
      <c r="J3" s="36" t="s">
        <v>618</v>
      </c>
      <c r="K3">
        <v>1</v>
      </c>
      <c r="L3">
        <v>3500</v>
      </c>
      <c r="M3">
        <v>3500</v>
      </c>
      <c r="N3">
        <v>2450</v>
      </c>
      <c r="O3">
        <v>1050</v>
      </c>
      <c r="P3" s="11">
        <v>0.3</v>
      </c>
    </row>
    <row r="4" spans="1:16" x14ac:dyDescent="0.25">
      <c r="A4" s="36" t="s">
        <v>525</v>
      </c>
      <c r="B4" s="2">
        <v>45292</v>
      </c>
      <c r="C4" s="36" t="s">
        <v>50</v>
      </c>
      <c r="D4">
        <v>2024</v>
      </c>
      <c r="E4" s="36" t="s">
        <v>605</v>
      </c>
      <c r="F4" s="36" t="s">
        <v>40</v>
      </c>
      <c r="G4" s="36" t="s">
        <v>609</v>
      </c>
      <c r="H4" s="36" t="s">
        <v>628</v>
      </c>
      <c r="I4" s="36" t="s">
        <v>619</v>
      </c>
      <c r="J4" s="36" t="s">
        <v>615</v>
      </c>
      <c r="K4">
        <v>4</v>
      </c>
      <c r="L4">
        <v>300</v>
      </c>
      <c r="M4">
        <v>1200</v>
      </c>
      <c r="N4">
        <v>768</v>
      </c>
      <c r="O4">
        <v>432</v>
      </c>
      <c r="P4" s="11">
        <v>0.36</v>
      </c>
    </row>
    <row r="5" spans="1:16" x14ac:dyDescent="0.25">
      <c r="A5" s="36" t="s">
        <v>126</v>
      </c>
      <c r="B5" s="2">
        <v>45293</v>
      </c>
      <c r="C5" s="36" t="s">
        <v>80</v>
      </c>
      <c r="D5">
        <v>2024</v>
      </c>
      <c r="E5" s="36" t="s">
        <v>601</v>
      </c>
      <c r="F5" s="36" t="s">
        <v>41</v>
      </c>
      <c r="G5" s="36" t="s">
        <v>609</v>
      </c>
      <c r="H5" s="36" t="s">
        <v>625</v>
      </c>
      <c r="I5" s="36" t="s">
        <v>619</v>
      </c>
      <c r="J5" s="36" t="s">
        <v>618</v>
      </c>
      <c r="K5">
        <v>3</v>
      </c>
      <c r="L5">
        <v>300</v>
      </c>
      <c r="M5">
        <v>900</v>
      </c>
      <c r="N5">
        <v>693</v>
      </c>
      <c r="O5">
        <v>207</v>
      </c>
      <c r="P5" s="11">
        <v>0.23</v>
      </c>
    </row>
    <row r="6" spans="1:16" x14ac:dyDescent="0.25">
      <c r="A6" s="36" t="s">
        <v>145</v>
      </c>
      <c r="B6" s="2">
        <v>45293</v>
      </c>
      <c r="C6" s="36" t="s">
        <v>48</v>
      </c>
      <c r="D6">
        <v>2024</v>
      </c>
      <c r="E6" s="36" t="s">
        <v>593</v>
      </c>
      <c r="F6" s="36" t="s">
        <v>41</v>
      </c>
      <c r="G6" s="36" t="s">
        <v>609</v>
      </c>
      <c r="H6" s="36" t="s">
        <v>621</v>
      </c>
      <c r="I6" s="36" t="s">
        <v>619</v>
      </c>
      <c r="J6" s="36" t="s">
        <v>618</v>
      </c>
      <c r="K6">
        <v>2</v>
      </c>
      <c r="L6">
        <v>55000</v>
      </c>
      <c r="M6">
        <v>110000</v>
      </c>
      <c r="N6">
        <v>74800</v>
      </c>
      <c r="O6">
        <v>35200</v>
      </c>
      <c r="P6" s="11">
        <v>0.32</v>
      </c>
    </row>
    <row r="7" spans="1:16" x14ac:dyDescent="0.25">
      <c r="A7" s="36" t="s">
        <v>389</v>
      </c>
      <c r="B7" s="2">
        <v>45295</v>
      </c>
      <c r="C7" s="36" t="s">
        <v>83</v>
      </c>
      <c r="D7">
        <v>2024</v>
      </c>
      <c r="E7" s="36" t="s">
        <v>593</v>
      </c>
      <c r="F7" s="36" t="s">
        <v>41</v>
      </c>
      <c r="G7" s="36" t="s">
        <v>608</v>
      </c>
      <c r="H7" s="36" t="s">
        <v>626</v>
      </c>
      <c r="I7" s="36" t="s">
        <v>614</v>
      </c>
      <c r="J7" s="36" t="s">
        <v>618</v>
      </c>
      <c r="K7">
        <v>14</v>
      </c>
      <c r="L7">
        <v>700</v>
      </c>
      <c r="M7">
        <v>9800</v>
      </c>
      <c r="N7">
        <v>7056</v>
      </c>
      <c r="O7">
        <v>2744</v>
      </c>
      <c r="P7" s="11">
        <v>0.28000000000000003</v>
      </c>
    </row>
    <row r="8" spans="1:16" x14ac:dyDescent="0.25">
      <c r="A8" s="36" t="s">
        <v>208</v>
      </c>
      <c r="B8" s="2">
        <v>45297</v>
      </c>
      <c r="C8" s="36" t="s">
        <v>62</v>
      </c>
      <c r="D8">
        <v>2024</v>
      </c>
      <c r="E8" s="36" t="s">
        <v>598</v>
      </c>
      <c r="F8" s="36" t="s">
        <v>40</v>
      </c>
      <c r="G8" s="36" t="s">
        <v>609</v>
      </c>
      <c r="H8" s="36" t="s">
        <v>613</v>
      </c>
      <c r="I8" s="36" t="s">
        <v>619</v>
      </c>
      <c r="J8" s="36" t="s">
        <v>618</v>
      </c>
      <c r="K8">
        <v>12</v>
      </c>
      <c r="L8">
        <v>150</v>
      </c>
      <c r="M8">
        <v>1800</v>
      </c>
      <c r="N8">
        <v>1332</v>
      </c>
      <c r="O8">
        <v>468</v>
      </c>
      <c r="P8" s="11">
        <v>0.26</v>
      </c>
    </row>
    <row r="9" spans="1:16" x14ac:dyDescent="0.25">
      <c r="A9" s="36" t="s">
        <v>291</v>
      </c>
      <c r="B9" s="2">
        <v>45298</v>
      </c>
      <c r="C9" s="36" t="s">
        <v>50</v>
      </c>
      <c r="D9">
        <v>2024</v>
      </c>
      <c r="E9" s="36" t="s">
        <v>604</v>
      </c>
      <c r="F9" s="36" t="s">
        <v>41</v>
      </c>
      <c r="G9" s="36" t="s">
        <v>609</v>
      </c>
      <c r="H9" s="36" t="s">
        <v>620</v>
      </c>
      <c r="I9" s="36" t="s">
        <v>619</v>
      </c>
      <c r="J9" s="36" t="s">
        <v>618</v>
      </c>
      <c r="K9">
        <v>1</v>
      </c>
      <c r="L9">
        <v>150</v>
      </c>
      <c r="M9">
        <v>150</v>
      </c>
      <c r="N9">
        <v>97.5</v>
      </c>
      <c r="O9">
        <v>52.5</v>
      </c>
      <c r="P9" s="11">
        <v>0.35</v>
      </c>
    </row>
    <row r="10" spans="1:16" x14ac:dyDescent="0.25">
      <c r="A10" s="36" t="s">
        <v>285</v>
      </c>
      <c r="B10" s="2">
        <v>45299</v>
      </c>
      <c r="C10" s="36" t="s">
        <v>59</v>
      </c>
      <c r="D10">
        <v>2024</v>
      </c>
      <c r="E10" s="36" t="s">
        <v>602</v>
      </c>
      <c r="F10" s="36" t="s">
        <v>42</v>
      </c>
      <c r="G10" s="36" t="s">
        <v>608</v>
      </c>
      <c r="H10" s="36" t="s">
        <v>628</v>
      </c>
      <c r="I10" s="36" t="s">
        <v>627</v>
      </c>
      <c r="J10" s="36" t="s">
        <v>615</v>
      </c>
      <c r="K10">
        <v>7</v>
      </c>
      <c r="L10">
        <v>300</v>
      </c>
      <c r="M10">
        <v>2100</v>
      </c>
      <c r="N10">
        <v>1491</v>
      </c>
      <c r="O10">
        <v>609</v>
      </c>
      <c r="P10" s="11">
        <v>0.28999999999999998</v>
      </c>
    </row>
    <row r="11" spans="1:16" x14ac:dyDescent="0.25">
      <c r="A11" s="36" t="s">
        <v>364</v>
      </c>
      <c r="B11" s="2">
        <v>45299</v>
      </c>
      <c r="C11" s="36" t="s">
        <v>59</v>
      </c>
      <c r="D11">
        <v>2024</v>
      </c>
      <c r="E11" s="36" t="s">
        <v>607</v>
      </c>
      <c r="F11" s="36" t="s">
        <v>42</v>
      </c>
      <c r="G11" s="36" t="s">
        <v>612</v>
      </c>
      <c r="H11" s="36" t="s">
        <v>616</v>
      </c>
      <c r="I11" s="36" t="s">
        <v>630</v>
      </c>
      <c r="J11" s="36" t="s">
        <v>618</v>
      </c>
      <c r="K11">
        <v>8</v>
      </c>
      <c r="L11">
        <v>12000</v>
      </c>
      <c r="M11">
        <v>96000</v>
      </c>
      <c r="N11">
        <v>78720</v>
      </c>
      <c r="O11">
        <v>17280</v>
      </c>
      <c r="P11" s="11">
        <v>0.18</v>
      </c>
    </row>
    <row r="12" spans="1:16" x14ac:dyDescent="0.25">
      <c r="A12" s="36" t="s">
        <v>451</v>
      </c>
      <c r="B12" s="2">
        <v>45300</v>
      </c>
      <c r="C12" s="36" t="s">
        <v>46</v>
      </c>
      <c r="D12">
        <v>2024</v>
      </c>
      <c r="E12" s="36" t="s">
        <v>594</v>
      </c>
      <c r="F12" s="36" t="s">
        <v>39</v>
      </c>
      <c r="G12" s="36" t="s">
        <v>611</v>
      </c>
      <c r="H12" s="36" t="s">
        <v>620</v>
      </c>
      <c r="I12" s="36" t="s">
        <v>630</v>
      </c>
      <c r="J12" s="36" t="s">
        <v>615</v>
      </c>
      <c r="K12">
        <v>14</v>
      </c>
      <c r="L12">
        <v>8000</v>
      </c>
      <c r="M12">
        <v>112000</v>
      </c>
      <c r="N12">
        <v>76160</v>
      </c>
      <c r="O12">
        <v>35840</v>
      </c>
      <c r="P12" s="11">
        <v>0.32</v>
      </c>
    </row>
    <row r="13" spans="1:16" x14ac:dyDescent="0.25">
      <c r="A13" s="36" t="s">
        <v>256</v>
      </c>
      <c r="B13" s="2">
        <v>45301</v>
      </c>
      <c r="C13" s="36" t="s">
        <v>48</v>
      </c>
      <c r="D13">
        <v>2024</v>
      </c>
      <c r="E13" s="36" t="s">
        <v>601</v>
      </c>
      <c r="F13" s="36" t="s">
        <v>41</v>
      </c>
      <c r="G13" s="36" t="s">
        <v>608</v>
      </c>
      <c r="H13" s="36" t="s">
        <v>626</v>
      </c>
      <c r="I13" s="36" t="s">
        <v>614</v>
      </c>
      <c r="J13" s="36" t="s">
        <v>618</v>
      </c>
      <c r="K13">
        <v>8</v>
      </c>
      <c r="L13">
        <v>50</v>
      </c>
      <c r="M13">
        <v>400</v>
      </c>
      <c r="N13">
        <v>248</v>
      </c>
      <c r="O13">
        <v>152</v>
      </c>
      <c r="P13" s="11">
        <v>0.38</v>
      </c>
    </row>
    <row r="14" spans="1:16" x14ac:dyDescent="0.25">
      <c r="A14" s="36" t="s">
        <v>284</v>
      </c>
      <c r="B14" s="2">
        <v>45301</v>
      </c>
      <c r="C14" s="36" t="s">
        <v>48</v>
      </c>
      <c r="D14">
        <v>2024</v>
      </c>
      <c r="E14" s="36" t="s">
        <v>601</v>
      </c>
      <c r="F14" s="36" t="s">
        <v>41</v>
      </c>
      <c r="G14" s="36" t="s">
        <v>608</v>
      </c>
      <c r="H14" s="36" t="s">
        <v>626</v>
      </c>
      <c r="I14" s="36" t="s">
        <v>619</v>
      </c>
      <c r="J14" s="36" t="s">
        <v>618</v>
      </c>
      <c r="K14">
        <v>8</v>
      </c>
      <c r="L14">
        <v>25000</v>
      </c>
      <c r="M14">
        <v>200000</v>
      </c>
      <c r="N14">
        <v>172000</v>
      </c>
      <c r="O14">
        <v>28000</v>
      </c>
      <c r="P14" s="11">
        <v>0.14000000000000001</v>
      </c>
    </row>
    <row r="15" spans="1:16" x14ac:dyDescent="0.25">
      <c r="A15" s="36" t="s">
        <v>590</v>
      </c>
      <c r="B15" s="2">
        <v>45301</v>
      </c>
      <c r="C15" s="36" t="s">
        <v>50</v>
      </c>
      <c r="D15">
        <v>2024</v>
      </c>
      <c r="E15" s="36" t="s">
        <v>607</v>
      </c>
      <c r="F15" s="36" t="s">
        <v>42</v>
      </c>
      <c r="G15" s="36" t="s">
        <v>608</v>
      </c>
      <c r="H15" s="36" t="s">
        <v>625</v>
      </c>
      <c r="I15" s="36" t="s">
        <v>619</v>
      </c>
      <c r="J15" s="36" t="s">
        <v>615</v>
      </c>
      <c r="K15">
        <v>15</v>
      </c>
      <c r="L15">
        <v>50</v>
      </c>
      <c r="M15">
        <v>750</v>
      </c>
      <c r="N15">
        <v>667.5</v>
      </c>
      <c r="O15">
        <v>82.5</v>
      </c>
      <c r="P15" s="11">
        <v>0.11</v>
      </c>
    </row>
    <row r="16" spans="1:16" x14ac:dyDescent="0.25">
      <c r="A16" s="36" t="s">
        <v>359</v>
      </c>
      <c r="B16" s="2">
        <v>45302</v>
      </c>
      <c r="C16" s="36" t="s">
        <v>53</v>
      </c>
      <c r="D16">
        <v>2024</v>
      </c>
      <c r="E16" s="36" t="s">
        <v>597</v>
      </c>
      <c r="F16" s="36" t="s">
        <v>41</v>
      </c>
      <c r="G16" s="36" t="s">
        <v>608</v>
      </c>
      <c r="H16" s="36" t="s">
        <v>629</v>
      </c>
      <c r="I16" s="36" t="s">
        <v>619</v>
      </c>
      <c r="J16" s="36" t="s">
        <v>618</v>
      </c>
      <c r="K16">
        <v>8</v>
      </c>
      <c r="L16">
        <v>300</v>
      </c>
      <c r="M16">
        <v>2400</v>
      </c>
      <c r="N16">
        <v>2136</v>
      </c>
      <c r="O16">
        <v>264</v>
      </c>
      <c r="P16" s="11">
        <v>0.11</v>
      </c>
    </row>
    <row r="17" spans="1:16" x14ac:dyDescent="0.25">
      <c r="A17" s="36" t="s">
        <v>299</v>
      </c>
      <c r="B17" s="2">
        <v>45303</v>
      </c>
      <c r="C17" s="36" t="s">
        <v>55</v>
      </c>
      <c r="D17">
        <v>2024</v>
      </c>
      <c r="E17" s="36" t="s">
        <v>607</v>
      </c>
      <c r="F17" s="36" t="s">
        <v>42</v>
      </c>
      <c r="G17" s="36" t="s">
        <v>608</v>
      </c>
      <c r="H17" s="36" t="s">
        <v>616</v>
      </c>
      <c r="I17" s="36" t="s">
        <v>630</v>
      </c>
      <c r="J17" s="36" t="s">
        <v>615</v>
      </c>
      <c r="K17">
        <v>13</v>
      </c>
      <c r="L17">
        <v>1200</v>
      </c>
      <c r="M17">
        <v>15600</v>
      </c>
      <c r="N17">
        <v>12324</v>
      </c>
      <c r="O17">
        <v>3276</v>
      </c>
      <c r="P17" s="11">
        <v>0.21</v>
      </c>
    </row>
    <row r="18" spans="1:16" x14ac:dyDescent="0.25">
      <c r="A18" s="36" t="s">
        <v>258</v>
      </c>
      <c r="B18" s="2">
        <v>45304</v>
      </c>
      <c r="C18" s="36" t="s">
        <v>53</v>
      </c>
      <c r="D18">
        <v>2024</v>
      </c>
      <c r="E18" s="36" t="s">
        <v>593</v>
      </c>
      <c r="F18" s="36" t="s">
        <v>41</v>
      </c>
      <c r="G18" s="36" t="s">
        <v>609</v>
      </c>
      <c r="H18" s="36" t="s">
        <v>613</v>
      </c>
      <c r="I18" s="36" t="s">
        <v>619</v>
      </c>
      <c r="J18" s="36" t="s">
        <v>615</v>
      </c>
      <c r="K18">
        <v>17</v>
      </c>
      <c r="L18">
        <v>50</v>
      </c>
      <c r="M18">
        <v>850</v>
      </c>
      <c r="N18">
        <v>586.5</v>
      </c>
      <c r="O18">
        <v>263.5</v>
      </c>
      <c r="P18" s="11">
        <v>0.31</v>
      </c>
    </row>
    <row r="19" spans="1:16" x14ac:dyDescent="0.25">
      <c r="A19" s="36" t="s">
        <v>357</v>
      </c>
      <c r="B19" s="2">
        <v>45304</v>
      </c>
      <c r="C19" s="36" t="s">
        <v>83</v>
      </c>
      <c r="D19">
        <v>2024</v>
      </c>
      <c r="E19" s="36" t="s">
        <v>603</v>
      </c>
      <c r="F19" s="36" t="s">
        <v>42</v>
      </c>
      <c r="G19" s="36" t="s">
        <v>612</v>
      </c>
      <c r="H19" s="36" t="s">
        <v>626</v>
      </c>
      <c r="I19" s="36" t="s">
        <v>645</v>
      </c>
      <c r="J19" s="36" t="s">
        <v>615</v>
      </c>
      <c r="K19">
        <v>13</v>
      </c>
      <c r="L19">
        <v>15000</v>
      </c>
      <c r="M19">
        <v>195000</v>
      </c>
      <c r="N19">
        <v>152100</v>
      </c>
      <c r="O19">
        <v>42900</v>
      </c>
      <c r="P19" s="11">
        <v>0.22</v>
      </c>
    </row>
    <row r="20" spans="1:16" x14ac:dyDescent="0.25">
      <c r="A20" s="36" t="s">
        <v>566</v>
      </c>
      <c r="B20" s="2">
        <v>45304</v>
      </c>
      <c r="C20" s="36" t="s">
        <v>50</v>
      </c>
      <c r="D20">
        <v>2024</v>
      </c>
      <c r="E20" s="36" t="s">
        <v>603</v>
      </c>
      <c r="F20" s="36" t="s">
        <v>42</v>
      </c>
      <c r="G20" s="36" t="s">
        <v>610</v>
      </c>
      <c r="H20" s="36" t="s">
        <v>626</v>
      </c>
      <c r="I20" s="36" t="s">
        <v>627</v>
      </c>
      <c r="J20" s="36" t="s">
        <v>615</v>
      </c>
      <c r="K20">
        <v>7</v>
      </c>
      <c r="L20">
        <v>25000</v>
      </c>
      <c r="M20">
        <v>175000</v>
      </c>
      <c r="N20">
        <v>143500</v>
      </c>
      <c r="O20">
        <v>31500</v>
      </c>
      <c r="P20" s="11">
        <v>0.18</v>
      </c>
    </row>
    <row r="21" spans="1:16" x14ac:dyDescent="0.25">
      <c r="A21" s="36" t="s">
        <v>112</v>
      </c>
      <c r="B21" s="2">
        <v>45305</v>
      </c>
      <c r="C21" s="36" t="s">
        <v>62</v>
      </c>
      <c r="D21">
        <v>2024</v>
      </c>
      <c r="E21" s="36" t="s">
        <v>598</v>
      </c>
      <c r="F21" s="36" t="s">
        <v>40</v>
      </c>
      <c r="G21" s="36" t="s">
        <v>611</v>
      </c>
      <c r="H21" s="36" t="s">
        <v>625</v>
      </c>
      <c r="I21" s="36" t="s">
        <v>645</v>
      </c>
      <c r="J21" s="36" t="s">
        <v>618</v>
      </c>
      <c r="K21">
        <v>15</v>
      </c>
      <c r="L21">
        <v>25000</v>
      </c>
      <c r="M21">
        <v>375000</v>
      </c>
      <c r="N21">
        <v>270000</v>
      </c>
      <c r="O21">
        <v>105000</v>
      </c>
      <c r="P21" s="11">
        <v>0.28000000000000003</v>
      </c>
    </row>
    <row r="22" spans="1:16" x14ac:dyDescent="0.25">
      <c r="A22" s="36" t="s">
        <v>502</v>
      </c>
      <c r="B22" s="2">
        <v>45305</v>
      </c>
      <c r="C22" s="36" t="s">
        <v>46</v>
      </c>
      <c r="D22">
        <v>2024</v>
      </c>
      <c r="E22" s="36" t="s">
        <v>597</v>
      </c>
      <c r="F22" s="36" t="s">
        <v>41</v>
      </c>
      <c r="G22" s="36" t="s">
        <v>610</v>
      </c>
      <c r="H22" s="36" t="s">
        <v>620</v>
      </c>
      <c r="I22" s="36" t="s">
        <v>645</v>
      </c>
      <c r="J22" s="36" t="s">
        <v>615</v>
      </c>
      <c r="K22">
        <v>2</v>
      </c>
      <c r="L22">
        <v>50</v>
      </c>
      <c r="M22">
        <v>100</v>
      </c>
      <c r="N22">
        <v>80</v>
      </c>
      <c r="O22">
        <v>20</v>
      </c>
      <c r="P22" s="11">
        <v>0.2</v>
      </c>
    </row>
    <row r="23" spans="1:16" x14ac:dyDescent="0.25">
      <c r="A23" s="36" t="s">
        <v>372</v>
      </c>
      <c r="B23" s="2">
        <v>45307</v>
      </c>
      <c r="C23" s="36" t="s">
        <v>53</v>
      </c>
      <c r="D23">
        <v>2024</v>
      </c>
      <c r="E23" s="36" t="s">
        <v>595</v>
      </c>
      <c r="F23" s="36" t="s">
        <v>39</v>
      </c>
      <c r="G23" s="36" t="s">
        <v>608</v>
      </c>
      <c r="H23" s="36" t="s">
        <v>621</v>
      </c>
      <c r="I23" s="36" t="s">
        <v>619</v>
      </c>
      <c r="J23" s="36" t="s">
        <v>615</v>
      </c>
      <c r="K23">
        <v>2</v>
      </c>
      <c r="L23">
        <v>8000</v>
      </c>
      <c r="M23">
        <v>16000</v>
      </c>
      <c r="N23">
        <v>10240</v>
      </c>
      <c r="O23">
        <v>5760</v>
      </c>
      <c r="P23" s="11">
        <v>0.36</v>
      </c>
    </row>
    <row r="24" spans="1:16" x14ac:dyDescent="0.25">
      <c r="A24" s="36" t="s">
        <v>387</v>
      </c>
      <c r="B24" s="2">
        <v>45307</v>
      </c>
      <c r="C24" s="36" t="s">
        <v>83</v>
      </c>
      <c r="D24">
        <v>2024</v>
      </c>
      <c r="E24" s="36" t="s">
        <v>605</v>
      </c>
      <c r="F24" s="36" t="s">
        <v>40</v>
      </c>
      <c r="G24" s="36" t="s">
        <v>612</v>
      </c>
      <c r="H24" s="36" t="s">
        <v>625</v>
      </c>
      <c r="I24" s="36" t="s">
        <v>623</v>
      </c>
      <c r="J24" s="36" t="s">
        <v>615</v>
      </c>
      <c r="K24">
        <v>11</v>
      </c>
      <c r="L24">
        <v>50</v>
      </c>
      <c r="M24">
        <v>550</v>
      </c>
      <c r="N24">
        <v>357.5</v>
      </c>
      <c r="O24">
        <v>192.5</v>
      </c>
      <c r="P24" s="11">
        <v>0.35</v>
      </c>
    </row>
    <row r="25" spans="1:16" x14ac:dyDescent="0.25">
      <c r="A25" s="36" t="s">
        <v>316</v>
      </c>
      <c r="B25" s="2">
        <v>45308</v>
      </c>
      <c r="C25" s="36" t="s">
        <v>55</v>
      </c>
      <c r="D25">
        <v>2024</v>
      </c>
      <c r="E25" s="36" t="s">
        <v>607</v>
      </c>
      <c r="F25" s="36" t="s">
        <v>42</v>
      </c>
      <c r="G25" s="36" t="s">
        <v>608</v>
      </c>
      <c r="H25" s="36" t="s">
        <v>616</v>
      </c>
      <c r="I25" s="36" t="s">
        <v>630</v>
      </c>
      <c r="J25" s="36" t="s">
        <v>615</v>
      </c>
      <c r="K25">
        <v>3</v>
      </c>
      <c r="L25">
        <v>55000</v>
      </c>
      <c r="M25">
        <v>165000</v>
      </c>
      <c r="N25">
        <v>140250</v>
      </c>
      <c r="O25">
        <v>24750</v>
      </c>
      <c r="P25" s="11">
        <v>0.15</v>
      </c>
    </row>
    <row r="26" spans="1:16" x14ac:dyDescent="0.25">
      <c r="A26" s="36" t="s">
        <v>427</v>
      </c>
      <c r="B26" s="2">
        <v>45310</v>
      </c>
      <c r="C26" s="36" t="s">
        <v>57</v>
      </c>
      <c r="D26">
        <v>2024</v>
      </c>
      <c r="E26" s="36" t="s">
        <v>606</v>
      </c>
      <c r="F26" s="36" t="s">
        <v>40</v>
      </c>
      <c r="G26" s="36" t="s">
        <v>611</v>
      </c>
      <c r="H26" s="36" t="s">
        <v>613</v>
      </c>
      <c r="I26" s="36" t="s">
        <v>617</v>
      </c>
      <c r="J26" s="36" t="s">
        <v>618</v>
      </c>
      <c r="K26">
        <v>12</v>
      </c>
      <c r="L26">
        <v>45000</v>
      </c>
      <c r="M26">
        <v>540000</v>
      </c>
      <c r="N26">
        <v>442800</v>
      </c>
      <c r="O26">
        <v>97200</v>
      </c>
      <c r="P26" s="11">
        <v>0.18</v>
      </c>
    </row>
    <row r="27" spans="1:16" x14ac:dyDescent="0.25">
      <c r="A27" s="36" t="s">
        <v>432</v>
      </c>
      <c r="B27" s="2">
        <v>45310</v>
      </c>
      <c r="C27" s="36" t="s">
        <v>62</v>
      </c>
      <c r="D27">
        <v>2024</v>
      </c>
      <c r="E27" s="36" t="s">
        <v>594</v>
      </c>
      <c r="F27" s="36" t="s">
        <v>39</v>
      </c>
      <c r="G27" s="36" t="s">
        <v>609</v>
      </c>
      <c r="H27" s="36" t="s">
        <v>616</v>
      </c>
      <c r="I27" s="36" t="s">
        <v>623</v>
      </c>
      <c r="J27" s="36" t="s">
        <v>618</v>
      </c>
      <c r="K27">
        <v>6</v>
      </c>
      <c r="L27">
        <v>8000</v>
      </c>
      <c r="M27">
        <v>48000</v>
      </c>
      <c r="N27">
        <v>38400</v>
      </c>
      <c r="O27">
        <v>9600</v>
      </c>
      <c r="P27" s="11">
        <v>0.2</v>
      </c>
    </row>
    <row r="28" spans="1:16" x14ac:dyDescent="0.25">
      <c r="A28" s="36" t="s">
        <v>442</v>
      </c>
      <c r="B28" s="2">
        <v>45310</v>
      </c>
      <c r="C28" s="36" t="s">
        <v>53</v>
      </c>
      <c r="D28">
        <v>2024</v>
      </c>
      <c r="E28" s="36" t="s">
        <v>601</v>
      </c>
      <c r="F28" s="36" t="s">
        <v>41</v>
      </c>
      <c r="G28" s="36" t="s">
        <v>611</v>
      </c>
      <c r="H28" s="36" t="s">
        <v>613</v>
      </c>
      <c r="I28" s="36" t="s">
        <v>617</v>
      </c>
      <c r="J28" s="36" t="s">
        <v>615</v>
      </c>
      <c r="K28">
        <v>4</v>
      </c>
      <c r="L28">
        <v>300</v>
      </c>
      <c r="M28">
        <v>1200</v>
      </c>
      <c r="N28">
        <v>1008</v>
      </c>
      <c r="O28">
        <v>192</v>
      </c>
      <c r="P28" s="11">
        <v>0.16</v>
      </c>
    </row>
    <row r="29" spans="1:16" x14ac:dyDescent="0.25">
      <c r="A29" s="36" t="s">
        <v>572</v>
      </c>
      <c r="B29" s="2">
        <v>45310</v>
      </c>
      <c r="C29" s="36" t="s">
        <v>83</v>
      </c>
      <c r="D29">
        <v>2024</v>
      </c>
      <c r="E29" s="36" t="s">
        <v>605</v>
      </c>
      <c r="F29" s="36" t="s">
        <v>40</v>
      </c>
      <c r="G29" s="36" t="s">
        <v>609</v>
      </c>
      <c r="H29" s="36" t="s">
        <v>616</v>
      </c>
      <c r="I29" s="36" t="s">
        <v>617</v>
      </c>
      <c r="J29" s="36" t="s">
        <v>618</v>
      </c>
      <c r="K29">
        <v>17</v>
      </c>
      <c r="L29">
        <v>50</v>
      </c>
      <c r="M29">
        <v>850</v>
      </c>
      <c r="N29">
        <v>680</v>
      </c>
      <c r="O29">
        <v>170</v>
      </c>
      <c r="P29" s="11">
        <v>0.2</v>
      </c>
    </row>
    <row r="30" spans="1:16" x14ac:dyDescent="0.25">
      <c r="A30" s="36" t="s">
        <v>542</v>
      </c>
      <c r="B30" s="2">
        <v>45311</v>
      </c>
      <c r="C30" s="36" t="s">
        <v>80</v>
      </c>
      <c r="D30">
        <v>2024</v>
      </c>
      <c r="E30" s="36" t="s">
        <v>598</v>
      </c>
      <c r="F30" s="36" t="s">
        <v>40</v>
      </c>
      <c r="G30" s="36" t="s">
        <v>610</v>
      </c>
      <c r="H30" s="36" t="s">
        <v>625</v>
      </c>
      <c r="I30" s="36" t="s">
        <v>630</v>
      </c>
      <c r="J30" s="36" t="s">
        <v>615</v>
      </c>
      <c r="K30">
        <v>13</v>
      </c>
      <c r="L30">
        <v>25000</v>
      </c>
      <c r="M30">
        <v>325000</v>
      </c>
      <c r="N30">
        <v>243750</v>
      </c>
      <c r="O30">
        <v>81250</v>
      </c>
      <c r="P30" s="11">
        <v>0.25</v>
      </c>
    </row>
    <row r="31" spans="1:16" x14ac:dyDescent="0.25">
      <c r="A31" s="36" t="s">
        <v>546</v>
      </c>
      <c r="B31" s="2">
        <v>45312</v>
      </c>
      <c r="C31" s="36" t="s">
        <v>44</v>
      </c>
      <c r="D31">
        <v>2024</v>
      </c>
      <c r="E31" s="36" t="s">
        <v>601</v>
      </c>
      <c r="F31" s="36" t="s">
        <v>41</v>
      </c>
      <c r="G31" s="36" t="s">
        <v>610</v>
      </c>
      <c r="H31" s="36" t="s">
        <v>629</v>
      </c>
      <c r="I31" s="36" t="s">
        <v>627</v>
      </c>
      <c r="J31" s="36" t="s">
        <v>615</v>
      </c>
      <c r="K31">
        <v>20</v>
      </c>
      <c r="L31">
        <v>20</v>
      </c>
      <c r="M31">
        <v>400</v>
      </c>
      <c r="N31">
        <v>276</v>
      </c>
      <c r="O31">
        <v>124</v>
      </c>
      <c r="P31" s="11">
        <v>0.31</v>
      </c>
    </row>
    <row r="32" spans="1:16" x14ac:dyDescent="0.25">
      <c r="A32" s="36" t="s">
        <v>559</v>
      </c>
      <c r="B32" s="2">
        <v>45312</v>
      </c>
      <c r="C32" s="36" t="s">
        <v>62</v>
      </c>
      <c r="D32">
        <v>2024</v>
      </c>
      <c r="E32" s="36" t="s">
        <v>598</v>
      </c>
      <c r="F32" s="36" t="s">
        <v>40</v>
      </c>
      <c r="G32" s="36" t="s">
        <v>610</v>
      </c>
      <c r="H32" s="36" t="s">
        <v>620</v>
      </c>
      <c r="I32" s="36" t="s">
        <v>630</v>
      </c>
      <c r="J32" s="36" t="s">
        <v>615</v>
      </c>
      <c r="K32">
        <v>5</v>
      </c>
      <c r="L32">
        <v>7000</v>
      </c>
      <c r="M32">
        <v>35000</v>
      </c>
      <c r="N32">
        <v>30800</v>
      </c>
      <c r="O32">
        <v>4200</v>
      </c>
      <c r="P32" s="11">
        <v>0.12</v>
      </c>
    </row>
    <row r="33" spans="1:16" x14ac:dyDescent="0.25">
      <c r="A33" s="36" t="s">
        <v>301</v>
      </c>
      <c r="B33" s="2">
        <v>45313</v>
      </c>
      <c r="C33" s="36" t="s">
        <v>62</v>
      </c>
      <c r="D33">
        <v>2024</v>
      </c>
      <c r="E33" s="36" t="s">
        <v>604</v>
      </c>
      <c r="F33" s="36" t="s">
        <v>41</v>
      </c>
      <c r="G33" s="36" t="s">
        <v>608</v>
      </c>
      <c r="H33" s="36" t="s">
        <v>620</v>
      </c>
      <c r="I33" s="36" t="s">
        <v>645</v>
      </c>
      <c r="J33" s="36" t="s">
        <v>618</v>
      </c>
      <c r="K33">
        <v>20</v>
      </c>
      <c r="L33">
        <v>50</v>
      </c>
      <c r="M33">
        <v>1000</v>
      </c>
      <c r="N33">
        <v>610</v>
      </c>
      <c r="O33">
        <v>390</v>
      </c>
      <c r="P33" s="11">
        <v>0.39</v>
      </c>
    </row>
    <row r="34" spans="1:16" x14ac:dyDescent="0.25">
      <c r="A34" s="36" t="s">
        <v>93</v>
      </c>
      <c r="B34" s="2">
        <v>45314</v>
      </c>
      <c r="C34" s="36" t="s">
        <v>44</v>
      </c>
      <c r="D34">
        <v>2024</v>
      </c>
      <c r="E34" s="36" t="s">
        <v>604</v>
      </c>
      <c r="F34" s="36" t="s">
        <v>41</v>
      </c>
      <c r="G34" s="36" t="s">
        <v>608</v>
      </c>
      <c r="H34" s="36" t="s">
        <v>620</v>
      </c>
      <c r="I34" s="36" t="s">
        <v>614</v>
      </c>
      <c r="J34" s="36" t="s">
        <v>618</v>
      </c>
      <c r="K34">
        <v>12</v>
      </c>
      <c r="L34">
        <v>25000</v>
      </c>
      <c r="M34">
        <v>300000</v>
      </c>
      <c r="N34">
        <v>186000</v>
      </c>
      <c r="O34">
        <v>114000</v>
      </c>
      <c r="P34" s="11">
        <v>0.38</v>
      </c>
    </row>
    <row r="35" spans="1:16" x14ac:dyDescent="0.25">
      <c r="A35" s="36" t="s">
        <v>253</v>
      </c>
      <c r="B35" s="2">
        <v>45315</v>
      </c>
      <c r="C35" s="36" t="s">
        <v>83</v>
      </c>
      <c r="D35">
        <v>2024</v>
      </c>
      <c r="E35" s="36" t="s">
        <v>601</v>
      </c>
      <c r="F35" s="36" t="s">
        <v>41</v>
      </c>
      <c r="G35" s="36" t="s">
        <v>610</v>
      </c>
      <c r="H35" s="36" t="s">
        <v>620</v>
      </c>
      <c r="I35" s="36" t="s">
        <v>619</v>
      </c>
      <c r="J35" s="36" t="s">
        <v>615</v>
      </c>
      <c r="K35">
        <v>1</v>
      </c>
      <c r="L35">
        <v>4000</v>
      </c>
      <c r="M35">
        <v>4000</v>
      </c>
      <c r="N35">
        <v>3600</v>
      </c>
      <c r="O35">
        <v>400</v>
      </c>
      <c r="P35" s="11">
        <v>0.1</v>
      </c>
    </row>
    <row r="36" spans="1:16" x14ac:dyDescent="0.25">
      <c r="A36" s="36" t="s">
        <v>69</v>
      </c>
      <c r="B36" s="2">
        <v>45316</v>
      </c>
      <c r="C36" s="36" t="s">
        <v>50</v>
      </c>
      <c r="D36">
        <v>2024</v>
      </c>
      <c r="E36" s="36" t="s">
        <v>602</v>
      </c>
      <c r="F36" s="36" t="s">
        <v>42</v>
      </c>
      <c r="G36" s="36" t="s">
        <v>612</v>
      </c>
      <c r="H36" s="36" t="s">
        <v>628</v>
      </c>
      <c r="I36" s="36" t="s">
        <v>627</v>
      </c>
      <c r="J36" s="36" t="s">
        <v>615</v>
      </c>
      <c r="K36">
        <v>10</v>
      </c>
      <c r="L36">
        <v>1200</v>
      </c>
      <c r="M36">
        <v>12000</v>
      </c>
      <c r="N36">
        <v>7680</v>
      </c>
      <c r="O36">
        <v>4320</v>
      </c>
      <c r="P36" s="11">
        <v>0.36</v>
      </c>
    </row>
    <row r="37" spans="1:16" x14ac:dyDescent="0.25">
      <c r="A37" s="36" t="s">
        <v>133</v>
      </c>
      <c r="B37" s="2">
        <v>45317</v>
      </c>
      <c r="C37" s="36" t="s">
        <v>44</v>
      </c>
      <c r="D37">
        <v>2024</v>
      </c>
      <c r="E37" s="36" t="s">
        <v>592</v>
      </c>
      <c r="F37" s="36" t="s">
        <v>40</v>
      </c>
      <c r="G37" s="36" t="s">
        <v>608</v>
      </c>
      <c r="H37" s="36" t="s">
        <v>620</v>
      </c>
      <c r="I37" s="36" t="s">
        <v>614</v>
      </c>
      <c r="J37" s="36" t="s">
        <v>615</v>
      </c>
      <c r="K37">
        <v>18</v>
      </c>
      <c r="L37">
        <v>150</v>
      </c>
      <c r="M37">
        <v>2700</v>
      </c>
      <c r="N37">
        <v>1971</v>
      </c>
      <c r="O37">
        <v>729</v>
      </c>
      <c r="P37" s="11">
        <v>0.27</v>
      </c>
    </row>
    <row r="38" spans="1:16" x14ac:dyDescent="0.25">
      <c r="A38" s="36" t="s">
        <v>185</v>
      </c>
      <c r="B38" s="2">
        <v>45317</v>
      </c>
      <c r="C38" s="36" t="s">
        <v>80</v>
      </c>
      <c r="D38">
        <v>2024</v>
      </c>
      <c r="E38" s="36" t="s">
        <v>601</v>
      </c>
      <c r="F38" s="36" t="s">
        <v>41</v>
      </c>
      <c r="G38" s="36" t="s">
        <v>612</v>
      </c>
      <c r="H38" s="36" t="s">
        <v>616</v>
      </c>
      <c r="I38" s="36" t="s">
        <v>623</v>
      </c>
      <c r="J38" s="36" t="s">
        <v>618</v>
      </c>
      <c r="K38">
        <v>5</v>
      </c>
      <c r="L38">
        <v>300</v>
      </c>
      <c r="M38">
        <v>1500</v>
      </c>
      <c r="N38">
        <v>1065</v>
      </c>
      <c r="O38">
        <v>435</v>
      </c>
      <c r="P38" s="11">
        <v>0.28999999999999998</v>
      </c>
    </row>
    <row r="39" spans="1:16" x14ac:dyDescent="0.25">
      <c r="A39" s="36" t="s">
        <v>362</v>
      </c>
      <c r="B39" s="2">
        <v>45317</v>
      </c>
      <c r="C39" s="36" t="s">
        <v>57</v>
      </c>
      <c r="D39">
        <v>2024</v>
      </c>
      <c r="E39" s="36" t="s">
        <v>595</v>
      </c>
      <c r="F39" s="36" t="s">
        <v>39</v>
      </c>
      <c r="G39" s="36" t="s">
        <v>608</v>
      </c>
      <c r="H39" s="36" t="s">
        <v>626</v>
      </c>
      <c r="I39" s="36" t="s">
        <v>645</v>
      </c>
      <c r="J39" s="36" t="s">
        <v>618</v>
      </c>
      <c r="K39">
        <v>9</v>
      </c>
      <c r="L39">
        <v>12000</v>
      </c>
      <c r="M39">
        <v>108000</v>
      </c>
      <c r="N39">
        <v>78840</v>
      </c>
      <c r="O39">
        <v>29160</v>
      </c>
      <c r="P39" s="11">
        <v>0.27</v>
      </c>
    </row>
    <row r="40" spans="1:16" x14ac:dyDescent="0.25">
      <c r="A40" s="36" t="s">
        <v>151</v>
      </c>
      <c r="B40" s="2">
        <v>45318</v>
      </c>
      <c r="C40" s="36" t="s">
        <v>50</v>
      </c>
      <c r="D40">
        <v>2024</v>
      </c>
      <c r="E40" s="36" t="s">
        <v>599</v>
      </c>
      <c r="F40" s="36" t="s">
        <v>39</v>
      </c>
      <c r="G40" s="36" t="s">
        <v>612</v>
      </c>
      <c r="H40" s="36" t="s">
        <v>625</v>
      </c>
      <c r="I40" s="36" t="s">
        <v>645</v>
      </c>
      <c r="J40" s="36" t="s">
        <v>615</v>
      </c>
      <c r="K40">
        <v>8</v>
      </c>
      <c r="L40">
        <v>1200</v>
      </c>
      <c r="M40">
        <v>9600</v>
      </c>
      <c r="N40">
        <v>8352</v>
      </c>
      <c r="O40">
        <v>1248</v>
      </c>
      <c r="P40" s="11">
        <v>0.13</v>
      </c>
    </row>
    <row r="41" spans="1:16" x14ac:dyDescent="0.25">
      <c r="A41" s="36" t="s">
        <v>426</v>
      </c>
      <c r="B41" s="2">
        <v>45318</v>
      </c>
      <c r="C41" s="36" t="s">
        <v>80</v>
      </c>
      <c r="D41">
        <v>2024</v>
      </c>
      <c r="E41" s="36" t="s">
        <v>600</v>
      </c>
      <c r="F41" s="36" t="s">
        <v>39</v>
      </c>
      <c r="G41" s="36" t="s">
        <v>610</v>
      </c>
      <c r="H41" s="36" t="s">
        <v>626</v>
      </c>
      <c r="I41" s="36" t="s">
        <v>623</v>
      </c>
      <c r="J41" s="36" t="s">
        <v>618</v>
      </c>
      <c r="K41">
        <v>14</v>
      </c>
      <c r="L41">
        <v>700</v>
      </c>
      <c r="M41">
        <v>9800</v>
      </c>
      <c r="N41">
        <v>6860</v>
      </c>
      <c r="O41">
        <v>2940</v>
      </c>
      <c r="P41" s="11">
        <v>0.3</v>
      </c>
    </row>
    <row r="42" spans="1:16" x14ac:dyDescent="0.25">
      <c r="A42" s="36" t="s">
        <v>225</v>
      </c>
      <c r="B42" s="2">
        <v>45319</v>
      </c>
      <c r="C42" s="36" t="s">
        <v>48</v>
      </c>
      <c r="D42">
        <v>2024</v>
      </c>
      <c r="E42" s="36" t="s">
        <v>600</v>
      </c>
      <c r="F42" s="36" t="s">
        <v>39</v>
      </c>
      <c r="G42" s="36" t="s">
        <v>609</v>
      </c>
      <c r="H42" s="36" t="s">
        <v>620</v>
      </c>
      <c r="I42" s="36" t="s">
        <v>645</v>
      </c>
      <c r="J42" s="36" t="s">
        <v>615</v>
      </c>
      <c r="K42">
        <v>6</v>
      </c>
      <c r="L42">
        <v>50</v>
      </c>
      <c r="M42">
        <v>300</v>
      </c>
      <c r="N42">
        <v>255</v>
      </c>
      <c r="O42">
        <v>45</v>
      </c>
      <c r="P42" s="11">
        <v>0.15</v>
      </c>
    </row>
    <row r="43" spans="1:16" x14ac:dyDescent="0.25">
      <c r="A43" s="36" t="s">
        <v>84</v>
      </c>
      <c r="B43" s="2">
        <v>45320</v>
      </c>
      <c r="C43" s="36" t="s">
        <v>53</v>
      </c>
      <c r="D43">
        <v>2024</v>
      </c>
      <c r="E43" s="36" t="s">
        <v>598</v>
      </c>
      <c r="F43" s="36" t="s">
        <v>40</v>
      </c>
      <c r="G43" s="36" t="s">
        <v>610</v>
      </c>
      <c r="H43" s="36" t="s">
        <v>625</v>
      </c>
      <c r="I43" s="36" t="s">
        <v>645</v>
      </c>
      <c r="J43" s="36" t="s">
        <v>618</v>
      </c>
      <c r="K43">
        <v>8</v>
      </c>
      <c r="L43">
        <v>55000</v>
      </c>
      <c r="M43">
        <v>440000</v>
      </c>
      <c r="N43">
        <v>347600</v>
      </c>
      <c r="O43">
        <v>92400</v>
      </c>
      <c r="P43" s="11">
        <v>0.21</v>
      </c>
    </row>
    <row r="44" spans="1:16" x14ac:dyDescent="0.25">
      <c r="A44" s="36" t="s">
        <v>173</v>
      </c>
      <c r="B44" s="2">
        <v>45320</v>
      </c>
      <c r="C44" s="36" t="s">
        <v>53</v>
      </c>
      <c r="D44">
        <v>2024</v>
      </c>
      <c r="E44" s="36" t="s">
        <v>600</v>
      </c>
      <c r="F44" s="36" t="s">
        <v>39</v>
      </c>
      <c r="G44" s="36" t="s">
        <v>608</v>
      </c>
      <c r="H44" s="36" t="s">
        <v>628</v>
      </c>
      <c r="I44" s="36" t="s">
        <v>630</v>
      </c>
      <c r="J44" s="36" t="s">
        <v>618</v>
      </c>
      <c r="K44">
        <v>9</v>
      </c>
      <c r="L44">
        <v>20</v>
      </c>
      <c r="M44">
        <v>180</v>
      </c>
      <c r="N44">
        <v>131.4</v>
      </c>
      <c r="O44">
        <v>48.599999999999994</v>
      </c>
      <c r="P44" s="11">
        <v>0.26999999999999996</v>
      </c>
    </row>
    <row r="45" spans="1:16" x14ac:dyDescent="0.25">
      <c r="A45" s="36" t="s">
        <v>503</v>
      </c>
      <c r="B45" s="2">
        <v>45320</v>
      </c>
      <c r="C45" s="36" t="s">
        <v>83</v>
      </c>
      <c r="D45">
        <v>2024</v>
      </c>
      <c r="E45" s="36" t="s">
        <v>601</v>
      </c>
      <c r="F45" s="36" t="s">
        <v>41</v>
      </c>
      <c r="G45" s="36" t="s">
        <v>611</v>
      </c>
      <c r="H45" s="36" t="s">
        <v>629</v>
      </c>
      <c r="I45" s="36" t="s">
        <v>630</v>
      </c>
      <c r="J45" s="36" t="s">
        <v>615</v>
      </c>
      <c r="K45">
        <v>9</v>
      </c>
      <c r="L45">
        <v>12000</v>
      </c>
      <c r="M45">
        <v>108000</v>
      </c>
      <c r="N45">
        <v>77760</v>
      </c>
      <c r="O45">
        <v>30240</v>
      </c>
      <c r="P45" s="11">
        <v>0.28000000000000003</v>
      </c>
    </row>
    <row r="46" spans="1:16" x14ac:dyDescent="0.25">
      <c r="A46" s="36" t="s">
        <v>252</v>
      </c>
      <c r="B46" s="2">
        <v>45321</v>
      </c>
      <c r="C46" s="36" t="s">
        <v>80</v>
      </c>
      <c r="D46">
        <v>2024</v>
      </c>
      <c r="E46" s="36" t="s">
        <v>592</v>
      </c>
      <c r="F46" s="36" t="s">
        <v>40</v>
      </c>
      <c r="G46" s="36" t="s">
        <v>609</v>
      </c>
      <c r="H46" s="36" t="s">
        <v>629</v>
      </c>
      <c r="I46" s="36" t="s">
        <v>617</v>
      </c>
      <c r="J46" s="36" t="s">
        <v>618</v>
      </c>
      <c r="K46">
        <v>11</v>
      </c>
      <c r="L46">
        <v>55000</v>
      </c>
      <c r="M46">
        <v>605000</v>
      </c>
      <c r="N46">
        <v>477950</v>
      </c>
      <c r="O46">
        <v>127050</v>
      </c>
      <c r="P46" s="11">
        <v>0.21</v>
      </c>
    </row>
    <row r="47" spans="1:16" x14ac:dyDescent="0.25">
      <c r="A47" s="36" t="s">
        <v>103</v>
      </c>
      <c r="B47" s="2">
        <v>45323</v>
      </c>
      <c r="C47" s="36" t="s">
        <v>55</v>
      </c>
      <c r="D47">
        <v>2024</v>
      </c>
      <c r="E47" s="36" t="s">
        <v>603</v>
      </c>
      <c r="F47" s="36" t="s">
        <v>42</v>
      </c>
      <c r="G47" s="36" t="s">
        <v>610</v>
      </c>
      <c r="H47" s="36" t="s">
        <v>626</v>
      </c>
      <c r="I47" s="36" t="s">
        <v>645</v>
      </c>
      <c r="J47" s="36" t="s">
        <v>615</v>
      </c>
      <c r="K47">
        <v>10</v>
      </c>
      <c r="L47">
        <v>7000</v>
      </c>
      <c r="M47">
        <v>70000</v>
      </c>
      <c r="N47">
        <v>54600</v>
      </c>
      <c r="O47">
        <v>15400</v>
      </c>
      <c r="P47" s="11">
        <v>0.22</v>
      </c>
    </row>
    <row r="48" spans="1:16" x14ac:dyDescent="0.25">
      <c r="A48" s="36" t="s">
        <v>115</v>
      </c>
      <c r="B48" s="2">
        <v>45323</v>
      </c>
      <c r="C48" s="36" t="s">
        <v>80</v>
      </c>
      <c r="D48">
        <v>2024</v>
      </c>
      <c r="E48" s="36" t="s">
        <v>602</v>
      </c>
      <c r="F48" s="36" t="s">
        <v>42</v>
      </c>
      <c r="G48" s="36" t="s">
        <v>608</v>
      </c>
      <c r="H48" s="36" t="s">
        <v>625</v>
      </c>
      <c r="I48" s="36" t="s">
        <v>623</v>
      </c>
      <c r="J48" s="36" t="s">
        <v>615</v>
      </c>
      <c r="K48">
        <v>20</v>
      </c>
      <c r="L48">
        <v>7000</v>
      </c>
      <c r="M48">
        <v>140000</v>
      </c>
      <c r="N48">
        <v>119000</v>
      </c>
      <c r="O48">
        <v>21000</v>
      </c>
      <c r="P48" s="11">
        <v>0.15</v>
      </c>
    </row>
    <row r="49" spans="1:16" x14ac:dyDescent="0.25">
      <c r="A49" s="36" t="s">
        <v>156</v>
      </c>
      <c r="B49" s="2">
        <v>45323</v>
      </c>
      <c r="C49" s="36" t="s">
        <v>59</v>
      </c>
      <c r="D49">
        <v>2024</v>
      </c>
      <c r="E49" s="36" t="s">
        <v>597</v>
      </c>
      <c r="F49" s="36" t="s">
        <v>41</v>
      </c>
      <c r="G49" s="36" t="s">
        <v>609</v>
      </c>
      <c r="H49" s="36" t="s">
        <v>629</v>
      </c>
      <c r="I49" s="36" t="s">
        <v>630</v>
      </c>
      <c r="J49" s="36" t="s">
        <v>618</v>
      </c>
      <c r="K49">
        <v>11</v>
      </c>
      <c r="L49">
        <v>50</v>
      </c>
      <c r="M49">
        <v>550</v>
      </c>
      <c r="N49">
        <v>478.5</v>
      </c>
      <c r="O49">
        <v>71.5</v>
      </c>
      <c r="P49" s="11">
        <v>0.13</v>
      </c>
    </row>
    <row r="50" spans="1:16" x14ac:dyDescent="0.25">
      <c r="A50" s="36" t="s">
        <v>174</v>
      </c>
      <c r="B50" s="2">
        <v>45323</v>
      </c>
      <c r="C50" s="36" t="s">
        <v>57</v>
      </c>
      <c r="D50">
        <v>2024</v>
      </c>
      <c r="E50" s="36" t="s">
        <v>595</v>
      </c>
      <c r="F50" s="36" t="s">
        <v>39</v>
      </c>
      <c r="G50" s="36" t="s">
        <v>611</v>
      </c>
      <c r="H50" s="36" t="s">
        <v>629</v>
      </c>
      <c r="I50" s="36" t="s">
        <v>645</v>
      </c>
      <c r="J50" s="36" t="s">
        <v>615</v>
      </c>
      <c r="K50">
        <v>7</v>
      </c>
      <c r="L50">
        <v>3500</v>
      </c>
      <c r="M50">
        <v>24500</v>
      </c>
      <c r="N50">
        <v>21805</v>
      </c>
      <c r="O50">
        <v>2695</v>
      </c>
      <c r="P50" s="11">
        <v>0.11</v>
      </c>
    </row>
    <row r="51" spans="1:16" x14ac:dyDescent="0.25">
      <c r="A51" s="36" t="s">
        <v>278</v>
      </c>
      <c r="B51" s="2">
        <v>45323</v>
      </c>
      <c r="C51" s="36" t="s">
        <v>44</v>
      </c>
      <c r="D51">
        <v>2024</v>
      </c>
      <c r="E51" s="36" t="s">
        <v>595</v>
      </c>
      <c r="F51" s="36" t="s">
        <v>39</v>
      </c>
      <c r="G51" s="36" t="s">
        <v>611</v>
      </c>
      <c r="H51" s="36" t="s">
        <v>625</v>
      </c>
      <c r="I51" s="36" t="s">
        <v>645</v>
      </c>
      <c r="J51" s="36" t="s">
        <v>618</v>
      </c>
      <c r="K51">
        <v>10</v>
      </c>
      <c r="L51">
        <v>1200</v>
      </c>
      <c r="M51">
        <v>12000</v>
      </c>
      <c r="N51">
        <v>7560</v>
      </c>
      <c r="O51">
        <v>4440</v>
      </c>
      <c r="P51" s="11">
        <v>0.37</v>
      </c>
    </row>
    <row r="52" spans="1:16" x14ac:dyDescent="0.25">
      <c r="A52" s="36" t="s">
        <v>236</v>
      </c>
      <c r="B52" s="2">
        <v>45324</v>
      </c>
      <c r="C52" s="36" t="s">
        <v>50</v>
      </c>
      <c r="D52">
        <v>2024</v>
      </c>
      <c r="E52" s="36" t="s">
        <v>601</v>
      </c>
      <c r="F52" s="36" t="s">
        <v>41</v>
      </c>
      <c r="G52" s="36" t="s">
        <v>610</v>
      </c>
      <c r="H52" s="36" t="s">
        <v>628</v>
      </c>
      <c r="I52" s="36" t="s">
        <v>617</v>
      </c>
      <c r="J52" s="36" t="s">
        <v>615</v>
      </c>
      <c r="K52">
        <v>9</v>
      </c>
      <c r="L52">
        <v>300</v>
      </c>
      <c r="M52">
        <v>2700</v>
      </c>
      <c r="N52">
        <v>2079</v>
      </c>
      <c r="O52">
        <v>621</v>
      </c>
      <c r="P52" s="11">
        <v>0.23</v>
      </c>
    </row>
    <row r="53" spans="1:16" x14ac:dyDescent="0.25">
      <c r="A53" s="36" t="s">
        <v>304</v>
      </c>
      <c r="B53" s="2">
        <v>45324</v>
      </c>
      <c r="C53" s="36" t="s">
        <v>80</v>
      </c>
      <c r="D53">
        <v>2024</v>
      </c>
      <c r="E53" s="36" t="s">
        <v>603</v>
      </c>
      <c r="F53" s="36" t="s">
        <v>42</v>
      </c>
      <c r="G53" s="36" t="s">
        <v>612</v>
      </c>
      <c r="H53" s="36" t="s">
        <v>626</v>
      </c>
      <c r="I53" s="36" t="s">
        <v>617</v>
      </c>
      <c r="J53" s="36" t="s">
        <v>615</v>
      </c>
      <c r="K53">
        <v>16</v>
      </c>
      <c r="L53">
        <v>150</v>
      </c>
      <c r="M53">
        <v>2400</v>
      </c>
      <c r="N53">
        <v>2088</v>
      </c>
      <c r="O53">
        <v>312</v>
      </c>
      <c r="P53" s="11">
        <v>0.13</v>
      </c>
    </row>
    <row r="54" spans="1:16" x14ac:dyDescent="0.25">
      <c r="A54" s="36" t="s">
        <v>54</v>
      </c>
      <c r="B54" s="2">
        <v>45325</v>
      </c>
      <c r="C54" s="36" t="s">
        <v>55</v>
      </c>
      <c r="D54">
        <v>2024</v>
      </c>
      <c r="E54" s="36" t="s">
        <v>597</v>
      </c>
      <c r="F54" s="36" t="s">
        <v>41</v>
      </c>
      <c r="G54" s="36" t="s">
        <v>608</v>
      </c>
      <c r="H54" s="36" t="s">
        <v>622</v>
      </c>
      <c r="I54" s="36" t="s">
        <v>623</v>
      </c>
      <c r="J54" s="36" t="s">
        <v>618</v>
      </c>
      <c r="K54">
        <v>20</v>
      </c>
      <c r="L54">
        <v>20</v>
      </c>
      <c r="M54">
        <v>400</v>
      </c>
      <c r="N54">
        <v>328</v>
      </c>
      <c r="O54">
        <v>72</v>
      </c>
      <c r="P54" s="11">
        <v>0.18</v>
      </c>
    </row>
    <row r="55" spans="1:16" x14ac:dyDescent="0.25">
      <c r="A55" s="36" t="s">
        <v>280</v>
      </c>
      <c r="B55" s="2">
        <v>45326</v>
      </c>
      <c r="C55" s="36" t="s">
        <v>53</v>
      </c>
      <c r="D55">
        <v>2024</v>
      </c>
      <c r="E55" s="36" t="s">
        <v>595</v>
      </c>
      <c r="F55" s="36" t="s">
        <v>39</v>
      </c>
      <c r="G55" s="36" t="s">
        <v>609</v>
      </c>
      <c r="H55" s="36" t="s">
        <v>624</v>
      </c>
      <c r="I55" s="36" t="s">
        <v>623</v>
      </c>
      <c r="J55" s="36" t="s">
        <v>615</v>
      </c>
      <c r="K55">
        <v>14</v>
      </c>
      <c r="L55">
        <v>4000</v>
      </c>
      <c r="M55">
        <v>56000</v>
      </c>
      <c r="N55">
        <v>39760</v>
      </c>
      <c r="O55">
        <v>16240</v>
      </c>
      <c r="P55" s="11">
        <v>0.28999999999999998</v>
      </c>
    </row>
    <row r="56" spans="1:16" x14ac:dyDescent="0.25">
      <c r="A56" s="36" t="s">
        <v>68</v>
      </c>
      <c r="B56" s="2">
        <v>45327</v>
      </c>
      <c r="C56" s="36" t="s">
        <v>44</v>
      </c>
      <c r="D56">
        <v>2024</v>
      </c>
      <c r="E56" s="36" t="s">
        <v>597</v>
      </c>
      <c r="F56" s="36" t="s">
        <v>41</v>
      </c>
      <c r="G56" s="36" t="s">
        <v>609</v>
      </c>
      <c r="H56" s="36" t="s">
        <v>621</v>
      </c>
      <c r="I56" s="36" t="s">
        <v>627</v>
      </c>
      <c r="J56" s="36" t="s">
        <v>618</v>
      </c>
      <c r="K56">
        <v>3</v>
      </c>
      <c r="L56">
        <v>15000</v>
      </c>
      <c r="M56">
        <v>45000</v>
      </c>
      <c r="N56">
        <v>40050</v>
      </c>
      <c r="O56">
        <v>4950</v>
      </c>
      <c r="P56" s="11">
        <v>0.11</v>
      </c>
    </row>
    <row r="57" spans="1:16" x14ac:dyDescent="0.25">
      <c r="A57" s="36" t="s">
        <v>268</v>
      </c>
      <c r="B57" s="2">
        <v>45327</v>
      </c>
      <c r="C57" s="36" t="s">
        <v>55</v>
      </c>
      <c r="D57">
        <v>2024</v>
      </c>
      <c r="E57" s="36" t="s">
        <v>606</v>
      </c>
      <c r="F57" s="36" t="s">
        <v>40</v>
      </c>
      <c r="G57" s="36" t="s">
        <v>612</v>
      </c>
      <c r="H57" s="36" t="s">
        <v>622</v>
      </c>
      <c r="I57" s="36" t="s">
        <v>627</v>
      </c>
      <c r="J57" s="36" t="s">
        <v>618</v>
      </c>
      <c r="K57">
        <v>3</v>
      </c>
      <c r="L57">
        <v>45000</v>
      </c>
      <c r="M57">
        <v>135000</v>
      </c>
      <c r="N57">
        <v>101250</v>
      </c>
      <c r="O57">
        <v>33750</v>
      </c>
      <c r="P57" s="11">
        <v>0.25</v>
      </c>
    </row>
    <row r="58" spans="1:16" x14ac:dyDescent="0.25">
      <c r="A58" s="36" t="s">
        <v>591</v>
      </c>
      <c r="B58" s="2">
        <v>45327</v>
      </c>
      <c r="C58" s="36" t="s">
        <v>46</v>
      </c>
      <c r="D58">
        <v>2024</v>
      </c>
      <c r="E58" s="36" t="s">
        <v>599</v>
      </c>
      <c r="F58" s="36" t="s">
        <v>39</v>
      </c>
      <c r="G58" s="36" t="s">
        <v>609</v>
      </c>
      <c r="H58" s="36" t="s">
        <v>625</v>
      </c>
      <c r="I58" s="36" t="s">
        <v>627</v>
      </c>
      <c r="J58" s="36" t="s">
        <v>615</v>
      </c>
      <c r="K58">
        <v>14</v>
      </c>
      <c r="L58">
        <v>55000</v>
      </c>
      <c r="M58">
        <v>770000</v>
      </c>
      <c r="N58">
        <v>492800</v>
      </c>
      <c r="O58">
        <v>277200</v>
      </c>
      <c r="P58" s="11">
        <v>0.36</v>
      </c>
    </row>
    <row r="59" spans="1:16" x14ac:dyDescent="0.25">
      <c r="A59" s="36" t="s">
        <v>58</v>
      </c>
      <c r="B59" s="2">
        <v>45328</v>
      </c>
      <c r="C59" s="36" t="s">
        <v>59</v>
      </c>
      <c r="D59">
        <v>2024</v>
      </c>
      <c r="E59" s="36" t="s">
        <v>597</v>
      </c>
      <c r="F59" s="36" t="s">
        <v>41</v>
      </c>
      <c r="G59" s="36" t="s">
        <v>611</v>
      </c>
      <c r="H59" s="36" t="s">
        <v>624</v>
      </c>
      <c r="I59" s="36" t="s">
        <v>623</v>
      </c>
      <c r="J59" s="36" t="s">
        <v>615</v>
      </c>
      <c r="K59">
        <v>3</v>
      </c>
      <c r="L59">
        <v>25000</v>
      </c>
      <c r="M59">
        <v>75000</v>
      </c>
      <c r="N59">
        <v>56250</v>
      </c>
      <c r="O59">
        <v>18750</v>
      </c>
      <c r="P59" s="11">
        <v>0.25</v>
      </c>
    </row>
    <row r="60" spans="1:16" x14ac:dyDescent="0.25">
      <c r="A60" s="36" t="s">
        <v>76</v>
      </c>
      <c r="B60" s="2">
        <v>45328</v>
      </c>
      <c r="C60" s="36" t="s">
        <v>50</v>
      </c>
      <c r="D60">
        <v>2024</v>
      </c>
      <c r="E60" s="36" t="s">
        <v>592</v>
      </c>
      <c r="F60" s="36" t="s">
        <v>40</v>
      </c>
      <c r="G60" s="36" t="s">
        <v>610</v>
      </c>
      <c r="H60" s="36" t="s">
        <v>629</v>
      </c>
      <c r="I60" s="36" t="s">
        <v>623</v>
      </c>
      <c r="J60" s="36" t="s">
        <v>615</v>
      </c>
      <c r="K60">
        <v>18</v>
      </c>
      <c r="L60">
        <v>3500</v>
      </c>
      <c r="M60">
        <v>63000</v>
      </c>
      <c r="N60">
        <v>51030</v>
      </c>
      <c r="O60">
        <v>11970</v>
      </c>
      <c r="P60" s="11">
        <v>0.19</v>
      </c>
    </row>
    <row r="61" spans="1:16" x14ac:dyDescent="0.25">
      <c r="A61" s="36" t="s">
        <v>584</v>
      </c>
      <c r="B61" s="2">
        <v>45328</v>
      </c>
      <c r="C61" s="36" t="s">
        <v>59</v>
      </c>
      <c r="D61">
        <v>2024</v>
      </c>
      <c r="E61" s="36" t="s">
        <v>594</v>
      </c>
      <c r="F61" s="36" t="s">
        <v>39</v>
      </c>
      <c r="G61" s="36" t="s">
        <v>612</v>
      </c>
      <c r="H61" s="36" t="s">
        <v>629</v>
      </c>
      <c r="I61" s="36" t="s">
        <v>630</v>
      </c>
      <c r="J61" s="36" t="s">
        <v>615</v>
      </c>
      <c r="K61">
        <v>4</v>
      </c>
      <c r="L61">
        <v>20</v>
      </c>
      <c r="M61">
        <v>80</v>
      </c>
      <c r="N61">
        <v>62.4</v>
      </c>
      <c r="O61">
        <v>17.600000000000001</v>
      </c>
      <c r="P61" s="11">
        <v>0.22000000000000003</v>
      </c>
    </row>
    <row r="62" spans="1:16" x14ac:dyDescent="0.25">
      <c r="A62" s="36" t="s">
        <v>201</v>
      </c>
      <c r="B62" s="2">
        <v>45329</v>
      </c>
      <c r="C62" s="36" t="s">
        <v>44</v>
      </c>
      <c r="D62">
        <v>2024</v>
      </c>
      <c r="E62" s="36" t="s">
        <v>598</v>
      </c>
      <c r="F62" s="36" t="s">
        <v>40</v>
      </c>
      <c r="G62" s="36" t="s">
        <v>609</v>
      </c>
      <c r="H62" s="36" t="s">
        <v>629</v>
      </c>
      <c r="I62" s="36" t="s">
        <v>630</v>
      </c>
      <c r="J62" s="36" t="s">
        <v>615</v>
      </c>
      <c r="K62">
        <v>5</v>
      </c>
      <c r="L62">
        <v>150</v>
      </c>
      <c r="M62">
        <v>750</v>
      </c>
      <c r="N62">
        <v>675</v>
      </c>
      <c r="O62">
        <v>75</v>
      </c>
      <c r="P62" s="11">
        <v>0.1</v>
      </c>
    </row>
    <row r="63" spans="1:16" x14ac:dyDescent="0.25">
      <c r="A63" s="36" t="s">
        <v>349</v>
      </c>
      <c r="B63" s="2">
        <v>45329</v>
      </c>
      <c r="C63" s="36" t="s">
        <v>55</v>
      </c>
      <c r="D63">
        <v>2024</v>
      </c>
      <c r="E63" s="36" t="s">
        <v>596</v>
      </c>
      <c r="F63" s="36" t="s">
        <v>39</v>
      </c>
      <c r="G63" s="36" t="s">
        <v>612</v>
      </c>
      <c r="H63" s="36" t="s">
        <v>620</v>
      </c>
      <c r="I63" s="36" t="s">
        <v>645</v>
      </c>
      <c r="J63" s="36" t="s">
        <v>615</v>
      </c>
      <c r="K63">
        <v>9</v>
      </c>
      <c r="L63">
        <v>50</v>
      </c>
      <c r="M63">
        <v>450</v>
      </c>
      <c r="N63">
        <v>279</v>
      </c>
      <c r="O63">
        <v>171</v>
      </c>
      <c r="P63" s="11">
        <v>0.38</v>
      </c>
    </row>
    <row r="64" spans="1:16" x14ac:dyDescent="0.25">
      <c r="A64" s="36" t="s">
        <v>160</v>
      </c>
      <c r="B64" s="2">
        <v>45330</v>
      </c>
      <c r="C64" s="36" t="s">
        <v>83</v>
      </c>
      <c r="D64">
        <v>2024</v>
      </c>
      <c r="E64" s="36" t="s">
        <v>599</v>
      </c>
      <c r="F64" s="36" t="s">
        <v>39</v>
      </c>
      <c r="G64" s="36" t="s">
        <v>610</v>
      </c>
      <c r="H64" s="36" t="s">
        <v>620</v>
      </c>
      <c r="I64" s="36" t="s">
        <v>645</v>
      </c>
      <c r="J64" s="36" t="s">
        <v>618</v>
      </c>
      <c r="K64">
        <v>13</v>
      </c>
      <c r="L64">
        <v>9000</v>
      </c>
      <c r="M64">
        <v>117000</v>
      </c>
      <c r="N64">
        <v>70200</v>
      </c>
      <c r="O64">
        <v>46800</v>
      </c>
      <c r="P64" s="11">
        <v>0.4</v>
      </c>
    </row>
    <row r="65" spans="1:16" x14ac:dyDescent="0.25">
      <c r="A65" s="36" t="s">
        <v>536</v>
      </c>
      <c r="B65" s="2">
        <v>45330</v>
      </c>
      <c r="C65" s="36" t="s">
        <v>55</v>
      </c>
      <c r="D65">
        <v>2024</v>
      </c>
      <c r="E65" s="36" t="s">
        <v>599</v>
      </c>
      <c r="F65" s="36" t="s">
        <v>39</v>
      </c>
      <c r="G65" s="36" t="s">
        <v>609</v>
      </c>
      <c r="H65" s="36" t="s">
        <v>628</v>
      </c>
      <c r="I65" s="36" t="s">
        <v>645</v>
      </c>
      <c r="J65" s="36" t="s">
        <v>615</v>
      </c>
      <c r="K65">
        <v>20</v>
      </c>
      <c r="L65">
        <v>4000</v>
      </c>
      <c r="M65">
        <v>80000</v>
      </c>
      <c r="N65">
        <v>66400</v>
      </c>
      <c r="O65">
        <v>13600</v>
      </c>
      <c r="P65" s="11">
        <v>0.17</v>
      </c>
    </row>
    <row r="66" spans="1:16" x14ac:dyDescent="0.25">
      <c r="A66" s="36" t="s">
        <v>172</v>
      </c>
      <c r="B66" s="2">
        <v>45331</v>
      </c>
      <c r="C66" s="36" t="s">
        <v>55</v>
      </c>
      <c r="D66">
        <v>2024</v>
      </c>
      <c r="E66" s="36" t="s">
        <v>605</v>
      </c>
      <c r="F66" s="36" t="s">
        <v>40</v>
      </c>
      <c r="G66" s="36" t="s">
        <v>612</v>
      </c>
      <c r="H66" s="36" t="s">
        <v>626</v>
      </c>
      <c r="I66" s="36" t="s">
        <v>630</v>
      </c>
      <c r="J66" s="36" t="s">
        <v>615</v>
      </c>
      <c r="K66">
        <v>2</v>
      </c>
      <c r="L66">
        <v>3500</v>
      </c>
      <c r="M66">
        <v>7000</v>
      </c>
      <c r="N66">
        <v>4340</v>
      </c>
      <c r="O66">
        <v>2660</v>
      </c>
      <c r="P66" s="11">
        <v>0.38</v>
      </c>
    </row>
    <row r="67" spans="1:16" x14ac:dyDescent="0.25">
      <c r="A67" s="36" t="s">
        <v>509</v>
      </c>
      <c r="B67" s="2">
        <v>45332</v>
      </c>
      <c r="C67" s="36" t="s">
        <v>59</v>
      </c>
      <c r="D67">
        <v>2024</v>
      </c>
      <c r="E67" s="36" t="s">
        <v>605</v>
      </c>
      <c r="F67" s="36" t="s">
        <v>40</v>
      </c>
      <c r="G67" s="36" t="s">
        <v>610</v>
      </c>
      <c r="H67" s="36" t="s">
        <v>621</v>
      </c>
      <c r="I67" s="36" t="s">
        <v>627</v>
      </c>
      <c r="J67" s="36" t="s">
        <v>618</v>
      </c>
      <c r="K67">
        <v>12</v>
      </c>
      <c r="L67">
        <v>25000</v>
      </c>
      <c r="M67">
        <v>300000</v>
      </c>
      <c r="N67">
        <v>213000</v>
      </c>
      <c r="O67">
        <v>87000</v>
      </c>
      <c r="P67" s="11">
        <v>0.28999999999999998</v>
      </c>
    </row>
    <row r="68" spans="1:16" x14ac:dyDescent="0.25">
      <c r="A68" s="36" t="s">
        <v>233</v>
      </c>
      <c r="B68" s="2">
        <v>45333</v>
      </c>
      <c r="C68" s="36" t="s">
        <v>55</v>
      </c>
      <c r="D68">
        <v>2024</v>
      </c>
      <c r="E68" s="36" t="s">
        <v>597</v>
      </c>
      <c r="F68" s="36" t="s">
        <v>41</v>
      </c>
      <c r="G68" s="36" t="s">
        <v>610</v>
      </c>
      <c r="H68" s="36" t="s">
        <v>625</v>
      </c>
      <c r="I68" s="36" t="s">
        <v>645</v>
      </c>
      <c r="J68" s="36" t="s">
        <v>615</v>
      </c>
      <c r="K68">
        <v>13</v>
      </c>
      <c r="L68">
        <v>50</v>
      </c>
      <c r="M68">
        <v>650</v>
      </c>
      <c r="N68">
        <v>455</v>
      </c>
      <c r="O68">
        <v>195</v>
      </c>
      <c r="P68" s="11">
        <v>0.3</v>
      </c>
    </row>
    <row r="69" spans="1:16" x14ac:dyDescent="0.25">
      <c r="A69" s="36" t="s">
        <v>562</v>
      </c>
      <c r="B69" s="2">
        <v>45333</v>
      </c>
      <c r="C69" s="36" t="s">
        <v>46</v>
      </c>
      <c r="D69">
        <v>2024</v>
      </c>
      <c r="E69" s="36" t="s">
        <v>606</v>
      </c>
      <c r="F69" s="36" t="s">
        <v>40</v>
      </c>
      <c r="G69" s="36" t="s">
        <v>612</v>
      </c>
      <c r="H69" s="36" t="s">
        <v>625</v>
      </c>
      <c r="I69" s="36" t="s">
        <v>627</v>
      </c>
      <c r="J69" s="36" t="s">
        <v>615</v>
      </c>
      <c r="K69">
        <v>1</v>
      </c>
      <c r="L69">
        <v>4000</v>
      </c>
      <c r="M69">
        <v>4000</v>
      </c>
      <c r="N69">
        <v>3440</v>
      </c>
      <c r="O69">
        <v>560</v>
      </c>
      <c r="P69" s="11">
        <v>0.14000000000000001</v>
      </c>
    </row>
    <row r="70" spans="1:16" x14ac:dyDescent="0.25">
      <c r="A70" s="36" t="s">
        <v>303</v>
      </c>
      <c r="B70" s="2">
        <v>45334</v>
      </c>
      <c r="C70" s="36" t="s">
        <v>50</v>
      </c>
      <c r="D70">
        <v>2024</v>
      </c>
      <c r="E70" s="36" t="s">
        <v>605</v>
      </c>
      <c r="F70" s="36" t="s">
        <v>40</v>
      </c>
      <c r="G70" s="36" t="s">
        <v>610</v>
      </c>
      <c r="H70" s="36" t="s">
        <v>616</v>
      </c>
      <c r="I70" s="36" t="s">
        <v>645</v>
      </c>
      <c r="J70" s="36" t="s">
        <v>615</v>
      </c>
      <c r="K70">
        <v>16</v>
      </c>
      <c r="L70">
        <v>3500</v>
      </c>
      <c r="M70">
        <v>56000</v>
      </c>
      <c r="N70">
        <v>36960</v>
      </c>
      <c r="O70">
        <v>19040</v>
      </c>
      <c r="P70" s="11">
        <v>0.34</v>
      </c>
    </row>
    <row r="71" spans="1:16" x14ac:dyDescent="0.25">
      <c r="A71" s="36" t="s">
        <v>257</v>
      </c>
      <c r="B71" s="2">
        <v>45335</v>
      </c>
      <c r="C71" s="36" t="s">
        <v>57</v>
      </c>
      <c r="D71">
        <v>2024</v>
      </c>
      <c r="E71" s="36" t="s">
        <v>602</v>
      </c>
      <c r="F71" s="36" t="s">
        <v>42</v>
      </c>
      <c r="G71" s="36" t="s">
        <v>608</v>
      </c>
      <c r="H71" s="36" t="s">
        <v>626</v>
      </c>
      <c r="I71" s="36" t="s">
        <v>614</v>
      </c>
      <c r="J71" s="36" t="s">
        <v>618</v>
      </c>
      <c r="K71">
        <v>13</v>
      </c>
      <c r="L71">
        <v>20</v>
      </c>
      <c r="M71">
        <v>260</v>
      </c>
      <c r="N71">
        <v>228.8</v>
      </c>
      <c r="O71">
        <v>31.199999999999989</v>
      </c>
      <c r="P71" s="11">
        <v>0.11999999999999995</v>
      </c>
    </row>
    <row r="72" spans="1:16" x14ac:dyDescent="0.25">
      <c r="A72" s="36" t="s">
        <v>260</v>
      </c>
      <c r="B72" s="2">
        <v>45335</v>
      </c>
      <c r="C72" s="36" t="s">
        <v>48</v>
      </c>
      <c r="D72">
        <v>2024</v>
      </c>
      <c r="E72" s="36" t="s">
        <v>596</v>
      </c>
      <c r="F72" s="36" t="s">
        <v>39</v>
      </c>
      <c r="G72" s="36" t="s">
        <v>609</v>
      </c>
      <c r="H72" s="36" t="s">
        <v>628</v>
      </c>
      <c r="I72" s="36" t="s">
        <v>619</v>
      </c>
      <c r="J72" s="36" t="s">
        <v>618</v>
      </c>
      <c r="K72">
        <v>4</v>
      </c>
      <c r="L72">
        <v>25000</v>
      </c>
      <c r="M72">
        <v>100000</v>
      </c>
      <c r="N72">
        <v>73000</v>
      </c>
      <c r="O72">
        <v>27000</v>
      </c>
      <c r="P72" s="11">
        <v>0.27</v>
      </c>
    </row>
    <row r="73" spans="1:16" x14ac:dyDescent="0.25">
      <c r="A73" s="36" t="s">
        <v>510</v>
      </c>
      <c r="B73" s="2">
        <v>45335</v>
      </c>
      <c r="C73" s="36" t="s">
        <v>65</v>
      </c>
      <c r="D73">
        <v>2024</v>
      </c>
      <c r="E73" s="36" t="s">
        <v>607</v>
      </c>
      <c r="F73" s="36" t="s">
        <v>42</v>
      </c>
      <c r="G73" s="36" t="s">
        <v>612</v>
      </c>
      <c r="H73" s="36" t="s">
        <v>624</v>
      </c>
      <c r="I73" s="36" t="s">
        <v>645</v>
      </c>
      <c r="J73" s="36" t="s">
        <v>615</v>
      </c>
      <c r="K73">
        <v>14</v>
      </c>
      <c r="L73">
        <v>4000</v>
      </c>
      <c r="M73">
        <v>56000</v>
      </c>
      <c r="N73">
        <v>49840</v>
      </c>
      <c r="O73">
        <v>6160</v>
      </c>
      <c r="P73" s="11">
        <v>0.11</v>
      </c>
    </row>
    <row r="74" spans="1:16" x14ac:dyDescent="0.25">
      <c r="A74" s="36" t="s">
        <v>382</v>
      </c>
      <c r="B74" s="2">
        <v>45336</v>
      </c>
      <c r="C74" s="36" t="s">
        <v>48</v>
      </c>
      <c r="D74">
        <v>2024</v>
      </c>
      <c r="E74" s="36" t="s">
        <v>605</v>
      </c>
      <c r="F74" s="36" t="s">
        <v>40</v>
      </c>
      <c r="G74" s="36" t="s">
        <v>609</v>
      </c>
      <c r="H74" s="36" t="s">
        <v>616</v>
      </c>
      <c r="I74" s="36" t="s">
        <v>645</v>
      </c>
      <c r="J74" s="36" t="s">
        <v>615</v>
      </c>
      <c r="K74">
        <v>15</v>
      </c>
      <c r="L74">
        <v>150</v>
      </c>
      <c r="M74">
        <v>2250</v>
      </c>
      <c r="N74">
        <v>1395</v>
      </c>
      <c r="O74">
        <v>855</v>
      </c>
      <c r="P74" s="11">
        <v>0.38</v>
      </c>
    </row>
    <row r="75" spans="1:16" x14ac:dyDescent="0.25">
      <c r="A75" s="36" t="s">
        <v>549</v>
      </c>
      <c r="B75" s="2">
        <v>45336</v>
      </c>
      <c r="C75" s="36" t="s">
        <v>80</v>
      </c>
      <c r="D75">
        <v>2024</v>
      </c>
      <c r="E75" s="36" t="s">
        <v>599</v>
      </c>
      <c r="F75" s="36" t="s">
        <v>39</v>
      </c>
      <c r="G75" s="36" t="s">
        <v>612</v>
      </c>
      <c r="H75" s="36" t="s">
        <v>625</v>
      </c>
      <c r="I75" s="36" t="s">
        <v>645</v>
      </c>
      <c r="J75" s="36" t="s">
        <v>618</v>
      </c>
      <c r="K75">
        <v>9</v>
      </c>
      <c r="L75">
        <v>7000</v>
      </c>
      <c r="M75">
        <v>63000</v>
      </c>
      <c r="N75">
        <v>49140</v>
      </c>
      <c r="O75">
        <v>13860</v>
      </c>
      <c r="P75" s="11">
        <v>0.22</v>
      </c>
    </row>
    <row r="76" spans="1:16" x14ac:dyDescent="0.25">
      <c r="A76" s="36" t="s">
        <v>211</v>
      </c>
      <c r="B76" s="2">
        <v>45338</v>
      </c>
      <c r="C76" s="36" t="s">
        <v>46</v>
      </c>
      <c r="D76">
        <v>2024</v>
      </c>
      <c r="E76" s="36" t="s">
        <v>592</v>
      </c>
      <c r="F76" s="36" t="s">
        <v>40</v>
      </c>
      <c r="G76" s="36" t="s">
        <v>608</v>
      </c>
      <c r="H76" s="36" t="s">
        <v>621</v>
      </c>
      <c r="I76" s="36" t="s">
        <v>623</v>
      </c>
      <c r="J76" s="36" t="s">
        <v>618</v>
      </c>
      <c r="K76">
        <v>10</v>
      </c>
      <c r="L76">
        <v>3500</v>
      </c>
      <c r="M76">
        <v>35000</v>
      </c>
      <c r="N76">
        <v>24850</v>
      </c>
      <c r="O76">
        <v>10150</v>
      </c>
      <c r="P76" s="11">
        <v>0.28999999999999998</v>
      </c>
    </row>
    <row r="77" spans="1:16" x14ac:dyDescent="0.25">
      <c r="A77" s="36" t="s">
        <v>215</v>
      </c>
      <c r="B77" s="2">
        <v>45339</v>
      </c>
      <c r="C77" s="36" t="s">
        <v>80</v>
      </c>
      <c r="D77">
        <v>2024</v>
      </c>
      <c r="E77" s="36" t="s">
        <v>604</v>
      </c>
      <c r="F77" s="36" t="s">
        <v>41</v>
      </c>
      <c r="G77" s="36" t="s">
        <v>608</v>
      </c>
      <c r="H77" s="36" t="s">
        <v>626</v>
      </c>
      <c r="I77" s="36" t="s">
        <v>627</v>
      </c>
      <c r="J77" s="36" t="s">
        <v>618</v>
      </c>
      <c r="K77">
        <v>18</v>
      </c>
      <c r="L77">
        <v>12000</v>
      </c>
      <c r="M77">
        <v>216000</v>
      </c>
      <c r="N77">
        <v>129600</v>
      </c>
      <c r="O77">
        <v>86400</v>
      </c>
      <c r="P77" s="11">
        <v>0.4</v>
      </c>
    </row>
    <row r="78" spans="1:16" x14ac:dyDescent="0.25">
      <c r="A78" s="36" t="s">
        <v>293</v>
      </c>
      <c r="B78" s="2">
        <v>45339</v>
      </c>
      <c r="C78" s="36" t="s">
        <v>55</v>
      </c>
      <c r="D78">
        <v>2024</v>
      </c>
      <c r="E78" s="36" t="s">
        <v>604</v>
      </c>
      <c r="F78" s="36" t="s">
        <v>41</v>
      </c>
      <c r="G78" s="36" t="s">
        <v>610</v>
      </c>
      <c r="H78" s="36" t="s">
        <v>629</v>
      </c>
      <c r="I78" s="36" t="s">
        <v>617</v>
      </c>
      <c r="J78" s="36" t="s">
        <v>618</v>
      </c>
      <c r="K78">
        <v>3</v>
      </c>
      <c r="L78">
        <v>45000</v>
      </c>
      <c r="M78">
        <v>135000</v>
      </c>
      <c r="N78">
        <v>91800</v>
      </c>
      <c r="O78">
        <v>43200</v>
      </c>
      <c r="P78" s="11">
        <v>0.32</v>
      </c>
    </row>
    <row r="79" spans="1:16" x14ac:dyDescent="0.25">
      <c r="A79" s="36" t="s">
        <v>344</v>
      </c>
      <c r="B79" s="2">
        <v>45339</v>
      </c>
      <c r="C79" s="36" t="s">
        <v>55</v>
      </c>
      <c r="D79">
        <v>2024</v>
      </c>
      <c r="E79" s="36" t="s">
        <v>603</v>
      </c>
      <c r="F79" s="36" t="s">
        <v>42</v>
      </c>
      <c r="G79" s="36" t="s">
        <v>611</v>
      </c>
      <c r="H79" s="36" t="s">
        <v>613</v>
      </c>
      <c r="I79" s="36" t="s">
        <v>645</v>
      </c>
      <c r="J79" s="36" t="s">
        <v>615</v>
      </c>
      <c r="K79">
        <v>6</v>
      </c>
      <c r="L79">
        <v>12000</v>
      </c>
      <c r="M79">
        <v>72000</v>
      </c>
      <c r="N79">
        <v>64080</v>
      </c>
      <c r="O79">
        <v>7920</v>
      </c>
      <c r="P79" s="11">
        <v>0.11</v>
      </c>
    </row>
    <row r="80" spans="1:16" x14ac:dyDescent="0.25">
      <c r="A80" s="36" t="s">
        <v>507</v>
      </c>
      <c r="B80" s="2">
        <v>45340</v>
      </c>
      <c r="C80" s="36" t="s">
        <v>48</v>
      </c>
      <c r="D80">
        <v>2024</v>
      </c>
      <c r="E80" s="36" t="s">
        <v>606</v>
      </c>
      <c r="F80" s="36" t="s">
        <v>40</v>
      </c>
      <c r="G80" s="36" t="s">
        <v>611</v>
      </c>
      <c r="H80" s="36" t="s">
        <v>628</v>
      </c>
      <c r="I80" s="36" t="s">
        <v>617</v>
      </c>
      <c r="J80" s="36" t="s">
        <v>615</v>
      </c>
      <c r="K80">
        <v>10</v>
      </c>
      <c r="L80">
        <v>3500</v>
      </c>
      <c r="M80">
        <v>35000</v>
      </c>
      <c r="N80">
        <v>21000</v>
      </c>
      <c r="O80">
        <v>14000</v>
      </c>
      <c r="P80" s="11">
        <v>0.4</v>
      </c>
    </row>
    <row r="81" spans="1:16" x14ac:dyDescent="0.25">
      <c r="A81" s="36" t="s">
        <v>63</v>
      </c>
      <c r="B81" s="2">
        <v>45343</v>
      </c>
      <c r="C81" s="36" t="s">
        <v>46</v>
      </c>
      <c r="D81">
        <v>2024</v>
      </c>
      <c r="E81" s="36" t="s">
        <v>592</v>
      </c>
      <c r="F81" s="36" t="s">
        <v>40</v>
      </c>
      <c r="G81" s="36" t="s">
        <v>610</v>
      </c>
      <c r="H81" s="36" t="s">
        <v>625</v>
      </c>
      <c r="I81" s="36" t="s">
        <v>619</v>
      </c>
      <c r="J81" s="36" t="s">
        <v>615</v>
      </c>
      <c r="K81">
        <v>9</v>
      </c>
      <c r="L81">
        <v>8000</v>
      </c>
      <c r="M81">
        <v>72000</v>
      </c>
      <c r="N81">
        <v>62640</v>
      </c>
      <c r="O81">
        <v>9360</v>
      </c>
      <c r="P81" s="11">
        <v>0.13</v>
      </c>
    </row>
    <row r="82" spans="1:16" x14ac:dyDescent="0.25">
      <c r="A82" s="36" t="s">
        <v>143</v>
      </c>
      <c r="B82" s="2">
        <v>45343</v>
      </c>
      <c r="C82" s="36" t="s">
        <v>53</v>
      </c>
      <c r="D82">
        <v>2024</v>
      </c>
      <c r="E82" s="36" t="s">
        <v>593</v>
      </c>
      <c r="F82" s="36" t="s">
        <v>41</v>
      </c>
      <c r="G82" s="36" t="s">
        <v>609</v>
      </c>
      <c r="H82" s="36" t="s">
        <v>625</v>
      </c>
      <c r="I82" s="36" t="s">
        <v>645</v>
      </c>
      <c r="J82" s="36" t="s">
        <v>615</v>
      </c>
      <c r="K82">
        <v>1</v>
      </c>
      <c r="L82">
        <v>4000</v>
      </c>
      <c r="M82">
        <v>4000</v>
      </c>
      <c r="N82">
        <v>2600</v>
      </c>
      <c r="O82">
        <v>1400</v>
      </c>
      <c r="P82" s="11">
        <v>0.35</v>
      </c>
    </row>
    <row r="83" spans="1:16" x14ac:dyDescent="0.25">
      <c r="A83" s="36" t="s">
        <v>406</v>
      </c>
      <c r="B83" s="2">
        <v>45344</v>
      </c>
      <c r="C83" s="36" t="s">
        <v>50</v>
      </c>
      <c r="D83">
        <v>2024</v>
      </c>
      <c r="E83" s="36" t="s">
        <v>603</v>
      </c>
      <c r="F83" s="36" t="s">
        <v>42</v>
      </c>
      <c r="G83" s="36" t="s">
        <v>608</v>
      </c>
      <c r="H83" s="36" t="s">
        <v>621</v>
      </c>
      <c r="I83" s="36" t="s">
        <v>623</v>
      </c>
      <c r="J83" s="36" t="s">
        <v>618</v>
      </c>
      <c r="K83">
        <v>11</v>
      </c>
      <c r="L83">
        <v>55000</v>
      </c>
      <c r="M83">
        <v>605000</v>
      </c>
      <c r="N83">
        <v>496100</v>
      </c>
      <c r="O83">
        <v>108900</v>
      </c>
      <c r="P83" s="11">
        <v>0.18</v>
      </c>
    </row>
    <row r="84" spans="1:16" x14ac:dyDescent="0.25">
      <c r="A84" s="36" t="s">
        <v>56</v>
      </c>
      <c r="B84" s="2">
        <v>45347</v>
      </c>
      <c r="C84" s="36" t="s">
        <v>57</v>
      </c>
      <c r="D84">
        <v>2024</v>
      </c>
      <c r="E84" s="36" t="s">
        <v>598</v>
      </c>
      <c r="F84" s="36" t="s">
        <v>40</v>
      </c>
      <c r="G84" s="36" t="s">
        <v>608</v>
      </c>
      <c r="H84" s="36" t="s">
        <v>622</v>
      </c>
      <c r="I84" s="36" t="s">
        <v>614</v>
      </c>
      <c r="J84" s="36" t="s">
        <v>618</v>
      </c>
      <c r="K84">
        <v>12</v>
      </c>
      <c r="L84">
        <v>8000</v>
      </c>
      <c r="M84">
        <v>96000</v>
      </c>
      <c r="N84">
        <v>62400</v>
      </c>
      <c r="O84">
        <v>33600</v>
      </c>
      <c r="P84" s="11">
        <v>0.35</v>
      </c>
    </row>
    <row r="85" spans="1:16" x14ac:dyDescent="0.25">
      <c r="A85" s="36" t="s">
        <v>170</v>
      </c>
      <c r="B85" s="2">
        <v>45348</v>
      </c>
      <c r="C85" s="36" t="s">
        <v>65</v>
      </c>
      <c r="D85">
        <v>2024</v>
      </c>
      <c r="E85" s="36" t="s">
        <v>595</v>
      </c>
      <c r="F85" s="36" t="s">
        <v>39</v>
      </c>
      <c r="G85" s="36" t="s">
        <v>608</v>
      </c>
      <c r="H85" s="36" t="s">
        <v>620</v>
      </c>
      <c r="I85" s="36" t="s">
        <v>619</v>
      </c>
      <c r="J85" s="36" t="s">
        <v>615</v>
      </c>
      <c r="K85">
        <v>18</v>
      </c>
      <c r="L85">
        <v>50</v>
      </c>
      <c r="M85">
        <v>900</v>
      </c>
      <c r="N85">
        <v>711</v>
      </c>
      <c r="O85">
        <v>189</v>
      </c>
      <c r="P85" s="11">
        <v>0.21</v>
      </c>
    </row>
    <row r="86" spans="1:16" x14ac:dyDescent="0.25">
      <c r="A86" s="36" t="s">
        <v>273</v>
      </c>
      <c r="B86" s="2">
        <v>45348</v>
      </c>
      <c r="C86" s="36" t="s">
        <v>44</v>
      </c>
      <c r="D86">
        <v>2024</v>
      </c>
      <c r="E86" s="36" t="s">
        <v>605</v>
      </c>
      <c r="F86" s="36" t="s">
        <v>40</v>
      </c>
      <c r="G86" s="36" t="s">
        <v>609</v>
      </c>
      <c r="H86" s="36" t="s">
        <v>613</v>
      </c>
      <c r="I86" s="36" t="s">
        <v>614</v>
      </c>
      <c r="J86" s="36" t="s">
        <v>615</v>
      </c>
      <c r="K86">
        <v>19</v>
      </c>
      <c r="L86">
        <v>12000</v>
      </c>
      <c r="M86">
        <v>228000</v>
      </c>
      <c r="N86">
        <v>173280</v>
      </c>
      <c r="O86">
        <v>54720</v>
      </c>
      <c r="P86" s="11">
        <v>0.24</v>
      </c>
    </row>
    <row r="87" spans="1:16" x14ac:dyDescent="0.25">
      <c r="A87" s="36" t="s">
        <v>544</v>
      </c>
      <c r="B87" s="2">
        <v>45348</v>
      </c>
      <c r="C87" s="36" t="s">
        <v>65</v>
      </c>
      <c r="D87">
        <v>2024</v>
      </c>
      <c r="E87" s="36" t="s">
        <v>605</v>
      </c>
      <c r="F87" s="36" t="s">
        <v>40</v>
      </c>
      <c r="G87" s="36" t="s">
        <v>610</v>
      </c>
      <c r="H87" s="36" t="s">
        <v>628</v>
      </c>
      <c r="I87" s="36" t="s">
        <v>645</v>
      </c>
      <c r="J87" s="36" t="s">
        <v>618</v>
      </c>
      <c r="K87">
        <v>8</v>
      </c>
      <c r="L87">
        <v>20</v>
      </c>
      <c r="M87">
        <v>160</v>
      </c>
      <c r="N87">
        <v>132.80000000000001</v>
      </c>
      <c r="O87">
        <v>27.199999999999989</v>
      </c>
      <c r="P87" s="11">
        <v>0.16999999999999993</v>
      </c>
    </row>
    <row r="88" spans="1:16" x14ac:dyDescent="0.25">
      <c r="A88" s="36" t="s">
        <v>92</v>
      </c>
      <c r="B88" s="2">
        <v>45349</v>
      </c>
      <c r="C88" s="36" t="s">
        <v>50</v>
      </c>
      <c r="D88">
        <v>2024</v>
      </c>
      <c r="E88" s="36" t="s">
        <v>595</v>
      </c>
      <c r="F88" s="36" t="s">
        <v>39</v>
      </c>
      <c r="G88" s="36" t="s">
        <v>611</v>
      </c>
      <c r="H88" s="36" t="s">
        <v>622</v>
      </c>
      <c r="I88" s="36" t="s">
        <v>645</v>
      </c>
      <c r="J88" s="36" t="s">
        <v>615</v>
      </c>
      <c r="K88">
        <v>7</v>
      </c>
      <c r="L88">
        <v>20</v>
      </c>
      <c r="M88">
        <v>140</v>
      </c>
      <c r="N88">
        <v>96.6</v>
      </c>
      <c r="O88">
        <v>43.400000000000006</v>
      </c>
      <c r="P88" s="11">
        <v>0.31000000000000005</v>
      </c>
    </row>
    <row r="89" spans="1:16" x14ac:dyDescent="0.25">
      <c r="A89" s="36" t="s">
        <v>330</v>
      </c>
      <c r="B89" s="2">
        <v>45349</v>
      </c>
      <c r="C89" s="36" t="s">
        <v>44</v>
      </c>
      <c r="D89">
        <v>2024</v>
      </c>
      <c r="E89" s="36" t="s">
        <v>598</v>
      </c>
      <c r="F89" s="36" t="s">
        <v>40</v>
      </c>
      <c r="G89" s="36" t="s">
        <v>610</v>
      </c>
      <c r="H89" s="36" t="s">
        <v>628</v>
      </c>
      <c r="I89" s="36" t="s">
        <v>645</v>
      </c>
      <c r="J89" s="36" t="s">
        <v>618</v>
      </c>
      <c r="K89">
        <v>20</v>
      </c>
      <c r="L89">
        <v>150</v>
      </c>
      <c r="M89">
        <v>3000</v>
      </c>
      <c r="N89">
        <v>2520</v>
      </c>
      <c r="O89">
        <v>480</v>
      </c>
      <c r="P89" s="11">
        <v>0.16</v>
      </c>
    </row>
    <row r="90" spans="1:16" x14ac:dyDescent="0.25">
      <c r="A90" s="36" t="s">
        <v>421</v>
      </c>
      <c r="B90" s="2">
        <v>45349</v>
      </c>
      <c r="C90" s="36" t="s">
        <v>53</v>
      </c>
      <c r="D90">
        <v>2024</v>
      </c>
      <c r="E90" s="36" t="s">
        <v>599</v>
      </c>
      <c r="F90" s="36" t="s">
        <v>39</v>
      </c>
      <c r="G90" s="36" t="s">
        <v>610</v>
      </c>
      <c r="H90" s="36" t="s">
        <v>622</v>
      </c>
      <c r="I90" s="36" t="s">
        <v>645</v>
      </c>
      <c r="J90" s="36" t="s">
        <v>618</v>
      </c>
      <c r="K90">
        <v>8</v>
      </c>
      <c r="L90">
        <v>8000</v>
      </c>
      <c r="M90">
        <v>64000</v>
      </c>
      <c r="N90">
        <v>40960</v>
      </c>
      <c r="O90">
        <v>23040</v>
      </c>
      <c r="P90" s="11">
        <v>0.36</v>
      </c>
    </row>
    <row r="91" spans="1:16" x14ac:dyDescent="0.25">
      <c r="A91" s="36" t="s">
        <v>401</v>
      </c>
      <c r="B91" s="2">
        <v>45350</v>
      </c>
      <c r="C91" s="36" t="s">
        <v>57</v>
      </c>
      <c r="D91">
        <v>2024</v>
      </c>
      <c r="E91" s="36" t="s">
        <v>592</v>
      </c>
      <c r="F91" s="36" t="s">
        <v>40</v>
      </c>
      <c r="G91" s="36" t="s">
        <v>612</v>
      </c>
      <c r="H91" s="36" t="s">
        <v>625</v>
      </c>
      <c r="I91" s="36" t="s">
        <v>623</v>
      </c>
      <c r="J91" s="36" t="s">
        <v>618</v>
      </c>
      <c r="K91">
        <v>8</v>
      </c>
      <c r="L91">
        <v>50</v>
      </c>
      <c r="M91">
        <v>400</v>
      </c>
      <c r="N91">
        <v>264</v>
      </c>
      <c r="O91">
        <v>136</v>
      </c>
      <c r="P91" s="11">
        <v>0.34</v>
      </c>
    </row>
    <row r="92" spans="1:16" x14ac:dyDescent="0.25">
      <c r="A92" s="36" t="s">
        <v>234</v>
      </c>
      <c r="B92" s="2">
        <v>45352</v>
      </c>
      <c r="C92" s="36" t="s">
        <v>55</v>
      </c>
      <c r="D92">
        <v>2024</v>
      </c>
      <c r="E92" s="36" t="s">
        <v>593</v>
      </c>
      <c r="F92" s="36" t="s">
        <v>41</v>
      </c>
      <c r="G92" s="36" t="s">
        <v>611</v>
      </c>
      <c r="H92" s="36" t="s">
        <v>628</v>
      </c>
      <c r="I92" s="36" t="s">
        <v>623</v>
      </c>
      <c r="J92" s="36" t="s">
        <v>615</v>
      </c>
      <c r="K92">
        <v>9</v>
      </c>
      <c r="L92">
        <v>150</v>
      </c>
      <c r="M92">
        <v>1350</v>
      </c>
      <c r="N92">
        <v>958.5</v>
      </c>
      <c r="O92">
        <v>391.5</v>
      </c>
      <c r="P92" s="11">
        <v>0.28999999999999998</v>
      </c>
    </row>
    <row r="93" spans="1:16" x14ac:dyDescent="0.25">
      <c r="A93" s="36" t="s">
        <v>254</v>
      </c>
      <c r="B93" s="2">
        <v>45352</v>
      </c>
      <c r="C93" s="36" t="s">
        <v>80</v>
      </c>
      <c r="D93">
        <v>2024</v>
      </c>
      <c r="E93" s="36" t="s">
        <v>603</v>
      </c>
      <c r="F93" s="36" t="s">
        <v>42</v>
      </c>
      <c r="G93" s="36" t="s">
        <v>611</v>
      </c>
      <c r="H93" s="36" t="s">
        <v>626</v>
      </c>
      <c r="I93" s="36" t="s">
        <v>645</v>
      </c>
      <c r="J93" s="36" t="s">
        <v>615</v>
      </c>
      <c r="K93">
        <v>2</v>
      </c>
      <c r="L93">
        <v>9000</v>
      </c>
      <c r="M93">
        <v>18000</v>
      </c>
      <c r="N93">
        <v>10980</v>
      </c>
      <c r="O93">
        <v>7020</v>
      </c>
      <c r="P93" s="11">
        <v>0.39</v>
      </c>
    </row>
    <row r="94" spans="1:16" x14ac:dyDescent="0.25">
      <c r="A94" s="36" t="s">
        <v>269</v>
      </c>
      <c r="B94" s="2">
        <v>45352</v>
      </c>
      <c r="C94" s="36" t="s">
        <v>55</v>
      </c>
      <c r="D94">
        <v>2024</v>
      </c>
      <c r="E94" s="36" t="s">
        <v>598</v>
      </c>
      <c r="F94" s="36" t="s">
        <v>40</v>
      </c>
      <c r="G94" s="36" t="s">
        <v>608</v>
      </c>
      <c r="H94" s="36" t="s">
        <v>620</v>
      </c>
      <c r="I94" s="36" t="s">
        <v>627</v>
      </c>
      <c r="J94" s="36" t="s">
        <v>618</v>
      </c>
      <c r="K94">
        <v>6</v>
      </c>
      <c r="L94">
        <v>1200</v>
      </c>
      <c r="M94">
        <v>7200</v>
      </c>
      <c r="N94">
        <v>5328</v>
      </c>
      <c r="O94">
        <v>1872</v>
      </c>
      <c r="P94" s="11">
        <v>0.26</v>
      </c>
    </row>
    <row r="95" spans="1:16" x14ac:dyDescent="0.25">
      <c r="A95" s="36" t="s">
        <v>368</v>
      </c>
      <c r="B95" s="2">
        <v>45352</v>
      </c>
      <c r="C95" s="36" t="s">
        <v>65</v>
      </c>
      <c r="D95">
        <v>2024</v>
      </c>
      <c r="E95" s="36" t="s">
        <v>598</v>
      </c>
      <c r="F95" s="36" t="s">
        <v>40</v>
      </c>
      <c r="G95" s="36" t="s">
        <v>611</v>
      </c>
      <c r="H95" s="36" t="s">
        <v>629</v>
      </c>
      <c r="I95" s="36" t="s">
        <v>614</v>
      </c>
      <c r="J95" s="36" t="s">
        <v>615</v>
      </c>
      <c r="K95">
        <v>9</v>
      </c>
      <c r="L95">
        <v>1200</v>
      </c>
      <c r="M95">
        <v>10800</v>
      </c>
      <c r="N95">
        <v>9504</v>
      </c>
      <c r="O95">
        <v>1296</v>
      </c>
      <c r="P95" s="11">
        <v>0.12</v>
      </c>
    </row>
    <row r="96" spans="1:16" x14ac:dyDescent="0.25">
      <c r="A96" s="36" t="s">
        <v>409</v>
      </c>
      <c r="B96" s="2">
        <v>45352</v>
      </c>
      <c r="C96" s="36" t="s">
        <v>53</v>
      </c>
      <c r="D96">
        <v>2024</v>
      </c>
      <c r="E96" s="36" t="s">
        <v>592</v>
      </c>
      <c r="F96" s="36" t="s">
        <v>40</v>
      </c>
      <c r="G96" s="36" t="s">
        <v>608</v>
      </c>
      <c r="H96" s="36" t="s">
        <v>616</v>
      </c>
      <c r="I96" s="36" t="s">
        <v>619</v>
      </c>
      <c r="J96" s="36" t="s">
        <v>615</v>
      </c>
      <c r="K96">
        <v>18</v>
      </c>
      <c r="L96">
        <v>55000</v>
      </c>
      <c r="M96">
        <v>990000</v>
      </c>
      <c r="N96">
        <v>811800</v>
      </c>
      <c r="O96">
        <v>178200</v>
      </c>
      <c r="P96" s="11">
        <v>0.18</v>
      </c>
    </row>
    <row r="97" spans="1:16" x14ac:dyDescent="0.25">
      <c r="A97" s="36" t="s">
        <v>157</v>
      </c>
      <c r="B97" s="2">
        <v>45353</v>
      </c>
      <c r="C97" s="36" t="s">
        <v>50</v>
      </c>
      <c r="D97">
        <v>2024</v>
      </c>
      <c r="E97" s="36" t="s">
        <v>598</v>
      </c>
      <c r="F97" s="36" t="s">
        <v>40</v>
      </c>
      <c r="G97" s="36" t="s">
        <v>610</v>
      </c>
      <c r="H97" s="36" t="s">
        <v>620</v>
      </c>
      <c r="I97" s="36" t="s">
        <v>645</v>
      </c>
      <c r="J97" s="36" t="s">
        <v>618</v>
      </c>
      <c r="K97">
        <v>9</v>
      </c>
      <c r="L97">
        <v>3500</v>
      </c>
      <c r="M97">
        <v>31500</v>
      </c>
      <c r="N97">
        <v>26460</v>
      </c>
      <c r="O97">
        <v>5040</v>
      </c>
      <c r="P97" s="11">
        <v>0.16</v>
      </c>
    </row>
    <row r="98" spans="1:16" x14ac:dyDescent="0.25">
      <c r="A98" s="36" t="s">
        <v>180</v>
      </c>
      <c r="B98" s="2">
        <v>45353</v>
      </c>
      <c r="C98" s="36" t="s">
        <v>53</v>
      </c>
      <c r="D98">
        <v>2024</v>
      </c>
      <c r="E98" s="36" t="s">
        <v>602</v>
      </c>
      <c r="F98" s="36" t="s">
        <v>42</v>
      </c>
      <c r="G98" s="36" t="s">
        <v>610</v>
      </c>
      <c r="H98" s="36" t="s">
        <v>626</v>
      </c>
      <c r="I98" s="36" t="s">
        <v>627</v>
      </c>
      <c r="J98" s="36" t="s">
        <v>615</v>
      </c>
      <c r="K98">
        <v>12</v>
      </c>
      <c r="L98">
        <v>20</v>
      </c>
      <c r="M98">
        <v>240</v>
      </c>
      <c r="N98">
        <v>192</v>
      </c>
      <c r="O98">
        <v>48</v>
      </c>
      <c r="P98" s="11">
        <v>0.2</v>
      </c>
    </row>
    <row r="99" spans="1:16" x14ac:dyDescent="0.25">
      <c r="A99" s="36" t="s">
        <v>181</v>
      </c>
      <c r="B99" s="2">
        <v>45353</v>
      </c>
      <c r="C99" s="36" t="s">
        <v>80</v>
      </c>
      <c r="D99">
        <v>2024</v>
      </c>
      <c r="E99" s="36" t="s">
        <v>598</v>
      </c>
      <c r="F99" s="36" t="s">
        <v>40</v>
      </c>
      <c r="G99" s="36" t="s">
        <v>609</v>
      </c>
      <c r="H99" s="36" t="s">
        <v>616</v>
      </c>
      <c r="I99" s="36" t="s">
        <v>645</v>
      </c>
      <c r="J99" s="36" t="s">
        <v>615</v>
      </c>
      <c r="K99">
        <v>19</v>
      </c>
      <c r="L99">
        <v>55000</v>
      </c>
      <c r="M99">
        <v>1045000</v>
      </c>
      <c r="N99">
        <v>836000</v>
      </c>
      <c r="O99">
        <v>209000</v>
      </c>
      <c r="P99" s="11">
        <v>0.2</v>
      </c>
    </row>
    <row r="100" spans="1:16" x14ac:dyDescent="0.25">
      <c r="A100" s="36" t="s">
        <v>430</v>
      </c>
      <c r="B100" s="2">
        <v>45354</v>
      </c>
      <c r="C100" s="36" t="s">
        <v>55</v>
      </c>
      <c r="D100">
        <v>2024</v>
      </c>
      <c r="E100" s="36" t="s">
        <v>601</v>
      </c>
      <c r="F100" s="36" t="s">
        <v>41</v>
      </c>
      <c r="G100" s="36" t="s">
        <v>610</v>
      </c>
      <c r="H100" s="36" t="s">
        <v>621</v>
      </c>
      <c r="I100" s="36" t="s">
        <v>645</v>
      </c>
      <c r="J100" s="36" t="s">
        <v>615</v>
      </c>
      <c r="K100">
        <v>9</v>
      </c>
      <c r="L100">
        <v>300</v>
      </c>
      <c r="M100">
        <v>2700</v>
      </c>
      <c r="N100">
        <v>2133</v>
      </c>
      <c r="O100">
        <v>567</v>
      </c>
      <c r="P100" s="11">
        <v>0.21</v>
      </c>
    </row>
    <row r="101" spans="1:16" x14ac:dyDescent="0.25">
      <c r="A101" s="36" t="s">
        <v>329</v>
      </c>
      <c r="B101" s="2">
        <v>45355</v>
      </c>
      <c r="C101" s="36" t="s">
        <v>65</v>
      </c>
      <c r="D101">
        <v>2024</v>
      </c>
      <c r="E101" s="36" t="s">
        <v>607</v>
      </c>
      <c r="F101" s="36" t="s">
        <v>42</v>
      </c>
      <c r="G101" s="36" t="s">
        <v>612</v>
      </c>
      <c r="H101" s="36" t="s">
        <v>613</v>
      </c>
      <c r="I101" s="36" t="s">
        <v>645</v>
      </c>
      <c r="J101" s="36" t="s">
        <v>618</v>
      </c>
      <c r="K101">
        <v>18</v>
      </c>
      <c r="L101">
        <v>300</v>
      </c>
      <c r="M101">
        <v>5400</v>
      </c>
      <c r="N101">
        <v>4050</v>
      </c>
      <c r="O101">
        <v>1350</v>
      </c>
      <c r="P101" s="11">
        <v>0.25</v>
      </c>
    </row>
    <row r="102" spans="1:16" x14ac:dyDescent="0.25">
      <c r="A102" s="36" t="s">
        <v>355</v>
      </c>
      <c r="B102" s="2">
        <v>45355</v>
      </c>
      <c r="C102" s="36" t="s">
        <v>62</v>
      </c>
      <c r="D102">
        <v>2024</v>
      </c>
      <c r="E102" s="36" t="s">
        <v>596</v>
      </c>
      <c r="F102" s="36" t="s">
        <v>39</v>
      </c>
      <c r="G102" s="36" t="s">
        <v>608</v>
      </c>
      <c r="H102" s="36" t="s">
        <v>616</v>
      </c>
      <c r="I102" s="36" t="s">
        <v>623</v>
      </c>
      <c r="J102" s="36" t="s">
        <v>618</v>
      </c>
      <c r="K102">
        <v>15</v>
      </c>
      <c r="L102">
        <v>20</v>
      </c>
      <c r="M102">
        <v>300</v>
      </c>
      <c r="N102">
        <v>204</v>
      </c>
      <c r="O102">
        <v>96</v>
      </c>
      <c r="P102" s="11">
        <v>0.32</v>
      </c>
    </row>
    <row r="103" spans="1:16" x14ac:dyDescent="0.25">
      <c r="A103" s="36" t="s">
        <v>392</v>
      </c>
      <c r="B103" s="2">
        <v>45355</v>
      </c>
      <c r="C103" s="36" t="s">
        <v>80</v>
      </c>
      <c r="D103">
        <v>2024</v>
      </c>
      <c r="E103" s="36" t="s">
        <v>599</v>
      </c>
      <c r="F103" s="36" t="s">
        <v>39</v>
      </c>
      <c r="G103" s="36" t="s">
        <v>609</v>
      </c>
      <c r="H103" s="36" t="s">
        <v>624</v>
      </c>
      <c r="I103" s="36" t="s">
        <v>619</v>
      </c>
      <c r="J103" s="36" t="s">
        <v>618</v>
      </c>
      <c r="K103">
        <v>17</v>
      </c>
      <c r="L103">
        <v>12000</v>
      </c>
      <c r="M103">
        <v>204000</v>
      </c>
      <c r="N103">
        <v>183600</v>
      </c>
      <c r="O103">
        <v>20400</v>
      </c>
      <c r="P103" s="11">
        <v>0.1</v>
      </c>
    </row>
    <row r="104" spans="1:16" x14ac:dyDescent="0.25">
      <c r="A104" s="36" t="s">
        <v>51</v>
      </c>
      <c r="B104" s="2">
        <v>45356</v>
      </c>
      <c r="C104" s="36" t="s">
        <v>46</v>
      </c>
      <c r="D104">
        <v>2024</v>
      </c>
      <c r="E104" s="36" t="s">
        <v>596</v>
      </c>
      <c r="F104" s="36" t="s">
        <v>39</v>
      </c>
      <c r="G104" s="36" t="s">
        <v>608</v>
      </c>
      <c r="H104" s="36" t="s">
        <v>613</v>
      </c>
      <c r="I104" s="36" t="s">
        <v>645</v>
      </c>
      <c r="J104" s="36" t="s">
        <v>615</v>
      </c>
      <c r="K104">
        <v>9</v>
      </c>
      <c r="L104">
        <v>1200</v>
      </c>
      <c r="M104">
        <v>10800</v>
      </c>
      <c r="N104">
        <v>6480</v>
      </c>
      <c r="O104">
        <v>4320</v>
      </c>
      <c r="P104" s="11">
        <v>0.4</v>
      </c>
    </row>
    <row r="105" spans="1:16" x14ac:dyDescent="0.25">
      <c r="A105" s="36" t="s">
        <v>188</v>
      </c>
      <c r="B105" s="2">
        <v>45357</v>
      </c>
      <c r="C105" s="36" t="s">
        <v>55</v>
      </c>
      <c r="D105">
        <v>2024</v>
      </c>
      <c r="E105" s="36" t="s">
        <v>597</v>
      </c>
      <c r="F105" s="36" t="s">
        <v>41</v>
      </c>
      <c r="G105" s="36" t="s">
        <v>612</v>
      </c>
      <c r="H105" s="36" t="s">
        <v>620</v>
      </c>
      <c r="I105" s="36" t="s">
        <v>614</v>
      </c>
      <c r="J105" s="36" t="s">
        <v>618</v>
      </c>
      <c r="K105">
        <v>2</v>
      </c>
      <c r="L105">
        <v>9000</v>
      </c>
      <c r="M105">
        <v>18000</v>
      </c>
      <c r="N105">
        <v>11340</v>
      </c>
      <c r="O105">
        <v>6660</v>
      </c>
      <c r="P105" s="11">
        <v>0.37</v>
      </c>
    </row>
    <row r="106" spans="1:16" x14ac:dyDescent="0.25">
      <c r="A106" s="36" t="s">
        <v>315</v>
      </c>
      <c r="B106" s="2">
        <v>45357</v>
      </c>
      <c r="C106" s="36" t="s">
        <v>65</v>
      </c>
      <c r="D106">
        <v>2024</v>
      </c>
      <c r="E106" s="36" t="s">
        <v>600</v>
      </c>
      <c r="F106" s="36" t="s">
        <v>39</v>
      </c>
      <c r="G106" s="36" t="s">
        <v>612</v>
      </c>
      <c r="H106" s="36" t="s">
        <v>622</v>
      </c>
      <c r="I106" s="36" t="s">
        <v>645</v>
      </c>
      <c r="J106" s="36" t="s">
        <v>615</v>
      </c>
      <c r="K106">
        <v>1</v>
      </c>
      <c r="L106">
        <v>55000</v>
      </c>
      <c r="M106">
        <v>55000</v>
      </c>
      <c r="N106">
        <v>36850</v>
      </c>
      <c r="O106">
        <v>18150</v>
      </c>
      <c r="P106" s="11">
        <v>0.33</v>
      </c>
    </row>
    <row r="107" spans="1:16" x14ac:dyDescent="0.25">
      <c r="A107" s="36" t="s">
        <v>386</v>
      </c>
      <c r="B107" s="2">
        <v>45357</v>
      </c>
      <c r="C107" s="36" t="s">
        <v>80</v>
      </c>
      <c r="D107">
        <v>2024</v>
      </c>
      <c r="E107" s="36" t="s">
        <v>603</v>
      </c>
      <c r="F107" s="36" t="s">
        <v>42</v>
      </c>
      <c r="G107" s="36" t="s">
        <v>609</v>
      </c>
      <c r="H107" s="36" t="s">
        <v>625</v>
      </c>
      <c r="I107" s="36" t="s">
        <v>623</v>
      </c>
      <c r="J107" s="36" t="s">
        <v>615</v>
      </c>
      <c r="K107">
        <v>5</v>
      </c>
      <c r="L107">
        <v>150</v>
      </c>
      <c r="M107">
        <v>750</v>
      </c>
      <c r="N107">
        <v>600</v>
      </c>
      <c r="O107">
        <v>150</v>
      </c>
      <c r="P107" s="11">
        <v>0.2</v>
      </c>
    </row>
    <row r="108" spans="1:16" x14ac:dyDescent="0.25">
      <c r="A108" s="36" t="s">
        <v>513</v>
      </c>
      <c r="B108" s="2">
        <v>45357</v>
      </c>
      <c r="C108" s="36" t="s">
        <v>44</v>
      </c>
      <c r="D108">
        <v>2024</v>
      </c>
      <c r="E108" s="36" t="s">
        <v>607</v>
      </c>
      <c r="F108" s="36" t="s">
        <v>42</v>
      </c>
      <c r="G108" s="36" t="s">
        <v>608</v>
      </c>
      <c r="H108" s="36" t="s">
        <v>613</v>
      </c>
      <c r="I108" s="36" t="s">
        <v>645</v>
      </c>
      <c r="J108" s="36" t="s">
        <v>615</v>
      </c>
      <c r="K108">
        <v>3</v>
      </c>
      <c r="L108">
        <v>700</v>
      </c>
      <c r="M108">
        <v>2100</v>
      </c>
      <c r="N108">
        <v>1344</v>
      </c>
      <c r="O108">
        <v>756</v>
      </c>
      <c r="P108" s="11">
        <v>0.36</v>
      </c>
    </row>
    <row r="109" spans="1:16" x14ac:dyDescent="0.25">
      <c r="A109" s="36" t="s">
        <v>184</v>
      </c>
      <c r="B109" s="2">
        <v>45358</v>
      </c>
      <c r="C109" s="36" t="s">
        <v>59</v>
      </c>
      <c r="D109">
        <v>2024</v>
      </c>
      <c r="E109" s="36" t="s">
        <v>596</v>
      </c>
      <c r="F109" s="36" t="s">
        <v>39</v>
      </c>
      <c r="G109" s="36" t="s">
        <v>611</v>
      </c>
      <c r="H109" s="36" t="s">
        <v>621</v>
      </c>
      <c r="I109" s="36" t="s">
        <v>623</v>
      </c>
      <c r="J109" s="36" t="s">
        <v>618</v>
      </c>
      <c r="K109">
        <v>1</v>
      </c>
      <c r="L109">
        <v>12000</v>
      </c>
      <c r="M109">
        <v>12000</v>
      </c>
      <c r="N109">
        <v>10320</v>
      </c>
      <c r="O109">
        <v>1680</v>
      </c>
      <c r="P109" s="11">
        <v>0.14000000000000001</v>
      </c>
    </row>
    <row r="110" spans="1:16" x14ac:dyDescent="0.25">
      <c r="A110" s="36" t="s">
        <v>587</v>
      </c>
      <c r="B110" s="2">
        <v>45359</v>
      </c>
      <c r="C110" s="36" t="s">
        <v>44</v>
      </c>
      <c r="D110">
        <v>2024</v>
      </c>
      <c r="E110" s="36" t="s">
        <v>595</v>
      </c>
      <c r="F110" s="36" t="s">
        <v>39</v>
      </c>
      <c r="G110" s="36" t="s">
        <v>612</v>
      </c>
      <c r="H110" s="36" t="s">
        <v>628</v>
      </c>
      <c r="I110" s="36" t="s">
        <v>617</v>
      </c>
      <c r="J110" s="36" t="s">
        <v>618</v>
      </c>
      <c r="K110">
        <v>1</v>
      </c>
      <c r="L110">
        <v>15000</v>
      </c>
      <c r="M110">
        <v>15000</v>
      </c>
      <c r="N110">
        <v>13500</v>
      </c>
      <c r="O110">
        <v>1500</v>
      </c>
      <c r="P110" s="11">
        <v>0.1</v>
      </c>
    </row>
    <row r="111" spans="1:16" x14ac:dyDescent="0.25">
      <c r="A111" s="36" t="s">
        <v>526</v>
      </c>
      <c r="B111" s="2">
        <v>45360</v>
      </c>
      <c r="C111" s="36" t="s">
        <v>57</v>
      </c>
      <c r="D111">
        <v>2024</v>
      </c>
      <c r="E111" s="36" t="s">
        <v>606</v>
      </c>
      <c r="F111" s="36" t="s">
        <v>40</v>
      </c>
      <c r="G111" s="36" t="s">
        <v>612</v>
      </c>
      <c r="H111" s="36" t="s">
        <v>625</v>
      </c>
      <c r="I111" s="36" t="s">
        <v>627</v>
      </c>
      <c r="J111" s="36" t="s">
        <v>615</v>
      </c>
      <c r="K111">
        <v>8</v>
      </c>
      <c r="L111">
        <v>15000</v>
      </c>
      <c r="M111">
        <v>120000</v>
      </c>
      <c r="N111">
        <v>108000</v>
      </c>
      <c r="O111">
        <v>12000</v>
      </c>
      <c r="P111" s="11">
        <v>0.1</v>
      </c>
    </row>
    <row r="112" spans="1:16" x14ac:dyDescent="0.25">
      <c r="A112" s="36" t="s">
        <v>242</v>
      </c>
      <c r="B112" s="2">
        <v>45361</v>
      </c>
      <c r="C112" s="36" t="s">
        <v>46</v>
      </c>
      <c r="D112">
        <v>2024</v>
      </c>
      <c r="E112" s="36" t="s">
        <v>598</v>
      </c>
      <c r="F112" s="36" t="s">
        <v>40</v>
      </c>
      <c r="G112" s="36" t="s">
        <v>612</v>
      </c>
      <c r="H112" s="36" t="s">
        <v>625</v>
      </c>
      <c r="I112" s="36" t="s">
        <v>619</v>
      </c>
      <c r="J112" s="36" t="s">
        <v>618</v>
      </c>
      <c r="K112">
        <v>14</v>
      </c>
      <c r="L112">
        <v>12000</v>
      </c>
      <c r="M112">
        <v>168000</v>
      </c>
      <c r="N112">
        <v>126000</v>
      </c>
      <c r="O112">
        <v>42000</v>
      </c>
      <c r="P112" s="11">
        <v>0.25</v>
      </c>
    </row>
    <row r="113" spans="1:16" x14ac:dyDescent="0.25">
      <c r="A113" s="36" t="s">
        <v>369</v>
      </c>
      <c r="B113" s="2">
        <v>45361</v>
      </c>
      <c r="C113" s="36" t="s">
        <v>53</v>
      </c>
      <c r="D113">
        <v>2024</v>
      </c>
      <c r="E113" s="36" t="s">
        <v>607</v>
      </c>
      <c r="F113" s="36" t="s">
        <v>42</v>
      </c>
      <c r="G113" s="36" t="s">
        <v>609</v>
      </c>
      <c r="H113" s="36" t="s">
        <v>626</v>
      </c>
      <c r="I113" s="36" t="s">
        <v>645</v>
      </c>
      <c r="J113" s="36" t="s">
        <v>618</v>
      </c>
      <c r="K113">
        <v>11</v>
      </c>
      <c r="L113">
        <v>8000</v>
      </c>
      <c r="M113">
        <v>88000</v>
      </c>
      <c r="N113">
        <v>62480</v>
      </c>
      <c r="O113">
        <v>25520</v>
      </c>
      <c r="P113" s="11">
        <v>0.28999999999999998</v>
      </c>
    </row>
    <row r="114" spans="1:16" x14ac:dyDescent="0.25">
      <c r="A114" s="36" t="s">
        <v>422</v>
      </c>
      <c r="B114" s="2">
        <v>45361</v>
      </c>
      <c r="C114" s="36" t="s">
        <v>50</v>
      </c>
      <c r="D114">
        <v>2024</v>
      </c>
      <c r="E114" s="36" t="s">
        <v>599</v>
      </c>
      <c r="F114" s="36" t="s">
        <v>39</v>
      </c>
      <c r="G114" s="36" t="s">
        <v>609</v>
      </c>
      <c r="H114" s="36" t="s">
        <v>620</v>
      </c>
      <c r="I114" s="36" t="s">
        <v>614</v>
      </c>
      <c r="J114" s="36" t="s">
        <v>618</v>
      </c>
      <c r="K114">
        <v>3</v>
      </c>
      <c r="L114">
        <v>20</v>
      </c>
      <c r="M114">
        <v>60</v>
      </c>
      <c r="N114">
        <v>36.6</v>
      </c>
      <c r="O114">
        <v>23.4</v>
      </c>
      <c r="P114" s="11">
        <v>0.38999999999999996</v>
      </c>
    </row>
    <row r="115" spans="1:16" x14ac:dyDescent="0.25">
      <c r="A115" s="36" t="s">
        <v>139</v>
      </c>
      <c r="B115" s="2">
        <v>45362</v>
      </c>
      <c r="C115" s="36" t="s">
        <v>65</v>
      </c>
      <c r="D115">
        <v>2024</v>
      </c>
      <c r="E115" s="36" t="s">
        <v>598</v>
      </c>
      <c r="F115" s="36" t="s">
        <v>40</v>
      </c>
      <c r="G115" s="36" t="s">
        <v>609</v>
      </c>
      <c r="H115" s="36" t="s">
        <v>621</v>
      </c>
      <c r="I115" s="36" t="s">
        <v>617</v>
      </c>
      <c r="J115" s="36" t="s">
        <v>618</v>
      </c>
      <c r="K115">
        <v>1</v>
      </c>
      <c r="L115">
        <v>150</v>
      </c>
      <c r="M115">
        <v>150</v>
      </c>
      <c r="N115">
        <v>132</v>
      </c>
      <c r="O115">
        <v>18</v>
      </c>
      <c r="P115" s="11">
        <v>0.12</v>
      </c>
    </row>
    <row r="116" spans="1:16" x14ac:dyDescent="0.25">
      <c r="A116" s="36" t="s">
        <v>447</v>
      </c>
      <c r="B116" s="2">
        <v>45362</v>
      </c>
      <c r="C116" s="36" t="s">
        <v>46</v>
      </c>
      <c r="D116">
        <v>2024</v>
      </c>
      <c r="E116" s="36" t="s">
        <v>592</v>
      </c>
      <c r="F116" s="36" t="s">
        <v>40</v>
      </c>
      <c r="G116" s="36" t="s">
        <v>608</v>
      </c>
      <c r="H116" s="36" t="s">
        <v>626</v>
      </c>
      <c r="I116" s="36" t="s">
        <v>623</v>
      </c>
      <c r="J116" s="36" t="s">
        <v>618</v>
      </c>
      <c r="K116">
        <v>1</v>
      </c>
      <c r="L116">
        <v>9000</v>
      </c>
      <c r="M116">
        <v>9000</v>
      </c>
      <c r="N116">
        <v>7110</v>
      </c>
      <c r="O116">
        <v>1890</v>
      </c>
      <c r="P116" s="11">
        <v>0.21</v>
      </c>
    </row>
    <row r="117" spans="1:16" x14ac:dyDescent="0.25">
      <c r="A117" s="36" t="s">
        <v>511</v>
      </c>
      <c r="B117" s="2">
        <v>45362</v>
      </c>
      <c r="C117" s="36" t="s">
        <v>50</v>
      </c>
      <c r="D117">
        <v>2024</v>
      </c>
      <c r="E117" s="36" t="s">
        <v>595</v>
      </c>
      <c r="F117" s="36" t="s">
        <v>39</v>
      </c>
      <c r="G117" s="36" t="s">
        <v>612</v>
      </c>
      <c r="H117" s="36" t="s">
        <v>616</v>
      </c>
      <c r="I117" s="36" t="s">
        <v>623</v>
      </c>
      <c r="J117" s="36" t="s">
        <v>618</v>
      </c>
      <c r="K117">
        <v>1</v>
      </c>
      <c r="L117">
        <v>20</v>
      </c>
      <c r="M117">
        <v>20</v>
      </c>
      <c r="N117">
        <v>15.6</v>
      </c>
      <c r="O117">
        <v>4.4000000000000004</v>
      </c>
      <c r="P117" s="11">
        <v>0.22000000000000003</v>
      </c>
    </row>
    <row r="118" spans="1:16" x14ac:dyDescent="0.25">
      <c r="A118" s="36" t="s">
        <v>531</v>
      </c>
      <c r="B118" s="2">
        <v>45363</v>
      </c>
      <c r="C118" s="36" t="s">
        <v>55</v>
      </c>
      <c r="D118">
        <v>2024</v>
      </c>
      <c r="E118" s="36" t="s">
        <v>603</v>
      </c>
      <c r="F118" s="36" t="s">
        <v>42</v>
      </c>
      <c r="G118" s="36" t="s">
        <v>612</v>
      </c>
      <c r="H118" s="36" t="s">
        <v>613</v>
      </c>
      <c r="I118" s="36" t="s">
        <v>614</v>
      </c>
      <c r="J118" s="36" t="s">
        <v>615</v>
      </c>
      <c r="K118">
        <v>9</v>
      </c>
      <c r="L118">
        <v>700</v>
      </c>
      <c r="M118">
        <v>6300</v>
      </c>
      <c r="N118">
        <v>5103</v>
      </c>
      <c r="O118">
        <v>1197</v>
      </c>
      <c r="P118" s="11">
        <v>0.19</v>
      </c>
    </row>
    <row r="119" spans="1:16" x14ac:dyDescent="0.25">
      <c r="A119" s="36" t="s">
        <v>438</v>
      </c>
      <c r="B119" s="2">
        <v>45365</v>
      </c>
      <c r="C119" s="36" t="s">
        <v>59</v>
      </c>
      <c r="D119">
        <v>2024</v>
      </c>
      <c r="E119" s="36" t="s">
        <v>607</v>
      </c>
      <c r="F119" s="36" t="s">
        <v>42</v>
      </c>
      <c r="G119" s="36" t="s">
        <v>608</v>
      </c>
      <c r="H119" s="36" t="s">
        <v>616</v>
      </c>
      <c r="I119" s="36" t="s">
        <v>617</v>
      </c>
      <c r="J119" s="36" t="s">
        <v>615</v>
      </c>
      <c r="K119">
        <v>5</v>
      </c>
      <c r="L119">
        <v>20</v>
      </c>
      <c r="M119">
        <v>100</v>
      </c>
      <c r="N119">
        <v>90</v>
      </c>
      <c r="O119">
        <v>10</v>
      </c>
      <c r="P119" s="11">
        <v>0.1</v>
      </c>
    </row>
    <row r="120" spans="1:16" x14ac:dyDescent="0.25">
      <c r="A120" s="36" t="s">
        <v>311</v>
      </c>
      <c r="B120" s="2">
        <v>45366</v>
      </c>
      <c r="C120" s="36" t="s">
        <v>48</v>
      </c>
      <c r="D120">
        <v>2024</v>
      </c>
      <c r="E120" s="36" t="s">
        <v>602</v>
      </c>
      <c r="F120" s="36" t="s">
        <v>42</v>
      </c>
      <c r="G120" s="36" t="s">
        <v>611</v>
      </c>
      <c r="H120" s="36" t="s">
        <v>626</v>
      </c>
      <c r="I120" s="36" t="s">
        <v>630</v>
      </c>
      <c r="J120" s="36" t="s">
        <v>618</v>
      </c>
      <c r="K120">
        <v>12</v>
      </c>
      <c r="L120">
        <v>8000</v>
      </c>
      <c r="M120">
        <v>96000</v>
      </c>
      <c r="N120">
        <v>74880</v>
      </c>
      <c r="O120">
        <v>21120</v>
      </c>
      <c r="P120" s="11">
        <v>0.22</v>
      </c>
    </row>
    <row r="121" spans="1:16" x14ac:dyDescent="0.25">
      <c r="A121" s="36" t="s">
        <v>377</v>
      </c>
      <c r="B121" s="2">
        <v>45367</v>
      </c>
      <c r="C121" s="36" t="s">
        <v>59</v>
      </c>
      <c r="D121">
        <v>2024</v>
      </c>
      <c r="E121" s="36" t="s">
        <v>603</v>
      </c>
      <c r="F121" s="36" t="s">
        <v>42</v>
      </c>
      <c r="G121" s="36" t="s">
        <v>608</v>
      </c>
      <c r="H121" s="36" t="s">
        <v>622</v>
      </c>
      <c r="I121" s="36" t="s">
        <v>617</v>
      </c>
      <c r="J121" s="36" t="s">
        <v>615</v>
      </c>
      <c r="K121">
        <v>14</v>
      </c>
      <c r="L121">
        <v>700</v>
      </c>
      <c r="M121">
        <v>9800</v>
      </c>
      <c r="N121">
        <v>6076</v>
      </c>
      <c r="O121">
        <v>3724</v>
      </c>
      <c r="P121" s="11">
        <v>0.38</v>
      </c>
    </row>
    <row r="122" spans="1:16" x14ac:dyDescent="0.25">
      <c r="A122" s="36" t="s">
        <v>244</v>
      </c>
      <c r="B122" s="2">
        <v>45369</v>
      </c>
      <c r="C122" s="36" t="s">
        <v>62</v>
      </c>
      <c r="D122">
        <v>2024</v>
      </c>
      <c r="E122" s="36" t="s">
        <v>606</v>
      </c>
      <c r="F122" s="36" t="s">
        <v>40</v>
      </c>
      <c r="G122" s="36" t="s">
        <v>611</v>
      </c>
      <c r="H122" s="36" t="s">
        <v>625</v>
      </c>
      <c r="I122" s="36" t="s">
        <v>645</v>
      </c>
      <c r="J122" s="36" t="s">
        <v>618</v>
      </c>
      <c r="K122">
        <v>6</v>
      </c>
      <c r="L122">
        <v>50</v>
      </c>
      <c r="M122">
        <v>300</v>
      </c>
      <c r="N122">
        <v>183</v>
      </c>
      <c r="O122">
        <v>117</v>
      </c>
      <c r="P122" s="11">
        <v>0.39</v>
      </c>
    </row>
    <row r="123" spans="1:16" x14ac:dyDescent="0.25">
      <c r="A123" s="36" t="s">
        <v>347</v>
      </c>
      <c r="B123" s="2">
        <v>45369</v>
      </c>
      <c r="C123" s="36" t="s">
        <v>48</v>
      </c>
      <c r="D123">
        <v>2024</v>
      </c>
      <c r="E123" s="36" t="s">
        <v>595</v>
      </c>
      <c r="F123" s="36" t="s">
        <v>39</v>
      </c>
      <c r="G123" s="36" t="s">
        <v>608</v>
      </c>
      <c r="H123" s="36" t="s">
        <v>622</v>
      </c>
      <c r="I123" s="36" t="s">
        <v>617</v>
      </c>
      <c r="J123" s="36" t="s">
        <v>618</v>
      </c>
      <c r="K123">
        <v>18</v>
      </c>
      <c r="L123">
        <v>300</v>
      </c>
      <c r="M123">
        <v>5400</v>
      </c>
      <c r="N123">
        <v>3888</v>
      </c>
      <c r="O123">
        <v>1512</v>
      </c>
      <c r="P123" s="11">
        <v>0.28000000000000003</v>
      </c>
    </row>
    <row r="124" spans="1:16" x14ac:dyDescent="0.25">
      <c r="A124" s="36" t="s">
        <v>348</v>
      </c>
      <c r="B124" s="2">
        <v>45369</v>
      </c>
      <c r="C124" s="36" t="s">
        <v>59</v>
      </c>
      <c r="D124">
        <v>2024</v>
      </c>
      <c r="E124" s="36" t="s">
        <v>604</v>
      </c>
      <c r="F124" s="36" t="s">
        <v>41</v>
      </c>
      <c r="G124" s="36" t="s">
        <v>611</v>
      </c>
      <c r="H124" s="36" t="s">
        <v>620</v>
      </c>
      <c r="I124" s="36" t="s">
        <v>645</v>
      </c>
      <c r="J124" s="36" t="s">
        <v>618</v>
      </c>
      <c r="K124">
        <v>18</v>
      </c>
      <c r="L124">
        <v>12000</v>
      </c>
      <c r="M124">
        <v>216000</v>
      </c>
      <c r="N124">
        <v>170640</v>
      </c>
      <c r="O124">
        <v>45360</v>
      </c>
      <c r="P124" s="11">
        <v>0.21</v>
      </c>
    </row>
    <row r="125" spans="1:16" x14ac:dyDescent="0.25">
      <c r="A125" s="36" t="s">
        <v>583</v>
      </c>
      <c r="B125" s="2">
        <v>45369</v>
      </c>
      <c r="C125" s="36" t="s">
        <v>55</v>
      </c>
      <c r="D125">
        <v>2024</v>
      </c>
      <c r="E125" s="36" t="s">
        <v>607</v>
      </c>
      <c r="F125" s="36" t="s">
        <v>42</v>
      </c>
      <c r="G125" s="36" t="s">
        <v>608</v>
      </c>
      <c r="H125" s="36" t="s">
        <v>613</v>
      </c>
      <c r="I125" s="36" t="s">
        <v>630</v>
      </c>
      <c r="J125" s="36" t="s">
        <v>615</v>
      </c>
      <c r="K125">
        <v>2</v>
      </c>
      <c r="L125">
        <v>45000</v>
      </c>
      <c r="M125">
        <v>90000</v>
      </c>
      <c r="N125">
        <v>56700</v>
      </c>
      <c r="O125">
        <v>33300</v>
      </c>
      <c r="P125" s="11">
        <v>0.37</v>
      </c>
    </row>
    <row r="126" spans="1:16" x14ac:dyDescent="0.25">
      <c r="A126" s="36" t="s">
        <v>101</v>
      </c>
      <c r="B126" s="2">
        <v>45370</v>
      </c>
      <c r="C126" s="36" t="s">
        <v>55</v>
      </c>
      <c r="D126">
        <v>2024</v>
      </c>
      <c r="E126" s="36" t="s">
        <v>593</v>
      </c>
      <c r="F126" s="36" t="s">
        <v>41</v>
      </c>
      <c r="G126" s="36" t="s">
        <v>610</v>
      </c>
      <c r="H126" s="36" t="s">
        <v>613</v>
      </c>
      <c r="I126" s="36" t="s">
        <v>623</v>
      </c>
      <c r="J126" s="36" t="s">
        <v>615</v>
      </c>
      <c r="K126">
        <v>10</v>
      </c>
      <c r="L126">
        <v>15000</v>
      </c>
      <c r="M126">
        <v>150000</v>
      </c>
      <c r="N126">
        <v>108000</v>
      </c>
      <c r="O126">
        <v>42000</v>
      </c>
      <c r="P126" s="11">
        <v>0.28000000000000003</v>
      </c>
    </row>
    <row r="127" spans="1:16" x14ac:dyDescent="0.25">
      <c r="A127" s="36" t="s">
        <v>295</v>
      </c>
      <c r="B127" s="2">
        <v>45370</v>
      </c>
      <c r="C127" s="36" t="s">
        <v>55</v>
      </c>
      <c r="D127">
        <v>2024</v>
      </c>
      <c r="E127" s="36" t="s">
        <v>599</v>
      </c>
      <c r="F127" s="36" t="s">
        <v>39</v>
      </c>
      <c r="G127" s="36" t="s">
        <v>609</v>
      </c>
      <c r="H127" s="36" t="s">
        <v>624</v>
      </c>
      <c r="I127" s="36" t="s">
        <v>619</v>
      </c>
      <c r="J127" s="36" t="s">
        <v>618</v>
      </c>
      <c r="K127">
        <v>8</v>
      </c>
      <c r="L127">
        <v>12000</v>
      </c>
      <c r="M127">
        <v>96000</v>
      </c>
      <c r="N127">
        <v>79680</v>
      </c>
      <c r="O127">
        <v>16320</v>
      </c>
      <c r="P127" s="11">
        <v>0.17</v>
      </c>
    </row>
    <row r="128" spans="1:16" x14ac:dyDescent="0.25">
      <c r="A128" s="36" t="s">
        <v>338</v>
      </c>
      <c r="B128" s="2">
        <v>45371</v>
      </c>
      <c r="C128" s="36" t="s">
        <v>48</v>
      </c>
      <c r="D128">
        <v>2024</v>
      </c>
      <c r="E128" s="36" t="s">
        <v>600</v>
      </c>
      <c r="F128" s="36" t="s">
        <v>39</v>
      </c>
      <c r="G128" s="36" t="s">
        <v>609</v>
      </c>
      <c r="H128" s="36" t="s">
        <v>621</v>
      </c>
      <c r="I128" s="36" t="s">
        <v>623</v>
      </c>
      <c r="J128" s="36" t="s">
        <v>618</v>
      </c>
      <c r="K128">
        <v>4</v>
      </c>
      <c r="L128">
        <v>45000</v>
      </c>
      <c r="M128">
        <v>180000</v>
      </c>
      <c r="N128">
        <v>113400</v>
      </c>
      <c r="O128">
        <v>66600</v>
      </c>
      <c r="P128" s="11">
        <v>0.37</v>
      </c>
    </row>
    <row r="129" spans="1:16" x14ac:dyDescent="0.25">
      <c r="A129" s="36" t="s">
        <v>496</v>
      </c>
      <c r="B129" s="2">
        <v>45371</v>
      </c>
      <c r="C129" s="36" t="s">
        <v>53</v>
      </c>
      <c r="D129">
        <v>2024</v>
      </c>
      <c r="E129" s="36" t="s">
        <v>603</v>
      </c>
      <c r="F129" s="36" t="s">
        <v>42</v>
      </c>
      <c r="G129" s="36" t="s">
        <v>611</v>
      </c>
      <c r="H129" s="36" t="s">
        <v>621</v>
      </c>
      <c r="I129" s="36" t="s">
        <v>614</v>
      </c>
      <c r="J129" s="36" t="s">
        <v>615</v>
      </c>
      <c r="K129">
        <v>4</v>
      </c>
      <c r="L129">
        <v>55000</v>
      </c>
      <c r="M129">
        <v>220000</v>
      </c>
      <c r="N129">
        <v>176000</v>
      </c>
      <c r="O129">
        <v>44000</v>
      </c>
      <c r="P129" s="11">
        <v>0.2</v>
      </c>
    </row>
    <row r="130" spans="1:16" x14ac:dyDescent="0.25">
      <c r="A130" s="36" t="s">
        <v>494</v>
      </c>
      <c r="B130" s="2">
        <v>45372</v>
      </c>
      <c r="C130" s="36" t="s">
        <v>62</v>
      </c>
      <c r="D130">
        <v>2024</v>
      </c>
      <c r="E130" s="36" t="s">
        <v>599</v>
      </c>
      <c r="F130" s="36" t="s">
        <v>39</v>
      </c>
      <c r="G130" s="36" t="s">
        <v>612</v>
      </c>
      <c r="H130" s="36" t="s">
        <v>624</v>
      </c>
      <c r="I130" s="36" t="s">
        <v>645</v>
      </c>
      <c r="J130" s="36" t="s">
        <v>615</v>
      </c>
      <c r="K130">
        <v>7</v>
      </c>
      <c r="L130">
        <v>300</v>
      </c>
      <c r="M130">
        <v>2100</v>
      </c>
      <c r="N130">
        <v>1701</v>
      </c>
      <c r="O130">
        <v>399</v>
      </c>
      <c r="P130" s="11">
        <v>0.19</v>
      </c>
    </row>
    <row r="131" spans="1:16" x14ac:dyDescent="0.25">
      <c r="A131" s="36" t="s">
        <v>477</v>
      </c>
      <c r="B131" s="2">
        <v>45374</v>
      </c>
      <c r="C131" s="36" t="s">
        <v>48</v>
      </c>
      <c r="D131">
        <v>2024</v>
      </c>
      <c r="E131" s="36" t="s">
        <v>596</v>
      </c>
      <c r="F131" s="36" t="s">
        <v>39</v>
      </c>
      <c r="G131" s="36" t="s">
        <v>608</v>
      </c>
      <c r="H131" s="36" t="s">
        <v>613</v>
      </c>
      <c r="I131" s="36" t="s">
        <v>619</v>
      </c>
      <c r="J131" s="36" t="s">
        <v>615</v>
      </c>
      <c r="K131">
        <v>11</v>
      </c>
      <c r="L131">
        <v>700</v>
      </c>
      <c r="M131">
        <v>7700</v>
      </c>
      <c r="N131">
        <v>5082</v>
      </c>
      <c r="O131">
        <v>2618</v>
      </c>
      <c r="P131" s="11">
        <v>0.34</v>
      </c>
    </row>
    <row r="132" spans="1:16" x14ac:dyDescent="0.25">
      <c r="A132" s="36" t="s">
        <v>67</v>
      </c>
      <c r="B132" s="2">
        <v>45375</v>
      </c>
      <c r="C132" s="36" t="s">
        <v>48</v>
      </c>
      <c r="D132">
        <v>2024</v>
      </c>
      <c r="E132" s="36" t="s">
        <v>601</v>
      </c>
      <c r="F132" s="36" t="s">
        <v>41</v>
      </c>
      <c r="G132" s="36" t="s">
        <v>609</v>
      </c>
      <c r="H132" s="36" t="s">
        <v>622</v>
      </c>
      <c r="I132" s="36" t="s">
        <v>627</v>
      </c>
      <c r="J132" s="36" t="s">
        <v>618</v>
      </c>
      <c r="K132">
        <v>16</v>
      </c>
      <c r="L132">
        <v>3500</v>
      </c>
      <c r="M132">
        <v>56000</v>
      </c>
      <c r="N132">
        <v>48720</v>
      </c>
      <c r="O132">
        <v>7280</v>
      </c>
      <c r="P132" s="11">
        <v>0.13</v>
      </c>
    </row>
    <row r="133" spans="1:16" x14ac:dyDescent="0.25">
      <c r="A133" s="36" t="s">
        <v>351</v>
      </c>
      <c r="B133" s="2">
        <v>45375</v>
      </c>
      <c r="C133" s="36" t="s">
        <v>62</v>
      </c>
      <c r="D133">
        <v>2024</v>
      </c>
      <c r="E133" s="36" t="s">
        <v>602</v>
      </c>
      <c r="F133" s="36" t="s">
        <v>42</v>
      </c>
      <c r="G133" s="36" t="s">
        <v>608</v>
      </c>
      <c r="H133" s="36" t="s">
        <v>628</v>
      </c>
      <c r="I133" s="36" t="s">
        <v>623</v>
      </c>
      <c r="J133" s="36" t="s">
        <v>618</v>
      </c>
      <c r="K133">
        <v>2</v>
      </c>
      <c r="L133">
        <v>700</v>
      </c>
      <c r="M133">
        <v>1400</v>
      </c>
      <c r="N133">
        <v>1120</v>
      </c>
      <c r="O133">
        <v>280</v>
      </c>
      <c r="P133" s="11">
        <v>0.2</v>
      </c>
    </row>
    <row r="134" spans="1:16" x14ac:dyDescent="0.25">
      <c r="A134" s="36" t="s">
        <v>464</v>
      </c>
      <c r="B134" s="2">
        <v>45375</v>
      </c>
      <c r="C134" s="36" t="s">
        <v>57</v>
      </c>
      <c r="D134">
        <v>2024</v>
      </c>
      <c r="E134" s="36" t="s">
        <v>600</v>
      </c>
      <c r="F134" s="36" t="s">
        <v>39</v>
      </c>
      <c r="G134" s="36" t="s">
        <v>612</v>
      </c>
      <c r="H134" s="36" t="s">
        <v>624</v>
      </c>
      <c r="I134" s="36" t="s">
        <v>617</v>
      </c>
      <c r="J134" s="36" t="s">
        <v>618</v>
      </c>
      <c r="K134">
        <v>1</v>
      </c>
      <c r="L134">
        <v>700</v>
      </c>
      <c r="M134">
        <v>700</v>
      </c>
      <c r="N134">
        <v>581</v>
      </c>
      <c r="O134">
        <v>119</v>
      </c>
      <c r="P134" s="11">
        <v>0.17</v>
      </c>
    </row>
    <row r="135" spans="1:16" x14ac:dyDescent="0.25">
      <c r="A135" s="36" t="s">
        <v>217</v>
      </c>
      <c r="B135" s="2">
        <v>45376</v>
      </c>
      <c r="C135" s="36" t="s">
        <v>44</v>
      </c>
      <c r="D135">
        <v>2024</v>
      </c>
      <c r="E135" s="36" t="s">
        <v>605</v>
      </c>
      <c r="F135" s="36" t="s">
        <v>40</v>
      </c>
      <c r="G135" s="36" t="s">
        <v>612</v>
      </c>
      <c r="H135" s="36" t="s">
        <v>620</v>
      </c>
      <c r="I135" s="36" t="s">
        <v>630</v>
      </c>
      <c r="J135" s="36" t="s">
        <v>618</v>
      </c>
      <c r="K135">
        <v>20</v>
      </c>
      <c r="L135">
        <v>55000</v>
      </c>
      <c r="M135">
        <v>1100000</v>
      </c>
      <c r="N135">
        <v>704000</v>
      </c>
      <c r="O135">
        <v>396000</v>
      </c>
      <c r="P135" s="11">
        <v>0.36</v>
      </c>
    </row>
    <row r="136" spans="1:16" x14ac:dyDescent="0.25">
      <c r="A136" s="36" t="s">
        <v>297</v>
      </c>
      <c r="B136" s="2">
        <v>45376</v>
      </c>
      <c r="C136" s="36" t="s">
        <v>53</v>
      </c>
      <c r="D136">
        <v>2024</v>
      </c>
      <c r="E136" s="36" t="s">
        <v>594</v>
      </c>
      <c r="F136" s="36" t="s">
        <v>39</v>
      </c>
      <c r="G136" s="36" t="s">
        <v>610</v>
      </c>
      <c r="H136" s="36" t="s">
        <v>629</v>
      </c>
      <c r="I136" s="36" t="s">
        <v>617</v>
      </c>
      <c r="J136" s="36" t="s">
        <v>618</v>
      </c>
      <c r="K136">
        <v>7</v>
      </c>
      <c r="L136">
        <v>20</v>
      </c>
      <c r="M136">
        <v>140</v>
      </c>
      <c r="N136">
        <v>85.4</v>
      </c>
      <c r="O136">
        <v>54.599999999999994</v>
      </c>
      <c r="P136" s="11">
        <v>0.38999999999999996</v>
      </c>
    </row>
    <row r="137" spans="1:16" x14ac:dyDescent="0.25">
      <c r="A137" s="36" t="s">
        <v>74</v>
      </c>
      <c r="B137" s="2">
        <v>45377</v>
      </c>
      <c r="C137" s="36" t="s">
        <v>57</v>
      </c>
      <c r="D137">
        <v>2024</v>
      </c>
      <c r="E137" s="36" t="s">
        <v>604</v>
      </c>
      <c r="F137" s="36" t="s">
        <v>41</v>
      </c>
      <c r="G137" s="36" t="s">
        <v>610</v>
      </c>
      <c r="H137" s="36" t="s">
        <v>622</v>
      </c>
      <c r="I137" s="36" t="s">
        <v>619</v>
      </c>
      <c r="J137" s="36" t="s">
        <v>618</v>
      </c>
      <c r="K137">
        <v>9</v>
      </c>
      <c r="L137">
        <v>1200</v>
      </c>
      <c r="M137">
        <v>10800</v>
      </c>
      <c r="N137">
        <v>9612</v>
      </c>
      <c r="O137">
        <v>1188</v>
      </c>
      <c r="P137" s="11">
        <v>0.11</v>
      </c>
    </row>
    <row r="138" spans="1:16" x14ac:dyDescent="0.25">
      <c r="A138" s="36" t="s">
        <v>159</v>
      </c>
      <c r="B138" s="2">
        <v>45377</v>
      </c>
      <c r="C138" s="36" t="s">
        <v>80</v>
      </c>
      <c r="D138">
        <v>2024</v>
      </c>
      <c r="E138" s="36" t="s">
        <v>594</v>
      </c>
      <c r="F138" s="36" t="s">
        <v>39</v>
      </c>
      <c r="G138" s="36" t="s">
        <v>609</v>
      </c>
      <c r="H138" s="36" t="s">
        <v>613</v>
      </c>
      <c r="I138" s="36" t="s">
        <v>630</v>
      </c>
      <c r="J138" s="36" t="s">
        <v>615</v>
      </c>
      <c r="K138">
        <v>14</v>
      </c>
      <c r="L138">
        <v>300</v>
      </c>
      <c r="M138">
        <v>4200</v>
      </c>
      <c r="N138">
        <v>3612</v>
      </c>
      <c r="O138">
        <v>588</v>
      </c>
      <c r="P138" s="11">
        <v>0.14000000000000001</v>
      </c>
    </row>
    <row r="139" spans="1:16" x14ac:dyDescent="0.25">
      <c r="A139" s="36" t="s">
        <v>186</v>
      </c>
      <c r="B139" s="2">
        <v>45378</v>
      </c>
      <c r="C139" s="36" t="s">
        <v>59</v>
      </c>
      <c r="D139">
        <v>2024</v>
      </c>
      <c r="E139" s="36" t="s">
        <v>605</v>
      </c>
      <c r="F139" s="36" t="s">
        <v>40</v>
      </c>
      <c r="G139" s="36" t="s">
        <v>611</v>
      </c>
      <c r="H139" s="36" t="s">
        <v>621</v>
      </c>
      <c r="I139" s="36" t="s">
        <v>645</v>
      </c>
      <c r="J139" s="36" t="s">
        <v>618</v>
      </c>
      <c r="K139">
        <v>4</v>
      </c>
      <c r="L139">
        <v>9000</v>
      </c>
      <c r="M139">
        <v>36000</v>
      </c>
      <c r="N139">
        <v>32400</v>
      </c>
      <c r="O139">
        <v>3600</v>
      </c>
      <c r="P139" s="11">
        <v>0.1</v>
      </c>
    </row>
    <row r="140" spans="1:16" x14ac:dyDescent="0.25">
      <c r="A140" s="36" t="s">
        <v>167</v>
      </c>
      <c r="B140" s="2">
        <v>45379</v>
      </c>
      <c r="C140" s="36" t="s">
        <v>46</v>
      </c>
      <c r="D140">
        <v>2024</v>
      </c>
      <c r="E140" s="36" t="s">
        <v>597</v>
      </c>
      <c r="F140" s="36" t="s">
        <v>41</v>
      </c>
      <c r="G140" s="36" t="s">
        <v>610</v>
      </c>
      <c r="H140" s="36" t="s">
        <v>629</v>
      </c>
      <c r="I140" s="36" t="s">
        <v>623</v>
      </c>
      <c r="J140" s="36" t="s">
        <v>618</v>
      </c>
      <c r="K140">
        <v>11</v>
      </c>
      <c r="L140">
        <v>15000</v>
      </c>
      <c r="M140">
        <v>165000</v>
      </c>
      <c r="N140">
        <v>141900</v>
      </c>
      <c r="O140">
        <v>23100</v>
      </c>
      <c r="P140" s="11">
        <v>0.14000000000000001</v>
      </c>
    </row>
    <row r="141" spans="1:16" x14ac:dyDescent="0.25">
      <c r="A141" s="36" t="s">
        <v>423</v>
      </c>
      <c r="B141" s="2">
        <v>45379</v>
      </c>
      <c r="C141" s="36" t="s">
        <v>65</v>
      </c>
      <c r="D141">
        <v>2024</v>
      </c>
      <c r="E141" s="36" t="s">
        <v>598</v>
      </c>
      <c r="F141" s="36" t="s">
        <v>40</v>
      </c>
      <c r="G141" s="36" t="s">
        <v>612</v>
      </c>
      <c r="H141" s="36" t="s">
        <v>620</v>
      </c>
      <c r="I141" s="36" t="s">
        <v>627</v>
      </c>
      <c r="J141" s="36" t="s">
        <v>615</v>
      </c>
      <c r="K141">
        <v>19</v>
      </c>
      <c r="L141">
        <v>300</v>
      </c>
      <c r="M141">
        <v>5700</v>
      </c>
      <c r="N141">
        <v>3648</v>
      </c>
      <c r="O141">
        <v>2052</v>
      </c>
      <c r="P141" s="11">
        <v>0.36</v>
      </c>
    </row>
    <row r="142" spans="1:16" x14ac:dyDescent="0.25">
      <c r="A142" s="36" t="s">
        <v>552</v>
      </c>
      <c r="B142" s="2">
        <v>45379</v>
      </c>
      <c r="C142" s="36" t="s">
        <v>53</v>
      </c>
      <c r="D142">
        <v>2024</v>
      </c>
      <c r="E142" s="36" t="s">
        <v>592</v>
      </c>
      <c r="F142" s="36" t="s">
        <v>40</v>
      </c>
      <c r="G142" s="36" t="s">
        <v>611</v>
      </c>
      <c r="H142" s="36" t="s">
        <v>624</v>
      </c>
      <c r="I142" s="36" t="s">
        <v>617</v>
      </c>
      <c r="J142" s="36" t="s">
        <v>618</v>
      </c>
      <c r="K142">
        <v>2</v>
      </c>
      <c r="L142">
        <v>8000</v>
      </c>
      <c r="M142">
        <v>16000</v>
      </c>
      <c r="N142">
        <v>12480</v>
      </c>
      <c r="O142">
        <v>3520</v>
      </c>
      <c r="P142" s="11">
        <v>0.22</v>
      </c>
    </row>
    <row r="143" spans="1:16" x14ac:dyDescent="0.25">
      <c r="A143" s="36" t="s">
        <v>302</v>
      </c>
      <c r="B143" s="2">
        <v>45380</v>
      </c>
      <c r="C143" s="36" t="s">
        <v>83</v>
      </c>
      <c r="D143">
        <v>2024</v>
      </c>
      <c r="E143" s="36" t="s">
        <v>607</v>
      </c>
      <c r="F143" s="36" t="s">
        <v>42</v>
      </c>
      <c r="G143" s="36" t="s">
        <v>609</v>
      </c>
      <c r="H143" s="36" t="s">
        <v>621</v>
      </c>
      <c r="I143" s="36" t="s">
        <v>630</v>
      </c>
      <c r="J143" s="36" t="s">
        <v>615</v>
      </c>
      <c r="K143">
        <v>13</v>
      </c>
      <c r="L143">
        <v>20</v>
      </c>
      <c r="M143">
        <v>260</v>
      </c>
      <c r="N143">
        <v>166.4</v>
      </c>
      <c r="O143">
        <v>93.6</v>
      </c>
      <c r="P143" s="11">
        <v>0.36</v>
      </c>
    </row>
    <row r="144" spans="1:16" x14ac:dyDescent="0.25">
      <c r="A144" s="36" t="s">
        <v>72</v>
      </c>
      <c r="B144" s="2">
        <v>45381</v>
      </c>
      <c r="C144" s="36" t="s">
        <v>53</v>
      </c>
      <c r="D144">
        <v>2024</v>
      </c>
      <c r="E144" s="36" t="s">
        <v>602</v>
      </c>
      <c r="F144" s="36" t="s">
        <v>42</v>
      </c>
      <c r="G144" s="36" t="s">
        <v>611</v>
      </c>
      <c r="H144" s="36" t="s">
        <v>626</v>
      </c>
      <c r="I144" s="36" t="s">
        <v>619</v>
      </c>
      <c r="J144" s="36" t="s">
        <v>618</v>
      </c>
      <c r="K144">
        <v>15</v>
      </c>
      <c r="L144">
        <v>15000</v>
      </c>
      <c r="M144">
        <v>225000</v>
      </c>
      <c r="N144">
        <v>189000</v>
      </c>
      <c r="O144">
        <v>36000</v>
      </c>
      <c r="P144" s="11">
        <v>0.16</v>
      </c>
    </row>
    <row r="145" spans="1:16" x14ac:dyDescent="0.25">
      <c r="A145" s="36" t="s">
        <v>227</v>
      </c>
      <c r="B145" s="2">
        <v>45381</v>
      </c>
      <c r="C145" s="36" t="s">
        <v>46</v>
      </c>
      <c r="D145">
        <v>2024</v>
      </c>
      <c r="E145" s="36" t="s">
        <v>605</v>
      </c>
      <c r="F145" s="36" t="s">
        <v>40</v>
      </c>
      <c r="G145" s="36" t="s">
        <v>612</v>
      </c>
      <c r="H145" s="36" t="s">
        <v>624</v>
      </c>
      <c r="I145" s="36" t="s">
        <v>623</v>
      </c>
      <c r="J145" s="36" t="s">
        <v>618</v>
      </c>
      <c r="K145">
        <v>16</v>
      </c>
      <c r="L145">
        <v>25000</v>
      </c>
      <c r="M145">
        <v>400000</v>
      </c>
      <c r="N145">
        <v>336000</v>
      </c>
      <c r="O145">
        <v>64000</v>
      </c>
      <c r="P145" s="11">
        <v>0.16</v>
      </c>
    </row>
    <row r="146" spans="1:16" x14ac:dyDescent="0.25">
      <c r="A146" s="36" t="s">
        <v>443</v>
      </c>
      <c r="B146" s="2">
        <v>45381</v>
      </c>
      <c r="C146" s="36" t="s">
        <v>83</v>
      </c>
      <c r="D146">
        <v>2024</v>
      </c>
      <c r="E146" s="36" t="s">
        <v>603</v>
      </c>
      <c r="F146" s="36" t="s">
        <v>42</v>
      </c>
      <c r="G146" s="36" t="s">
        <v>611</v>
      </c>
      <c r="H146" s="36" t="s">
        <v>629</v>
      </c>
      <c r="I146" s="36" t="s">
        <v>645</v>
      </c>
      <c r="J146" s="36" t="s">
        <v>615</v>
      </c>
      <c r="K146">
        <v>7</v>
      </c>
      <c r="L146">
        <v>9000</v>
      </c>
      <c r="M146">
        <v>63000</v>
      </c>
      <c r="N146">
        <v>46620</v>
      </c>
      <c r="O146">
        <v>16380</v>
      </c>
      <c r="P146" s="11">
        <v>0.26</v>
      </c>
    </row>
    <row r="147" spans="1:16" x14ac:dyDescent="0.25">
      <c r="A147" s="36" t="s">
        <v>463</v>
      </c>
      <c r="B147" s="2">
        <v>45381</v>
      </c>
      <c r="C147" s="36" t="s">
        <v>55</v>
      </c>
      <c r="D147">
        <v>2024</v>
      </c>
      <c r="E147" s="36" t="s">
        <v>600</v>
      </c>
      <c r="F147" s="36" t="s">
        <v>39</v>
      </c>
      <c r="G147" s="36" t="s">
        <v>609</v>
      </c>
      <c r="H147" s="36" t="s">
        <v>624</v>
      </c>
      <c r="I147" s="36" t="s">
        <v>630</v>
      </c>
      <c r="J147" s="36" t="s">
        <v>615</v>
      </c>
      <c r="K147">
        <v>7</v>
      </c>
      <c r="L147">
        <v>700</v>
      </c>
      <c r="M147">
        <v>4900</v>
      </c>
      <c r="N147">
        <v>4214</v>
      </c>
      <c r="O147">
        <v>686</v>
      </c>
      <c r="P147" s="11">
        <v>0.14000000000000001</v>
      </c>
    </row>
    <row r="148" spans="1:16" x14ac:dyDescent="0.25">
      <c r="A148" s="36" t="s">
        <v>460</v>
      </c>
      <c r="B148" s="2">
        <v>45383</v>
      </c>
      <c r="C148" s="36" t="s">
        <v>44</v>
      </c>
      <c r="D148">
        <v>2024</v>
      </c>
      <c r="E148" s="36" t="s">
        <v>603</v>
      </c>
      <c r="F148" s="36" t="s">
        <v>42</v>
      </c>
      <c r="G148" s="36" t="s">
        <v>612</v>
      </c>
      <c r="H148" s="36" t="s">
        <v>613</v>
      </c>
      <c r="I148" s="36" t="s">
        <v>645</v>
      </c>
      <c r="J148" s="36" t="s">
        <v>615</v>
      </c>
      <c r="K148">
        <v>12</v>
      </c>
      <c r="L148">
        <v>25000</v>
      </c>
      <c r="M148">
        <v>300000</v>
      </c>
      <c r="N148">
        <v>204000</v>
      </c>
      <c r="O148">
        <v>96000</v>
      </c>
      <c r="P148" s="11">
        <v>0.32</v>
      </c>
    </row>
    <row r="149" spans="1:16" x14ac:dyDescent="0.25">
      <c r="A149" s="36" t="s">
        <v>306</v>
      </c>
      <c r="B149" s="2">
        <v>45384</v>
      </c>
      <c r="C149" s="36" t="s">
        <v>62</v>
      </c>
      <c r="D149">
        <v>2024</v>
      </c>
      <c r="E149" s="36" t="s">
        <v>592</v>
      </c>
      <c r="F149" s="36" t="s">
        <v>40</v>
      </c>
      <c r="G149" s="36" t="s">
        <v>610</v>
      </c>
      <c r="H149" s="36" t="s">
        <v>613</v>
      </c>
      <c r="I149" s="36" t="s">
        <v>645</v>
      </c>
      <c r="J149" s="36" t="s">
        <v>615</v>
      </c>
      <c r="K149">
        <v>19</v>
      </c>
      <c r="L149">
        <v>7000</v>
      </c>
      <c r="M149">
        <v>133000</v>
      </c>
      <c r="N149">
        <v>86450</v>
      </c>
      <c r="O149">
        <v>46550</v>
      </c>
      <c r="P149" s="11">
        <v>0.35</v>
      </c>
    </row>
    <row r="150" spans="1:16" x14ac:dyDescent="0.25">
      <c r="A150" s="36" t="s">
        <v>580</v>
      </c>
      <c r="B150" s="2">
        <v>45384</v>
      </c>
      <c r="C150" s="36" t="s">
        <v>65</v>
      </c>
      <c r="D150">
        <v>2024</v>
      </c>
      <c r="E150" s="36" t="s">
        <v>592</v>
      </c>
      <c r="F150" s="36" t="s">
        <v>40</v>
      </c>
      <c r="G150" s="36" t="s">
        <v>612</v>
      </c>
      <c r="H150" s="36" t="s">
        <v>628</v>
      </c>
      <c r="I150" s="36" t="s">
        <v>627</v>
      </c>
      <c r="J150" s="36" t="s">
        <v>615</v>
      </c>
      <c r="K150">
        <v>1</v>
      </c>
      <c r="L150">
        <v>15000</v>
      </c>
      <c r="M150">
        <v>15000</v>
      </c>
      <c r="N150">
        <v>12600</v>
      </c>
      <c r="O150">
        <v>2400</v>
      </c>
      <c r="P150" s="11">
        <v>0.16</v>
      </c>
    </row>
    <row r="151" spans="1:16" x14ac:dyDescent="0.25">
      <c r="A151" s="36" t="s">
        <v>281</v>
      </c>
      <c r="B151" s="2">
        <v>45385</v>
      </c>
      <c r="C151" s="36" t="s">
        <v>57</v>
      </c>
      <c r="D151">
        <v>2024</v>
      </c>
      <c r="E151" s="36" t="s">
        <v>599</v>
      </c>
      <c r="F151" s="36" t="s">
        <v>39</v>
      </c>
      <c r="G151" s="36" t="s">
        <v>612</v>
      </c>
      <c r="H151" s="36" t="s">
        <v>626</v>
      </c>
      <c r="I151" s="36" t="s">
        <v>614</v>
      </c>
      <c r="J151" s="36" t="s">
        <v>615</v>
      </c>
      <c r="K151">
        <v>19</v>
      </c>
      <c r="L151">
        <v>20</v>
      </c>
      <c r="M151">
        <v>380</v>
      </c>
      <c r="N151">
        <v>235.6</v>
      </c>
      <c r="O151">
        <v>144.4</v>
      </c>
      <c r="P151" s="11">
        <v>0.38</v>
      </c>
    </row>
    <row r="152" spans="1:16" x14ac:dyDescent="0.25">
      <c r="A152" s="36" t="s">
        <v>187</v>
      </c>
      <c r="B152" s="2">
        <v>45388</v>
      </c>
      <c r="C152" s="36" t="s">
        <v>83</v>
      </c>
      <c r="D152">
        <v>2024</v>
      </c>
      <c r="E152" s="36" t="s">
        <v>603</v>
      </c>
      <c r="F152" s="36" t="s">
        <v>42</v>
      </c>
      <c r="G152" s="36" t="s">
        <v>611</v>
      </c>
      <c r="H152" s="36" t="s">
        <v>625</v>
      </c>
      <c r="I152" s="36" t="s">
        <v>614</v>
      </c>
      <c r="J152" s="36" t="s">
        <v>618</v>
      </c>
      <c r="K152">
        <v>9</v>
      </c>
      <c r="L152">
        <v>150</v>
      </c>
      <c r="M152">
        <v>1350</v>
      </c>
      <c r="N152">
        <v>810</v>
      </c>
      <c r="O152">
        <v>540</v>
      </c>
      <c r="P152" s="11">
        <v>0.4</v>
      </c>
    </row>
    <row r="153" spans="1:16" x14ac:dyDescent="0.25">
      <c r="A153" s="36" t="s">
        <v>321</v>
      </c>
      <c r="B153" s="2">
        <v>45388</v>
      </c>
      <c r="C153" s="36" t="s">
        <v>62</v>
      </c>
      <c r="D153">
        <v>2024</v>
      </c>
      <c r="E153" s="36" t="s">
        <v>604</v>
      </c>
      <c r="F153" s="36" t="s">
        <v>41</v>
      </c>
      <c r="G153" s="36" t="s">
        <v>611</v>
      </c>
      <c r="H153" s="36" t="s">
        <v>621</v>
      </c>
      <c r="I153" s="36" t="s">
        <v>630</v>
      </c>
      <c r="J153" s="36" t="s">
        <v>615</v>
      </c>
      <c r="K153">
        <v>8</v>
      </c>
      <c r="L153">
        <v>45000</v>
      </c>
      <c r="M153">
        <v>360000</v>
      </c>
      <c r="N153">
        <v>306000</v>
      </c>
      <c r="O153">
        <v>54000</v>
      </c>
      <c r="P153" s="11">
        <v>0.15</v>
      </c>
    </row>
    <row r="154" spans="1:16" x14ac:dyDescent="0.25">
      <c r="A154" s="36" t="s">
        <v>358</v>
      </c>
      <c r="B154" s="2">
        <v>45389</v>
      </c>
      <c r="C154" s="36" t="s">
        <v>59</v>
      </c>
      <c r="D154">
        <v>2024</v>
      </c>
      <c r="E154" s="36" t="s">
        <v>595</v>
      </c>
      <c r="F154" s="36" t="s">
        <v>39</v>
      </c>
      <c r="G154" s="36" t="s">
        <v>609</v>
      </c>
      <c r="H154" s="36" t="s">
        <v>621</v>
      </c>
      <c r="I154" s="36" t="s">
        <v>627</v>
      </c>
      <c r="J154" s="36" t="s">
        <v>615</v>
      </c>
      <c r="K154">
        <v>9</v>
      </c>
      <c r="L154">
        <v>4000</v>
      </c>
      <c r="M154">
        <v>36000</v>
      </c>
      <c r="N154">
        <v>30240</v>
      </c>
      <c r="O154">
        <v>5760</v>
      </c>
      <c r="P154" s="11">
        <v>0.16</v>
      </c>
    </row>
    <row r="155" spans="1:16" x14ac:dyDescent="0.25">
      <c r="A155" s="36" t="s">
        <v>163</v>
      </c>
      <c r="B155" s="2">
        <v>45391</v>
      </c>
      <c r="C155" s="36" t="s">
        <v>44</v>
      </c>
      <c r="D155">
        <v>2024</v>
      </c>
      <c r="E155" s="36" t="s">
        <v>604</v>
      </c>
      <c r="F155" s="36" t="s">
        <v>41</v>
      </c>
      <c r="G155" s="36" t="s">
        <v>610</v>
      </c>
      <c r="H155" s="36" t="s">
        <v>622</v>
      </c>
      <c r="I155" s="36" t="s">
        <v>614</v>
      </c>
      <c r="J155" s="36" t="s">
        <v>618</v>
      </c>
      <c r="K155">
        <v>18</v>
      </c>
      <c r="L155">
        <v>8000</v>
      </c>
      <c r="M155">
        <v>144000</v>
      </c>
      <c r="N155">
        <v>113760</v>
      </c>
      <c r="O155">
        <v>30240</v>
      </c>
      <c r="P155" s="11">
        <v>0.21</v>
      </c>
    </row>
    <row r="156" spans="1:16" x14ac:dyDescent="0.25">
      <c r="A156" s="36" t="s">
        <v>533</v>
      </c>
      <c r="B156" s="2">
        <v>45391</v>
      </c>
      <c r="C156" s="36" t="s">
        <v>53</v>
      </c>
      <c r="D156">
        <v>2024</v>
      </c>
      <c r="E156" s="36" t="s">
        <v>592</v>
      </c>
      <c r="F156" s="36" t="s">
        <v>40</v>
      </c>
      <c r="G156" s="36" t="s">
        <v>611</v>
      </c>
      <c r="H156" s="36" t="s">
        <v>620</v>
      </c>
      <c r="I156" s="36" t="s">
        <v>627</v>
      </c>
      <c r="J156" s="36" t="s">
        <v>618</v>
      </c>
      <c r="K156">
        <v>12</v>
      </c>
      <c r="L156">
        <v>150</v>
      </c>
      <c r="M156">
        <v>1800</v>
      </c>
      <c r="N156">
        <v>1206</v>
      </c>
      <c r="O156">
        <v>594</v>
      </c>
      <c r="P156" s="11">
        <v>0.33</v>
      </c>
    </row>
    <row r="157" spans="1:16" x14ac:dyDescent="0.25">
      <c r="A157" s="36" t="s">
        <v>73</v>
      </c>
      <c r="B157" s="2">
        <v>45392</v>
      </c>
      <c r="C157" s="36" t="s">
        <v>50</v>
      </c>
      <c r="D157">
        <v>2024</v>
      </c>
      <c r="E157" s="36" t="s">
        <v>601</v>
      </c>
      <c r="F157" s="36" t="s">
        <v>41</v>
      </c>
      <c r="G157" s="36" t="s">
        <v>608</v>
      </c>
      <c r="H157" s="36" t="s">
        <v>629</v>
      </c>
      <c r="I157" s="36" t="s">
        <v>630</v>
      </c>
      <c r="J157" s="36" t="s">
        <v>615</v>
      </c>
      <c r="K157">
        <v>11</v>
      </c>
      <c r="L157">
        <v>4000</v>
      </c>
      <c r="M157">
        <v>44000</v>
      </c>
      <c r="N157">
        <v>32560</v>
      </c>
      <c r="O157">
        <v>11440</v>
      </c>
      <c r="P157" s="11">
        <v>0.26</v>
      </c>
    </row>
    <row r="158" spans="1:16" x14ac:dyDescent="0.25">
      <c r="A158" s="36" t="s">
        <v>516</v>
      </c>
      <c r="B158" s="2">
        <v>45392</v>
      </c>
      <c r="C158" s="36" t="s">
        <v>48</v>
      </c>
      <c r="D158">
        <v>2024</v>
      </c>
      <c r="E158" s="36" t="s">
        <v>605</v>
      </c>
      <c r="F158" s="36" t="s">
        <v>40</v>
      </c>
      <c r="G158" s="36" t="s">
        <v>610</v>
      </c>
      <c r="H158" s="36" t="s">
        <v>628</v>
      </c>
      <c r="I158" s="36" t="s">
        <v>645</v>
      </c>
      <c r="J158" s="36" t="s">
        <v>618</v>
      </c>
      <c r="K158">
        <v>2</v>
      </c>
      <c r="L158">
        <v>12000</v>
      </c>
      <c r="M158">
        <v>24000</v>
      </c>
      <c r="N158">
        <v>21120</v>
      </c>
      <c r="O158">
        <v>2880</v>
      </c>
      <c r="P158" s="11">
        <v>0.12</v>
      </c>
    </row>
    <row r="159" spans="1:16" x14ac:dyDescent="0.25">
      <c r="A159" s="36" t="s">
        <v>539</v>
      </c>
      <c r="B159" s="2">
        <v>45392</v>
      </c>
      <c r="C159" s="36" t="s">
        <v>48</v>
      </c>
      <c r="D159">
        <v>2024</v>
      </c>
      <c r="E159" s="36" t="s">
        <v>598</v>
      </c>
      <c r="F159" s="36" t="s">
        <v>40</v>
      </c>
      <c r="G159" s="36" t="s">
        <v>612</v>
      </c>
      <c r="H159" s="36" t="s">
        <v>616</v>
      </c>
      <c r="I159" s="36" t="s">
        <v>617</v>
      </c>
      <c r="J159" s="36" t="s">
        <v>615</v>
      </c>
      <c r="K159">
        <v>19</v>
      </c>
      <c r="L159">
        <v>8000</v>
      </c>
      <c r="M159">
        <v>152000</v>
      </c>
      <c r="N159">
        <v>120080</v>
      </c>
      <c r="O159">
        <v>31920</v>
      </c>
      <c r="P159" s="11">
        <v>0.21</v>
      </c>
    </row>
    <row r="160" spans="1:16" x14ac:dyDescent="0.25">
      <c r="A160" s="36" t="s">
        <v>43</v>
      </c>
      <c r="B160" s="2">
        <v>45393</v>
      </c>
      <c r="C160" s="36" t="s">
        <v>44</v>
      </c>
      <c r="D160">
        <v>2024</v>
      </c>
      <c r="E160" s="36" t="s">
        <v>592</v>
      </c>
      <c r="F160" s="36" t="s">
        <v>40</v>
      </c>
      <c r="G160" s="36" t="s">
        <v>608</v>
      </c>
      <c r="H160" s="36" t="s">
        <v>613</v>
      </c>
      <c r="I160" s="36" t="s">
        <v>614</v>
      </c>
      <c r="J160" s="36" t="s">
        <v>615</v>
      </c>
      <c r="K160">
        <v>10</v>
      </c>
      <c r="L160">
        <v>3500</v>
      </c>
      <c r="M160">
        <v>35000</v>
      </c>
      <c r="N160">
        <v>28700</v>
      </c>
      <c r="O160">
        <v>6300</v>
      </c>
      <c r="P160" s="11">
        <v>0.18</v>
      </c>
    </row>
    <row r="161" spans="1:16" x14ac:dyDescent="0.25">
      <c r="A161" s="36" t="s">
        <v>102</v>
      </c>
      <c r="B161" s="2">
        <v>45393</v>
      </c>
      <c r="C161" s="36" t="s">
        <v>50</v>
      </c>
      <c r="D161">
        <v>2024</v>
      </c>
      <c r="E161" s="36" t="s">
        <v>592</v>
      </c>
      <c r="F161" s="36" t="s">
        <v>40</v>
      </c>
      <c r="G161" s="36" t="s">
        <v>610</v>
      </c>
      <c r="H161" s="36" t="s">
        <v>625</v>
      </c>
      <c r="I161" s="36" t="s">
        <v>617</v>
      </c>
      <c r="J161" s="36" t="s">
        <v>618</v>
      </c>
      <c r="K161">
        <v>20</v>
      </c>
      <c r="L161">
        <v>3500</v>
      </c>
      <c r="M161">
        <v>70000</v>
      </c>
      <c r="N161">
        <v>42000</v>
      </c>
      <c r="O161">
        <v>28000</v>
      </c>
      <c r="P161" s="11">
        <v>0.4</v>
      </c>
    </row>
    <row r="162" spans="1:16" x14ac:dyDescent="0.25">
      <c r="A162" s="36" t="s">
        <v>288</v>
      </c>
      <c r="B162" s="2">
        <v>45393</v>
      </c>
      <c r="C162" s="36" t="s">
        <v>50</v>
      </c>
      <c r="D162">
        <v>2024</v>
      </c>
      <c r="E162" s="36" t="s">
        <v>607</v>
      </c>
      <c r="F162" s="36" t="s">
        <v>42</v>
      </c>
      <c r="G162" s="36" t="s">
        <v>608</v>
      </c>
      <c r="H162" s="36" t="s">
        <v>622</v>
      </c>
      <c r="I162" s="36" t="s">
        <v>623</v>
      </c>
      <c r="J162" s="36" t="s">
        <v>615</v>
      </c>
      <c r="K162">
        <v>18</v>
      </c>
      <c r="L162">
        <v>25000</v>
      </c>
      <c r="M162">
        <v>450000</v>
      </c>
      <c r="N162">
        <v>328500</v>
      </c>
      <c r="O162">
        <v>121500</v>
      </c>
      <c r="P162" s="11">
        <v>0.27</v>
      </c>
    </row>
    <row r="163" spans="1:16" x14ac:dyDescent="0.25">
      <c r="A163" s="36" t="s">
        <v>540</v>
      </c>
      <c r="B163" s="2">
        <v>45393</v>
      </c>
      <c r="C163" s="36" t="s">
        <v>80</v>
      </c>
      <c r="D163">
        <v>2024</v>
      </c>
      <c r="E163" s="36" t="s">
        <v>602</v>
      </c>
      <c r="F163" s="36" t="s">
        <v>42</v>
      </c>
      <c r="G163" s="36" t="s">
        <v>611</v>
      </c>
      <c r="H163" s="36" t="s">
        <v>624</v>
      </c>
      <c r="I163" s="36" t="s">
        <v>645</v>
      </c>
      <c r="J163" s="36" t="s">
        <v>618</v>
      </c>
      <c r="K163">
        <v>13</v>
      </c>
      <c r="L163">
        <v>55000</v>
      </c>
      <c r="M163">
        <v>715000</v>
      </c>
      <c r="N163">
        <v>457600</v>
      </c>
      <c r="O163">
        <v>257400</v>
      </c>
      <c r="P163" s="11">
        <v>0.36</v>
      </c>
    </row>
    <row r="164" spans="1:16" x14ac:dyDescent="0.25">
      <c r="A164" s="36" t="s">
        <v>537</v>
      </c>
      <c r="B164" s="2">
        <v>45394</v>
      </c>
      <c r="C164" s="36" t="s">
        <v>48</v>
      </c>
      <c r="D164">
        <v>2024</v>
      </c>
      <c r="E164" s="36" t="s">
        <v>603</v>
      </c>
      <c r="F164" s="36" t="s">
        <v>42</v>
      </c>
      <c r="G164" s="36" t="s">
        <v>611</v>
      </c>
      <c r="H164" s="36" t="s">
        <v>625</v>
      </c>
      <c r="I164" s="36" t="s">
        <v>617</v>
      </c>
      <c r="J164" s="36" t="s">
        <v>615</v>
      </c>
      <c r="K164">
        <v>11</v>
      </c>
      <c r="L164">
        <v>1200</v>
      </c>
      <c r="M164">
        <v>13200</v>
      </c>
      <c r="N164">
        <v>9636</v>
      </c>
      <c r="O164">
        <v>3564</v>
      </c>
      <c r="P164" s="11">
        <v>0.27</v>
      </c>
    </row>
    <row r="165" spans="1:16" x14ac:dyDescent="0.25">
      <c r="A165" s="36" t="s">
        <v>95</v>
      </c>
      <c r="B165" s="2">
        <v>45395</v>
      </c>
      <c r="C165" s="36" t="s">
        <v>57</v>
      </c>
      <c r="D165">
        <v>2024</v>
      </c>
      <c r="E165" s="36" t="s">
        <v>602</v>
      </c>
      <c r="F165" s="36" t="s">
        <v>42</v>
      </c>
      <c r="G165" s="36" t="s">
        <v>610</v>
      </c>
      <c r="H165" s="36" t="s">
        <v>622</v>
      </c>
      <c r="I165" s="36" t="s">
        <v>619</v>
      </c>
      <c r="J165" s="36" t="s">
        <v>615</v>
      </c>
      <c r="K165">
        <v>18</v>
      </c>
      <c r="L165">
        <v>25000</v>
      </c>
      <c r="M165">
        <v>450000</v>
      </c>
      <c r="N165">
        <v>369000</v>
      </c>
      <c r="O165">
        <v>81000</v>
      </c>
      <c r="P165" s="11">
        <v>0.18</v>
      </c>
    </row>
    <row r="166" spans="1:16" x14ac:dyDescent="0.25">
      <c r="A166" s="36" t="s">
        <v>500</v>
      </c>
      <c r="B166" s="2">
        <v>45395</v>
      </c>
      <c r="C166" s="36" t="s">
        <v>53</v>
      </c>
      <c r="D166">
        <v>2024</v>
      </c>
      <c r="E166" s="36" t="s">
        <v>602</v>
      </c>
      <c r="F166" s="36" t="s">
        <v>42</v>
      </c>
      <c r="G166" s="36" t="s">
        <v>611</v>
      </c>
      <c r="H166" s="36" t="s">
        <v>622</v>
      </c>
      <c r="I166" s="36" t="s">
        <v>617</v>
      </c>
      <c r="J166" s="36" t="s">
        <v>618</v>
      </c>
      <c r="K166">
        <v>15</v>
      </c>
      <c r="L166">
        <v>8000</v>
      </c>
      <c r="M166">
        <v>120000</v>
      </c>
      <c r="N166">
        <v>85200</v>
      </c>
      <c r="O166">
        <v>34800</v>
      </c>
      <c r="P166" s="11">
        <v>0.28999999999999998</v>
      </c>
    </row>
    <row r="167" spans="1:16" x14ac:dyDescent="0.25">
      <c r="A167" s="36" t="s">
        <v>478</v>
      </c>
      <c r="B167" s="2">
        <v>45396</v>
      </c>
      <c r="C167" s="36" t="s">
        <v>57</v>
      </c>
      <c r="D167">
        <v>2024</v>
      </c>
      <c r="E167" s="36" t="s">
        <v>592</v>
      </c>
      <c r="F167" s="36" t="s">
        <v>40</v>
      </c>
      <c r="G167" s="36" t="s">
        <v>612</v>
      </c>
      <c r="H167" s="36" t="s">
        <v>628</v>
      </c>
      <c r="I167" s="36" t="s">
        <v>630</v>
      </c>
      <c r="J167" s="36" t="s">
        <v>618</v>
      </c>
      <c r="K167">
        <v>6</v>
      </c>
      <c r="L167">
        <v>150</v>
      </c>
      <c r="M167">
        <v>900</v>
      </c>
      <c r="N167">
        <v>675</v>
      </c>
      <c r="O167">
        <v>225</v>
      </c>
      <c r="P167" s="11">
        <v>0.25</v>
      </c>
    </row>
    <row r="168" spans="1:16" x14ac:dyDescent="0.25">
      <c r="A168" s="36" t="s">
        <v>535</v>
      </c>
      <c r="B168" s="2">
        <v>45396</v>
      </c>
      <c r="C168" s="36" t="s">
        <v>83</v>
      </c>
      <c r="D168">
        <v>2024</v>
      </c>
      <c r="E168" s="36" t="s">
        <v>602</v>
      </c>
      <c r="F168" s="36" t="s">
        <v>42</v>
      </c>
      <c r="G168" s="36" t="s">
        <v>610</v>
      </c>
      <c r="H168" s="36" t="s">
        <v>624</v>
      </c>
      <c r="I168" s="36" t="s">
        <v>617</v>
      </c>
      <c r="J168" s="36" t="s">
        <v>615</v>
      </c>
      <c r="K168">
        <v>14</v>
      </c>
      <c r="L168">
        <v>55000</v>
      </c>
      <c r="M168">
        <v>770000</v>
      </c>
      <c r="N168">
        <v>654500</v>
      </c>
      <c r="O168">
        <v>115500</v>
      </c>
      <c r="P168" s="11">
        <v>0.15</v>
      </c>
    </row>
    <row r="169" spans="1:16" x14ac:dyDescent="0.25">
      <c r="A169" s="36" t="s">
        <v>418</v>
      </c>
      <c r="B169" s="2">
        <v>45397</v>
      </c>
      <c r="C169" s="36" t="s">
        <v>65</v>
      </c>
      <c r="D169">
        <v>2024</v>
      </c>
      <c r="E169" s="36" t="s">
        <v>596</v>
      </c>
      <c r="F169" s="36" t="s">
        <v>39</v>
      </c>
      <c r="G169" s="36" t="s">
        <v>610</v>
      </c>
      <c r="H169" s="36" t="s">
        <v>622</v>
      </c>
      <c r="I169" s="36" t="s">
        <v>627</v>
      </c>
      <c r="J169" s="36" t="s">
        <v>615</v>
      </c>
      <c r="K169">
        <v>15</v>
      </c>
      <c r="L169">
        <v>8000</v>
      </c>
      <c r="M169">
        <v>120000</v>
      </c>
      <c r="N169">
        <v>88800</v>
      </c>
      <c r="O169">
        <v>31200</v>
      </c>
      <c r="P169" s="11">
        <v>0.26</v>
      </c>
    </row>
    <row r="170" spans="1:16" x14ac:dyDescent="0.25">
      <c r="A170" s="36" t="s">
        <v>444</v>
      </c>
      <c r="B170" s="2">
        <v>45400</v>
      </c>
      <c r="C170" s="36" t="s">
        <v>50</v>
      </c>
      <c r="D170">
        <v>2024</v>
      </c>
      <c r="E170" s="36" t="s">
        <v>596</v>
      </c>
      <c r="F170" s="36" t="s">
        <v>39</v>
      </c>
      <c r="G170" s="36" t="s">
        <v>611</v>
      </c>
      <c r="H170" s="36" t="s">
        <v>613</v>
      </c>
      <c r="I170" s="36" t="s">
        <v>645</v>
      </c>
      <c r="J170" s="36" t="s">
        <v>615</v>
      </c>
      <c r="K170">
        <v>4</v>
      </c>
      <c r="L170">
        <v>20</v>
      </c>
      <c r="M170">
        <v>80</v>
      </c>
      <c r="N170">
        <v>52</v>
      </c>
      <c r="O170">
        <v>28</v>
      </c>
      <c r="P170" s="11">
        <v>0.35</v>
      </c>
    </row>
    <row r="171" spans="1:16" x14ac:dyDescent="0.25">
      <c r="A171" s="36" t="s">
        <v>166</v>
      </c>
      <c r="B171" s="2">
        <v>45401</v>
      </c>
      <c r="C171" s="36" t="s">
        <v>83</v>
      </c>
      <c r="D171">
        <v>2024</v>
      </c>
      <c r="E171" s="36" t="s">
        <v>600</v>
      </c>
      <c r="F171" s="36" t="s">
        <v>39</v>
      </c>
      <c r="G171" s="36" t="s">
        <v>612</v>
      </c>
      <c r="H171" s="36" t="s">
        <v>624</v>
      </c>
      <c r="I171" s="36" t="s">
        <v>645</v>
      </c>
      <c r="J171" s="36" t="s">
        <v>615</v>
      </c>
      <c r="K171">
        <v>5</v>
      </c>
      <c r="L171">
        <v>8000</v>
      </c>
      <c r="M171">
        <v>40000</v>
      </c>
      <c r="N171">
        <v>32400</v>
      </c>
      <c r="O171">
        <v>7600</v>
      </c>
      <c r="P171" s="11">
        <v>0.19</v>
      </c>
    </row>
    <row r="172" spans="1:16" x14ac:dyDescent="0.25">
      <c r="A172" s="36" t="s">
        <v>49</v>
      </c>
      <c r="B172" s="2">
        <v>45402</v>
      </c>
      <c r="C172" s="36" t="s">
        <v>50</v>
      </c>
      <c r="D172">
        <v>2024</v>
      </c>
      <c r="E172" s="36" t="s">
        <v>595</v>
      </c>
      <c r="F172" s="36" t="s">
        <v>39</v>
      </c>
      <c r="G172" s="36" t="s">
        <v>610</v>
      </c>
      <c r="H172" s="36" t="s">
        <v>620</v>
      </c>
      <c r="I172" s="36" t="s">
        <v>619</v>
      </c>
      <c r="J172" s="36" t="s">
        <v>615</v>
      </c>
      <c r="K172">
        <v>9</v>
      </c>
      <c r="L172">
        <v>700</v>
      </c>
      <c r="M172">
        <v>6300</v>
      </c>
      <c r="N172">
        <v>4347</v>
      </c>
      <c r="O172">
        <v>1953</v>
      </c>
      <c r="P172" s="11">
        <v>0.31</v>
      </c>
    </row>
    <row r="173" spans="1:16" x14ac:dyDescent="0.25">
      <c r="A173" s="36" t="s">
        <v>135</v>
      </c>
      <c r="B173" s="2">
        <v>45402</v>
      </c>
      <c r="C173" s="36" t="s">
        <v>46</v>
      </c>
      <c r="D173">
        <v>2024</v>
      </c>
      <c r="E173" s="36" t="s">
        <v>597</v>
      </c>
      <c r="F173" s="36" t="s">
        <v>41</v>
      </c>
      <c r="G173" s="36" t="s">
        <v>612</v>
      </c>
      <c r="H173" s="36" t="s">
        <v>626</v>
      </c>
      <c r="I173" s="36" t="s">
        <v>645</v>
      </c>
      <c r="J173" s="36" t="s">
        <v>618</v>
      </c>
      <c r="K173">
        <v>10</v>
      </c>
      <c r="L173">
        <v>4000</v>
      </c>
      <c r="M173">
        <v>40000</v>
      </c>
      <c r="N173">
        <v>33200</v>
      </c>
      <c r="O173">
        <v>6800</v>
      </c>
      <c r="P173" s="11">
        <v>0.17</v>
      </c>
    </row>
    <row r="174" spans="1:16" x14ac:dyDescent="0.25">
      <c r="A174" s="36" t="s">
        <v>128</v>
      </c>
      <c r="B174" s="2">
        <v>45404</v>
      </c>
      <c r="C174" s="36" t="s">
        <v>46</v>
      </c>
      <c r="D174">
        <v>2024</v>
      </c>
      <c r="E174" s="36" t="s">
        <v>595</v>
      </c>
      <c r="F174" s="36" t="s">
        <v>39</v>
      </c>
      <c r="G174" s="36" t="s">
        <v>608</v>
      </c>
      <c r="H174" s="36" t="s">
        <v>622</v>
      </c>
      <c r="I174" s="36" t="s">
        <v>619</v>
      </c>
      <c r="J174" s="36" t="s">
        <v>615</v>
      </c>
      <c r="K174">
        <v>8</v>
      </c>
      <c r="L174">
        <v>8000</v>
      </c>
      <c r="M174">
        <v>64000</v>
      </c>
      <c r="N174">
        <v>51200</v>
      </c>
      <c r="O174">
        <v>12800</v>
      </c>
      <c r="P174" s="11">
        <v>0.2</v>
      </c>
    </row>
    <row r="175" spans="1:16" x14ac:dyDescent="0.25">
      <c r="A175" s="36" t="s">
        <v>343</v>
      </c>
      <c r="B175" s="2">
        <v>45404</v>
      </c>
      <c r="C175" s="36" t="s">
        <v>65</v>
      </c>
      <c r="D175">
        <v>2024</v>
      </c>
      <c r="E175" s="36" t="s">
        <v>604</v>
      </c>
      <c r="F175" s="36" t="s">
        <v>41</v>
      </c>
      <c r="G175" s="36" t="s">
        <v>611</v>
      </c>
      <c r="H175" s="36" t="s">
        <v>622</v>
      </c>
      <c r="I175" s="36" t="s">
        <v>630</v>
      </c>
      <c r="J175" s="36" t="s">
        <v>615</v>
      </c>
      <c r="K175">
        <v>2</v>
      </c>
      <c r="L175">
        <v>1200</v>
      </c>
      <c r="M175">
        <v>2400</v>
      </c>
      <c r="N175">
        <v>1872</v>
      </c>
      <c r="O175">
        <v>528</v>
      </c>
      <c r="P175" s="11">
        <v>0.22</v>
      </c>
    </row>
    <row r="176" spans="1:16" x14ac:dyDescent="0.25">
      <c r="A176" s="36" t="s">
        <v>363</v>
      </c>
      <c r="B176" s="2">
        <v>45404</v>
      </c>
      <c r="C176" s="36" t="s">
        <v>50</v>
      </c>
      <c r="D176">
        <v>2024</v>
      </c>
      <c r="E176" s="36" t="s">
        <v>601</v>
      </c>
      <c r="F176" s="36" t="s">
        <v>41</v>
      </c>
      <c r="G176" s="36" t="s">
        <v>612</v>
      </c>
      <c r="H176" s="36" t="s">
        <v>613</v>
      </c>
      <c r="I176" s="36" t="s">
        <v>645</v>
      </c>
      <c r="J176" s="36" t="s">
        <v>618</v>
      </c>
      <c r="K176">
        <v>6</v>
      </c>
      <c r="L176">
        <v>1200</v>
      </c>
      <c r="M176">
        <v>7200</v>
      </c>
      <c r="N176">
        <v>6264</v>
      </c>
      <c r="O176">
        <v>936</v>
      </c>
      <c r="P176" s="11">
        <v>0.13</v>
      </c>
    </row>
    <row r="177" spans="1:16" x14ac:dyDescent="0.25">
      <c r="A177" s="36" t="s">
        <v>462</v>
      </c>
      <c r="B177" s="2">
        <v>45404</v>
      </c>
      <c r="C177" s="36" t="s">
        <v>65</v>
      </c>
      <c r="D177">
        <v>2024</v>
      </c>
      <c r="E177" s="36" t="s">
        <v>594</v>
      </c>
      <c r="F177" s="36" t="s">
        <v>39</v>
      </c>
      <c r="G177" s="36" t="s">
        <v>608</v>
      </c>
      <c r="H177" s="36" t="s">
        <v>621</v>
      </c>
      <c r="I177" s="36" t="s">
        <v>614</v>
      </c>
      <c r="J177" s="36" t="s">
        <v>618</v>
      </c>
      <c r="K177">
        <v>13</v>
      </c>
      <c r="L177">
        <v>8000</v>
      </c>
      <c r="M177">
        <v>104000</v>
      </c>
      <c r="N177">
        <v>76960</v>
      </c>
      <c r="O177">
        <v>27040</v>
      </c>
      <c r="P177" s="11">
        <v>0.26</v>
      </c>
    </row>
    <row r="178" spans="1:16" x14ac:dyDescent="0.25">
      <c r="A178" s="36" t="s">
        <v>219</v>
      </c>
      <c r="B178" s="2">
        <v>45407</v>
      </c>
      <c r="C178" s="36" t="s">
        <v>62</v>
      </c>
      <c r="D178">
        <v>2024</v>
      </c>
      <c r="E178" s="36" t="s">
        <v>599</v>
      </c>
      <c r="F178" s="36" t="s">
        <v>39</v>
      </c>
      <c r="G178" s="36" t="s">
        <v>611</v>
      </c>
      <c r="H178" s="36" t="s">
        <v>616</v>
      </c>
      <c r="I178" s="36" t="s">
        <v>614</v>
      </c>
      <c r="J178" s="36" t="s">
        <v>615</v>
      </c>
      <c r="K178">
        <v>17</v>
      </c>
      <c r="L178">
        <v>8000</v>
      </c>
      <c r="M178">
        <v>136000</v>
      </c>
      <c r="N178">
        <v>82960</v>
      </c>
      <c r="O178">
        <v>53040</v>
      </c>
      <c r="P178" s="11">
        <v>0.39</v>
      </c>
    </row>
    <row r="179" spans="1:16" x14ac:dyDescent="0.25">
      <c r="A179" s="36" t="s">
        <v>165</v>
      </c>
      <c r="B179" s="2">
        <v>45408</v>
      </c>
      <c r="C179" s="36" t="s">
        <v>57</v>
      </c>
      <c r="D179">
        <v>2024</v>
      </c>
      <c r="E179" s="36" t="s">
        <v>595</v>
      </c>
      <c r="F179" s="36" t="s">
        <v>39</v>
      </c>
      <c r="G179" s="36" t="s">
        <v>609</v>
      </c>
      <c r="H179" s="36" t="s">
        <v>622</v>
      </c>
      <c r="I179" s="36" t="s">
        <v>617</v>
      </c>
      <c r="J179" s="36" t="s">
        <v>615</v>
      </c>
      <c r="K179">
        <v>9</v>
      </c>
      <c r="L179">
        <v>12000</v>
      </c>
      <c r="M179">
        <v>108000</v>
      </c>
      <c r="N179">
        <v>93960</v>
      </c>
      <c r="O179">
        <v>14040</v>
      </c>
      <c r="P179" s="11">
        <v>0.13</v>
      </c>
    </row>
    <row r="180" spans="1:16" x14ac:dyDescent="0.25">
      <c r="A180" s="36" t="s">
        <v>224</v>
      </c>
      <c r="B180" s="2">
        <v>45408</v>
      </c>
      <c r="C180" s="36" t="s">
        <v>62</v>
      </c>
      <c r="D180">
        <v>2024</v>
      </c>
      <c r="E180" s="36" t="s">
        <v>606</v>
      </c>
      <c r="F180" s="36" t="s">
        <v>40</v>
      </c>
      <c r="G180" s="36" t="s">
        <v>608</v>
      </c>
      <c r="H180" s="36" t="s">
        <v>626</v>
      </c>
      <c r="I180" s="36" t="s">
        <v>645</v>
      </c>
      <c r="J180" s="36" t="s">
        <v>615</v>
      </c>
      <c r="K180">
        <v>19</v>
      </c>
      <c r="L180">
        <v>12000</v>
      </c>
      <c r="M180">
        <v>228000</v>
      </c>
      <c r="N180">
        <v>205200</v>
      </c>
      <c r="O180">
        <v>22800</v>
      </c>
      <c r="P180" s="11">
        <v>0.1</v>
      </c>
    </row>
    <row r="181" spans="1:16" x14ac:dyDescent="0.25">
      <c r="A181" s="36" t="s">
        <v>235</v>
      </c>
      <c r="B181" s="2">
        <v>45408</v>
      </c>
      <c r="C181" s="36" t="s">
        <v>65</v>
      </c>
      <c r="D181">
        <v>2024</v>
      </c>
      <c r="E181" s="36" t="s">
        <v>601</v>
      </c>
      <c r="F181" s="36" t="s">
        <v>41</v>
      </c>
      <c r="G181" s="36" t="s">
        <v>608</v>
      </c>
      <c r="H181" s="36" t="s">
        <v>624</v>
      </c>
      <c r="I181" s="36" t="s">
        <v>614</v>
      </c>
      <c r="J181" s="36" t="s">
        <v>615</v>
      </c>
      <c r="K181">
        <v>14</v>
      </c>
      <c r="L181">
        <v>3500</v>
      </c>
      <c r="M181">
        <v>49000</v>
      </c>
      <c r="N181">
        <v>40670</v>
      </c>
      <c r="O181">
        <v>8330</v>
      </c>
      <c r="P181" s="11">
        <v>0.17</v>
      </c>
    </row>
    <row r="182" spans="1:16" x14ac:dyDescent="0.25">
      <c r="A182" s="36" t="s">
        <v>470</v>
      </c>
      <c r="B182" s="2">
        <v>45408</v>
      </c>
      <c r="C182" s="36" t="s">
        <v>83</v>
      </c>
      <c r="D182">
        <v>2024</v>
      </c>
      <c r="E182" s="36" t="s">
        <v>597</v>
      </c>
      <c r="F182" s="36" t="s">
        <v>41</v>
      </c>
      <c r="G182" s="36" t="s">
        <v>610</v>
      </c>
      <c r="H182" s="36" t="s">
        <v>629</v>
      </c>
      <c r="I182" s="36" t="s">
        <v>619</v>
      </c>
      <c r="J182" s="36" t="s">
        <v>615</v>
      </c>
      <c r="K182">
        <v>19</v>
      </c>
      <c r="L182">
        <v>1200</v>
      </c>
      <c r="M182">
        <v>22800</v>
      </c>
      <c r="N182">
        <v>14136</v>
      </c>
      <c r="O182">
        <v>8664</v>
      </c>
      <c r="P182" s="11">
        <v>0.38</v>
      </c>
    </row>
    <row r="183" spans="1:16" x14ac:dyDescent="0.25">
      <c r="A183" s="36" t="s">
        <v>517</v>
      </c>
      <c r="B183" s="2">
        <v>45408</v>
      </c>
      <c r="C183" s="36" t="s">
        <v>65</v>
      </c>
      <c r="D183">
        <v>2024</v>
      </c>
      <c r="E183" s="36" t="s">
        <v>606</v>
      </c>
      <c r="F183" s="36" t="s">
        <v>40</v>
      </c>
      <c r="G183" s="36" t="s">
        <v>609</v>
      </c>
      <c r="H183" s="36" t="s">
        <v>624</v>
      </c>
      <c r="I183" s="36" t="s">
        <v>623</v>
      </c>
      <c r="J183" s="36" t="s">
        <v>615</v>
      </c>
      <c r="K183">
        <v>9</v>
      </c>
      <c r="L183">
        <v>8000</v>
      </c>
      <c r="M183">
        <v>72000</v>
      </c>
      <c r="N183">
        <v>61920</v>
      </c>
      <c r="O183">
        <v>10080</v>
      </c>
      <c r="P183" s="11">
        <v>0.14000000000000001</v>
      </c>
    </row>
    <row r="184" spans="1:16" x14ac:dyDescent="0.25">
      <c r="A184" s="36" t="s">
        <v>486</v>
      </c>
      <c r="B184" s="2">
        <v>45409</v>
      </c>
      <c r="C184" s="36" t="s">
        <v>44</v>
      </c>
      <c r="D184">
        <v>2024</v>
      </c>
      <c r="E184" s="36" t="s">
        <v>598</v>
      </c>
      <c r="F184" s="36" t="s">
        <v>40</v>
      </c>
      <c r="G184" s="36" t="s">
        <v>610</v>
      </c>
      <c r="H184" s="36" t="s">
        <v>620</v>
      </c>
      <c r="I184" s="36" t="s">
        <v>630</v>
      </c>
      <c r="J184" s="36" t="s">
        <v>615</v>
      </c>
      <c r="K184">
        <v>13</v>
      </c>
      <c r="L184">
        <v>9000</v>
      </c>
      <c r="M184">
        <v>117000</v>
      </c>
      <c r="N184">
        <v>83070</v>
      </c>
      <c r="O184">
        <v>33930</v>
      </c>
      <c r="P184" s="11">
        <v>0.28999999999999998</v>
      </c>
    </row>
    <row r="185" spans="1:16" x14ac:dyDescent="0.25">
      <c r="A185" s="36" t="s">
        <v>100</v>
      </c>
      <c r="B185" s="2">
        <v>45411</v>
      </c>
      <c r="C185" s="36" t="s">
        <v>53</v>
      </c>
      <c r="D185">
        <v>2024</v>
      </c>
      <c r="E185" s="36" t="s">
        <v>606</v>
      </c>
      <c r="F185" s="36" t="s">
        <v>40</v>
      </c>
      <c r="G185" s="36" t="s">
        <v>611</v>
      </c>
      <c r="H185" s="36" t="s">
        <v>620</v>
      </c>
      <c r="I185" s="36" t="s">
        <v>614</v>
      </c>
      <c r="J185" s="36" t="s">
        <v>615</v>
      </c>
      <c r="K185">
        <v>13</v>
      </c>
      <c r="L185">
        <v>300</v>
      </c>
      <c r="M185">
        <v>3900</v>
      </c>
      <c r="N185">
        <v>3237</v>
      </c>
      <c r="O185">
        <v>663</v>
      </c>
      <c r="P185" s="11">
        <v>0.17</v>
      </c>
    </row>
    <row r="186" spans="1:16" x14ac:dyDescent="0.25">
      <c r="A186" s="36" t="s">
        <v>334</v>
      </c>
      <c r="B186" s="2">
        <v>45411</v>
      </c>
      <c r="C186" s="36" t="s">
        <v>50</v>
      </c>
      <c r="D186">
        <v>2024</v>
      </c>
      <c r="E186" s="36" t="s">
        <v>600</v>
      </c>
      <c r="F186" s="36" t="s">
        <v>39</v>
      </c>
      <c r="G186" s="36" t="s">
        <v>609</v>
      </c>
      <c r="H186" s="36" t="s">
        <v>622</v>
      </c>
      <c r="I186" s="36" t="s">
        <v>617</v>
      </c>
      <c r="J186" s="36" t="s">
        <v>618</v>
      </c>
      <c r="K186">
        <v>5</v>
      </c>
      <c r="L186">
        <v>45000</v>
      </c>
      <c r="M186">
        <v>225000</v>
      </c>
      <c r="N186">
        <v>186750</v>
      </c>
      <c r="O186">
        <v>38250</v>
      </c>
      <c r="P186" s="11">
        <v>0.17</v>
      </c>
    </row>
    <row r="187" spans="1:16" x14ac:dyDescent="0.25">
      <c r="A187" s="36" t="s">
        <v>390</v>
      </c>
      <c r="B187" s="2">
        <v>45411</v>
      </c>
      <c r="C187" s="36" t="s">
        <v>44</v>
      </c>
      <c r="D187">
        <v>2024</v>
      </c>
      <c r="E187" s="36" t="s">
        <v>597</v>
      </c>
      <c r="F187" s="36" t="s">
        <v>41</v>
      </c>
      <c r="G187" s="36" t="s">
        <v>609</v>
      </c>
      <c r="H187" s="36" t="s">
        <v>622</v>
      </c>
      <c r="I187" s="36" t="s">
        <v>619</v>
      </c>
      <c r="J187" s="36" t="s">
        <v>615</v>
      </c>
      <c r="K187">
        <v>10</v>
      </c>
      <c r="L187">
        <v>7000</v>
      </c>
      <c r="M187">
        <v>70000</v>
      </c>
      <c r="N187">
        <v>46200</v>
      </c>
      <c r="O187">
        <v>23800</v>
      </c>
      <c r="P187" s="11">
        <v>0.34</v>
      </c>
    </row>
    <row r="188" spans="1:16" x14ac:dyDescent="0.25">
      <c r="A188" s="36" t="s">
        <v>309</v>
      </c>
      <c r="B188" s="2">
        <v>45412</v>
      </c>
      <c r="C188" s="36" t="s">
        <v>80</v>
      </c>
      <c r="D188">
        <v>2024</v>
      </c>
      <c r="E188" s="36" t="s">
        <v>596</v>
      </c>
      <c r="F188" s="36" t="s">
        <v>39</v>
      </c>
      <c r="G188" s="36" t="s">
        <v>608</v>
      </c>
      <c r="H188" s="36" t="s">
        <v>625</v>
      </c>
      <c r="I188" s="36" t="s">
        <v>645</v>
      </c>
      <c r="J188" s="36" t="s">
        <v>615</v>
      </c>
      <c r="K188">
        <v>7</v>
      </c>
      <c r="L188">
        <v>25000</v>
      </c>
      <c r="M188">
        <v>175000</v>
      </c>
      <c r="N188">
        <v>127750</v>
      </c>
      <c r="O188">
        <v>47250</v>
      </c>
      <c r="P188" s="11">
        <v>0.27</v>
      </c>
    </row>
    <row r="189" spans="1:16" x14ac:dyDescent="0.25">
      <c r="A189" s="36" t="s">
        <v>471</v>
      </c>
      <c r="B189" s="2">
        <v>45413</v>
      </c>
      <c r="C189" s="36" t="s">
        <v>46</v>
      </c>
      <c r="D189">
        <v>2024</v>
      </c>
      <c r="E189" s="36" t="s">
        <v>606</v>
      </c>
      <c r="F189" s="36" t="s">
        <v>40</v>
      </c>
      <c r="G189" s="36" t="s">
        <v>608</v>
      </c>
      <c r="H189" s="36" t="s">
        <v>616</v>
      </c>
      <c r="I189" s="36" t="s">
        <v>614</v>
      </c>
      <c r="J189" s="36" t="s">
        <v>615</v>
      </c>
      <c r="K189">
        <v>10</v>
      </c>
      <c r="L189">
        <v>12000</v>
      </c>
      <c r="M189">
        <v>120000</v>
      </c>
      <c r="N189">
        <v>92400</v>
      </c>
      <c r="O189">
        <v>27600</v>
      </c>
      <c r="P189" s="11">
        <v>0.23</v>
      </c>
    </row>
    <row r="190" spans="1:16" x14ac:dyDescent="0.25">
      <c r="A190" s="36" t="s">
        <v>393</v>
      </c>
      <c r="B190" s="2">
        <v>45415</v>
      </c>
      <c r="C190" s="36" t="s">
        <v>57</v>
      </c>
      <c r="D190">
        <v>2024</v>
      </c>
      <c r="E190" s="36" t="s">
        <v>607</v>
      </c>
      <c r="F190" s="36" t="s">
        <v>42</v>
      </c>
      <c r="G190" s="36" t="s">
        <v>608</v>
      </c>
      <c r="H190" s="36" t="s">
        <v>620</v>
      </c>
      <c r="I190" s="36" t="s">
        <v>617</v>
      </c>
      <c r="J190" s="36" t="s">
        <v>615</v>
      </c>
      <c r="K190">
        <v>6</v>
      </c>
      <c r="L190">
        <v>300</v>
      </c>
      <c r="M190">
        <v>1800</v>
      </c>
      <c r="N190">
        <v>1296</v>
      </c>
      <c r="O190">
        <v>504</v>
      </c>
      <c r="P190" s="11">
        <v>0.28000000000000003</v>
      </c>
    </row>
    <row r="191" spans="1:16" x14ac:dyDescent="0.25">
      <c r="A191" s="36" t="s">
        <v>292</v>
      </c>
      <c r="B191" s="2">
        <v>45416</v>
      </c>
      <c r="C191" s="36" t="s">
        <v>80</v>
      </c>
      <c r="D191">
        <v>2024</v>
      </c>
      <c r="E191" s="36" t="s">
        <v>594</v>
      </c>
      <c r="F191" s="36" t="s">
        <v>39</v>
      </c>
      <c r="G191" s="36" t="s">
        <v>612</v>
      </c>
      <c r="H191" s="36" t="s">
        <v>613</v>
      </c>
      <c r="I191" s="36" t="s">
        <v>619</v>
      </c>
      <c r="J191" s="36" t="s">
        <v>615</v>
      </c>
      <c r="K191">
        <v>11</v>
      </c>
      <c r="L191">
        <v>12000</v>
      </c>
      <c r="M191">
        <v>132000</v>
      </c>
      <c r="N191">
        <v>110880</v>
      </c>
      <c r="O191">
        <v>21120</v>
      </c>
      <c r="P191" s="11">
        <v>0.16</v>
      </c>
    </row>
    <row r="192" spans="1:16" x14ac:dyDescent="0.25">
      <c r="A192" s="36" t="s">
        <v>573</v>
      </c>
      <c r="B192" s="2">
        <v>45416</v>
      </c>
      <c r="C192" s="36" t="s">
        <v>62</v>
      </c>
      <c r="D192">
        <v>2024</v>
      </c>
      <c r="E192" s="36" t="s">
        <v>600</v>
      </c>
      <c r="F192" s="36" t="s">
        <v>39</v>
      </c>
      <c r="G192" s="36" t="s">
        <v>612</v>
      </c>
      <c r="H192" s="36" t="s">
        <v>616</v>
      </c>
      <c r="I192" s="36" t="s">
        <v>645</v>
      </c>
      <c r="J192" s="36" t="s">
        <v>618</v>
      </c>
      <c r="K192">
        <v>1</v>
      </c>
      <c r="L192">
        <v>25000</v>
      </c>
      <c r="M192">
        <v>25000</v>
      </c>
      <c r="N192">
        <v>19000</v>
      </c>
      <c r="O192">
        <v>6000</v>
      </c>
      <c r="P192" s="11">
        <v>0.24</v>
      </c>
    </row>
    <row r="193" spans="1:16" x14ac:dyDescent="0.25">
      <c r="A193" s="36" t="s">
        <v>553</v>
      </c>
      <c r="B193" s="2">
        <v>45417</v>
      </c>
      <c r="C193" s="36" t="s">
        <v>48</v>
      </c>
      <c r="D193">
        <v>2024</v>
      </c>
      <c r="E193" s="36" t="s">
        <v>602</v>
      </c>
      <c r="F193" s="36" t="s">
        <v>42</v>
      </c>
      <c r="G193" s="36" t="s">
        <v>608</v>
      </c>
      <c r="H193" s="36" t="s">
        <v>625</v>
      </c>
      <c r="I193" s="36" t="s">
        <v>645</v>
      </c>
      <c r="J193" s="36" t="s">
        <v>618</v>
      </c>
      <c r="K193">
        <v>5</v>
      </c>
      <c r="L193">
        <v>9000</v>
      </c>
      <c r="M193">
        <v>45000</v>
      </c>
      <c r="N193">
        <v>30150</v>
      </c>
      <c r="O193">
        <v>14850</v>
      </c>
      <c r="P193" s="11">
        <v>0.33</v>
      </c>
    </row>
    <row r="194" spans="1:16" x14ac:dyDescent="0.25">
      <c r="A194" s="36" t="s">
        <v>117</v>
      </c>
      <c r="B194" s="2">
        <v>45418</v>
      </c>
      <c r="C194" s="36" t="s">
        <v>48</v>
      </c>
      <c r="D194">
        <v>2024</v>
      </c>
      <c r="E194" s="36" t="s">
        <v>597</v>
      </c>
      <c r="F194" s="36" t="s">
        <v>41</v>
      </c>
      <c r="G194" s="36" t="s">
        <v>611</v>
      </c>
      <c r="H194" s="36" t="s">
        <v>613</v>
      </c>
      <c r="I194" s="36" t="s">
        <v>627</v>
      </c>
      <c r="J194" s="36" t="s">
        <v>615</v>
      </c>
      <c r="K194">
        <v>14</v>
      </c>
      <c r="L194">
        <v>300</v>
      </c>
      <c r="M194">
        <v>4200</v>
      </c>
      <c r="N194">
        <v>3234</v>
      </c>
      <c r="O194">
        <v>966</v>
      </c>
      <c r="P194" s="11">
        <v>0.23</v>
      </c>
    </row>
    <row r="195" spans="1:16" x14ac:dyDescent="0.25">
      <c r="A195" s="36" t="s">
        <v>360</v>
      </c>
      <c r="B195" s="2">
        <v>45418</v>
      </c>
      <c r="C195" s="36" t="s">
        <v>62</v>
      </c>
      <c r="D195">
        <v>2024</v>
      </c>
      <c r="E195" s="36" t="s">
        <v>601</v>
      </c>
      <c r="F195" s="36" t="s">
        <v>41</v>
      </c>
      <c r="G195" s="36" t="s">
        <v>612</v>
      </c>
      <c r="H195" s="36" t="s">
        <v>624</v>
      </c>
      <c r="I195" s="36" t="s">
        <v>630</v>
      </c>
      <c r="J195" s="36" t="s">
        <v>618</v>
      </c>
      <c r="K195">
        <v>10</v>
      </c>
      <c r="L195">
        <v>150</v>
      </c>
      <c r="M195">
        <v>1500</v>
      </c>
      <c r="N195">
        <v>1005</v>
      </c>
      <c r="O195">
        <v>495</v>
      </c>
      <c r="P195" s="11">
        <v>0.33</v>
      </c>
    </row>
    <row r="196" spans="1:16" x14ac:dyDescent="0.25">
      <c r="A196" s="36" t="s">
        <v>66</v>
      </c>
      <c r="B196" s="2">
        <v>45420</v>
      </c>
      <c r="C196" s="36" t="s">
        <v>50</v>
      </c>
      <c r="D196">
        <v>2024</v>
      </c>
      <c r="E196" s="36" t="s">
        <v>597</v>
      </c>
      <c r="F196" s="36" t="s">
        <v>41</v>
      </c>
      <c r="G196" s="36" t="s">
        <v>611</v>
      </c>
      <c r="H196" s="36" t="s">
        <v>626</v>
      </c>
      <c r="I196" s="36" t="s">
        <v>614</v>
      </c>
      <c r="J196" s="36" t="s">
        <v>618</v>
      </c>
      <c r="K196">
        <v>4</v>
      </c>
      <c r="L196">
        <v>700</v>
      </c>
      <c r="M196">
        <v>2800</v>
      </c>
      <c r="N196">
        <v>2296</v>
      </c>
      <c r="O196">
        <v>504</v>
      </c>
      <c r="P196" s="11">
        <v>0.18</v>
      </c>
    </row>
    <row r="197" spans="1:16" x14ac:dyDescent="0.25">
      <c r="A197" s="36" t="s">
        <v>78</v>
      </c>
      <c r="B197" s="2">
        <v>45421</v>
      </c>
      <c r="C197" s="36" t="s">
        <v>50</v>
      </c>
      <c r="D197">
        <v>2024</v>
      </c>
      <c r="E197" s="36" t="s">
        <v>605</v>
      </c>
      <c r="F197" s="36" t="s">
        <v>40</v>
      </c>
      <c r="G197" s="36" t="s">
        <v>609</v>
      </c>
      <c r="H197" s="36" t="s">
        <v>626</v>
      </c>
      <c r="I197" s="36" t="s">
        <v>617</v>
      </c>
      <c r="J197" s="36" t="s">
        <v>615</v>
      </c>
      <c r="K197">
        <v>17</v>
      </c>
      <c r="L197">
        <v>3500</v>
      </c>
      <c r="M197">
        <v>59500</v>
      </c>
      <c r="N197">
        <v>49980</v>
      </c>
      <c r="O197">
        <v>9520</v>
      </c>
      <c r="P197" s="11">
        <v>0.16</v>
      </c>
    </row>
    <row r="198" spans="1:16" x14ac:dyDescent="0.25">
      <c r="A198" s="36" t="s">
        <v>152</v>
      </c>
      <c r="B198" s="2">
        <v>45421</v>
      </c>
      <c r="C198" s="36" t="s">
        <v>80</v>
      </c>
      <c r="D198">
        <v>2024</v>
      </c>
      <c r="E198" s="36" t="s">
        <v>595</v>
      </c>
      <c r="F198" s="36" t="s">
        <v>39</v>
      </c>
      <c r="G198" s="36" t="s">
        <v>610</v>
      </c>
      <c r="H198" s="36" t="s">
        <v>616</v>
      </c>
      <c r="I198" s="36" t="s">
        <v>645</v>
      </c>
      <c r="J198" s="36" t="s">
        <v>615</v>
      </c>
      <c r="K198">
        <v>16</v>
      </c>
      <c r="L198">
        <v>15000</v>
      </c>
      <c r="M198">
        <v>240000</v>
      </c>
      <c r="N198">
        <v>192000</v>
      </c>
      <c r="O198">
        <v>48000</v>
      </c>
      <c r="P198" s="11">
        <v>0.2</v>
      </c>
    </row>
    <row r="199" spans="1:16" x14ac:dyDescent="0.25">
      <c r="A199" s="36" t="s">
        <v>396</v>
      </c>
      <c r="B199" s="2">
        <v>45421</v>
      </c>
      <c r="C199" s="36" t="s">
        <v>55</v>
      </c>
      <c r="D199">
        <v>2024</v>
      </c>
      <c r="E199" s="36" t="s">
        <v>606</v>
      </c>
      <c r="F199" s="36" t="s">
        <v>40</v>
      </c>
      <c r="G199" s="36" t="s">
        <v>610</v>
      </c>
      <c r="H199" s="36" t="s">
        <v>620</v>
      </c>
      <c r="I199" s="36" t="s">
        <v>623</v>
      </c>
      <c r="J199" s="36" t="s">
        <v>618</v>
      </c>
      <c r="K199">
        <v>10</v>
      </c>
      <c r="L199">
        <v>300</v>
      </c>
      <c r="M199">
        <v>3000</v>
      </c>
      <c r="N199">
        <v>2250</v>
      </c>
      <c r="O199">
        <v>750</v>
      </c>
      <c r="P199" s="11">
        <v>0.25</v>
      </c>
    </row>
    <row r="200" spans="1:16" x14ac:dyDescent="0.25">
      <c r="A200" s="36" t="s">
        <v>52</v>
      </c>
      <c r="B200" s="2">
        <v>45422</v>
      </c>
      <c r="C200" s="36" t="s">
        <v>53</v>
      </c>
      <c r="D200">
        <v>2024</v>
      </c>
      <c r="E200" s="36" t="s">
        <v>592</v>
      </c>
      <c r="F200" s="36" t="s">
        <v>40</v>
      </c>
      <c r="G200" s="36" t="s">
        <v>608</v>
      </c>
      <c r="H200" s="36" t="s">
        <v>621</v>
      </c>
      <c r="I200" s="36" t="s">
        <v>619</v>
      </c>
      <c r="J200" s="36" t="s">
        <v>615</v>
      </c>
      <c r="K200">
        <v>11</v>
      </c>
      <c r="L200">
        <v>300</v>
      </c>
      <c r="M200">
        <v>3300</v>
      </c>
      <c r="N200">
        <v>2442</v>
      </c>
      <c r="O200">
        <v>858</v>
      </c>
      <c r="P200" s="11">
        <v>0.26</v>
      </c>
    </row>
    <row r="201" spans="1:16" x14ac:dyDescent="0.25">
      <c r="A201" s="36" t="s">
        <v>136</v>
      </c>
      <c r="B201" s="2">
        <v>45423</v>
      </c>
      <c r="C201" s="36" t="s">
        <v>65</v>
      </c>
      <c r="D201">
        <v>2024</v>
      </c>
      <c r="E201" s="36" t="s">
        <v>605</v>
      </c>
      <c r="F201" s="36" t="s">
        <v>40</v>
      </c>
      <c r="G201" s="36" t="s">
        <v>608</v>
      </c>
      <c r="H201" s="36" t="s">
        <v>629</v>
      </c>
      <c r="I201" s="36" t="s">
        <v>623</v>
      </c>
      <c r="J201" s="36" t="s">
        <v>615</v>
      </c>
      <c r="K201">
        <v>16</v>
      </c>
      <c r="L201">
        <v>8000</v>
      </c>
      <c r="M201">
        <v>128000</v>
      </c>
      <c r="N201">
        <v>104960</v>
      </c>
      <c r="O201">
        <v>23040</v>
      </c>
      <c r="P201" s="11">
        <v>0.18</v>
      </c>
    </row>
    <row r="202" spans="1:16" x14ac:dyDescent="0.25">
      <c r="A202" s="36" t="s">
        <v>182</v>
      </c>
      <c r="B202" s="2">
        <v>45423</v>
      </c>
      <c r="C202" s="36" t="s">
        <v>65</v>
      </c>
      <c r="D202">
        <v>2024</v>
      </c>
      <c r="E202" s="36" t="s">
        <v>606</v>
      </c>
      <c r="F202" s="36" t="s">
        <v>40</v>
      </c>
      <c r="G202" s="36" t="s">
        <v>610</v>
      </c>
      <c r="H202" s="36" t="s">
        <v>620</v>
      </c>
      <c r="I202" s="36" t="s">
        <v>614</v>
      </c>
      <c r="J202" s="36" t="s">
        <v>615</v>
      </c>
      <c r="K202">
        <v>17</v>
      </c>
      <c r="L202">
        <v>700</v>
      </c>
      <c r="M202">
        <v>11900</v>
      </c>
      <c r="N202">
        <v>9758</v>
      </c>
      <c r="O202">
        <v>2142</v>
      </c>
      <c r="P202" s="11">
        <v>0.18</v>
      </c>
    </row>
    <row r="203" spans="1:16" x14ac:dyDescent="0.25">
      <c r="A203" s="36" t="s">
        <v>561</v>
      </c>
      <c r="B203" s="2">
        <v>45423</v>
      </c>
      <c r="C203" s="36" t="s">
        <v>50</v>
      </c>
      <c r="D203">
        <v>2024</v>
      </c>
      <c r="E203" s="36" t="s">
        <v>597</v>
      </c>
      <c r="F203" s="36" t="s">
        <v>41</v>
      </c>
      <c r="G203" s="36" t="s">
        <v>608</v>
      </c>
      <c r="H203" s="36" t="s">
        <v>613</v>
      </c>
      <c r="I203" s="36" t="s">
        <v>619</v>
      </c>
      <c r="J203" s="36" t="s">
        <v>615</v>
      </c>
      <c r="K203">
        <v>12</v>
      </c>
      <c r="L203">
        <v>50</v>
      </c>
      <c r="M203">
        <v>600</v>
      </c>
      <c r="N203">
        <v>414</v>
      </c>
      <c r="O203">
        <v>186</v>
      </c>
      <c r="P203" s="11">
        <v>0.31</v>
      </c>
    </row>
    <row r="204" spans="1:16" x14ac:dyDescent="0.25">
      <c r="A204" s="36" t="s">
        <v>437</v>
      </c>
      <c r="B204" s="2">
        <v>45426</v>
      </c>
      <c r="C204" s="36" t="s">
        <v>44</v>
      </c>
      <c r="D204">
        <v>2024</v>
      </c>
      <c r="E204" s="36" t="s">
        <v>603</v>
      </c>
      <c r="F204" s="36" t="s">
        <v>42</v>
      </c>
      <c r="G204" s="36" t="s">
        <v>608</v>
      </c>
      <c r="H204" s="36" t="s">
        <v>628</v>
      </c>
      <c r="I204" s="36" t="s">
        <v>630</v>
      </c>
      <c r="J204" s="36" t="s">
        <v>618</v>
      </c>
      <c r="K204">
        <v>12</v>
      </c>
      <c r="L204">
        <v>3500</v>
      </c>
      <c r="M204">
        <v>42000</v>
      </c>
      <c r="N204">
        <v>34860</v>
      </c>
      <c r="O204">
        <v>7140</v>
      </c>
      <c r="P204" s="11">
        <v>0.17</v>
      </c>
    </row>
    <row r="205" spans="1:16" x14ac:dyDescent="0.25">
      <c r="A205" s="36" t="s">
        <v>88</v>
      </c>
      <c r="B205" s="2">
        <v>45429</v>
      </c>
      <c r="C205" s="36" t="s">
        <v>65</v>
      </c>
      <c r="D205">
        <v>2024</v>
      </c>
      <c r="E205" s="36" t="s">
        <v>597</v>
      </c>
      <c r="F205" s="36" t="s">
        <v>41</v>
      </c>
      <c r="G205" s="36" t="s">
        <v>612</v>
      </c>
      <c r="H205" s="36" t="s">
        <v>621</v>
      </c>
      <c r="I205" s="36" t="s">
        <v>614</v>
      </c>
      <c r="J205" s="36" t="s">
        <v>615</v>
      </c>
      <c r="K205">
        <v>11</v>
      </c>
      <c r="L205">
        <v>20</v>
      </c>
      <c r="M205">
        <v>220</v>
      </c>
      <c r="N205">
        <v>140.80000000000001</v>
      </c>
      <c r="O205">
        <v>79.199999999999989</v>
      </c>
      <c r="P205" s="11">
        <v>0.35999999999999993</v>
      </c>
    </row>
    <row r="206" spans="1:16" x14ac:dyDescent="0.25">
      <c r="A206" s="36" t="s">
        <v>380</v>
      </c>
      <c r="B206" s="2">
        <v>45430</v>
      </c>
      <c r="C206" s="36" t="s">
        <v>57</v>
      </c>
      <c r="D206">
        <v>2024</v>
      </c>
      <c r="E206" s="36" t="s">
        <v>603</v>
      </c>
      <c r="F206" s="36" t="s">
        <v>42</v>
      </c>
      <c r="G206" s="36" t="s">
        <v>612</v>
      </c>
      <c r="H206" s="36" t="s">
        <v>613</v>
      </c>
      <c r="I206" s="36" t="s">
        <v>627</v>
      </c>
      <c r="J206" s="36" t="s">
        <v>615</v>
      </c>
      <c r="K206">
        <v>12</v>
      </c>
      <c r="L206">
        <v>25000</v>
      </c>
      <c r="M206">
        <v>300000</v>
      </c>
      <c r="N206">
        <v>234000</v>
      </c>
      <c r="O206">
        <v>66000</v>
      </c>
      <c r="P206" s="11">
        <v>0.22</v>
      </c>
    </row>
    <row r="207" spans="1:16" x14ac:dyDescent="0.25">
      <c r="A207" s="36" t="s">
        <v>385</v>
      </c>
      <c r="B207" s="2">
        <v>45430</v>
      </c>
      <c r="C207" s="36" t="s">
        <v>57</v>
      </c>
      <c r="D207">
        <v>2024</v>
      </c>
      <c r="E207" s="36" t="s">
        <v>602</v>
      </c>
      <c r="F207" s="36" t="s">
        <v>42</v>
      </c>
      <c r="G207" s="36" t="s">
        <v>611</v>
      </c>
      <c r="H207" s="36" t="s">
        <v>620</v>
      </c>
      <c r="I207" s="36" t="s">
        <v>645</v>
      </c>
      <c r="J207" s="36" t="s">
        <v>618</v>
      </c>
      <c r="K207">
        <v>18</v>
      </c>
      <c r="L207">
        <v>9000</v>
      </c>
      <c r="M207">
        <v>162000</v>
      </c>
      <c r="N207">
        <v>139320</v>
      </c>
      <c r="O207">
        <v>22680</v>
      </c>
      <c r="P207" s="11">
        <v>0.14000000000000001</v>
      </c>
    </row>
    <row r="208" spans="1:16" x14ac:dyDescent="0.25">
      <c r="A208" s="36" t="s">
        <v>481</v>
      </c>
      <c r="B208" s="2">
        <v>45431</v>
      </c>
      <c r="C208" s="36" t="s">
        <v>53</v>
      </c>
      <c r="D208">
        <v>2024</v>
      </c>
      <c r="E208" s="36" t="s">
        <v>600</v>
      </c>
      <c r="F208" s="36" t="s">
        <v>39</v>
      </c>
      <c r="G208" s="36" t="s">
        <v>608</v>
      </c>
      <c r="H208" s="36" t="s">
        <v>622</v>
      </c>
      <c r="I208" s="36" t="s">
        <v>630</v>
      </c>
      <c r="J208" s="36" t="s">
        <v>618</v>
      </c>
      <c r="K208">
        <v>3</v>
      </c>
      <c r="L208">
        <v>45000</v>
      </c>
      <c r="M208">
        <v>135000</v>
      </c>
      <c r="N208">
        <v>85050</v>
      </c>
      <c r="O208">
        <v>49950</v>
      </c>
      <c r="P208" s="11">
        <v>0.37</v>
      </c>
    </row>
    <row r="209" spans="1:16" x14ac:dyDescent="0.25">
      <c r="A209" s="36" t="s">
        <v>298</v>
      </c>
      <c r="B209" s="2">
        <v>45432</v>
      </c>
      <c r="C209" s="36" t="s">
        <v>50</v>
      </c>
      <c r="D209">
        <v>2024</v>
      </c>
      <c r="E209" s="36" t="s">
        <v>598</v>
      </c>
      <c r="F209" s="36" t="s">
        <v>40</v>
      </c>
      <c r="G209" s="36" t="s">
        <v>609</v>
      </c>
      <c r="H209" s="36" t="s">
        <v>624</v>
      </c>
      <c r="I209" s="36" t="s">
        <v>645</v>
      </c>
      <c r="J209" s="36" t="s">
        <v>615</v>
      </c>
      <c r="K209">
        <v>19</v>
      </c>
      <c r="L209">
        <v>300</v>
      </c>
      <c r="M209">
        <v>5700</v>
      </c>
      <c r="N209">
        <v>4845</v>
      </c>
      <c r="O209">
        <v>855</v>
      </c>
      <c r="P209" s="11">
        <v>0.15</v>
      </c>
    </row>
    <row r="210" spans="1:16" x14ac:dyDescent="0.25">
      <c r="A210" s="36" t="s">
        <v>125</v>
      </c>
      <c r="B210" s="2">
        <v>45433</v>
      </c>
      <c r="C210" s="36" t="s">
        <v>62</v>
      </c>
      <c r="D210">
        <v>2024</v>
      </c>
      <c r="E210" s="36" t="s">
        <v>592</v>
      </c>
      <c r="F210" s="36" t="s">
        <v>40</v>
      </c>
      <c r="G210" s="36" t="s">
        <v>609</v>
      </c>
      <c r="H210" s="36" t="s">
        <v>613</v>
      </c>
      <c r="I210" s="36" t="s">
        <v>614</v>
      </c>
      <c r="J210" s="36" t="s">
        <v>618</v>
      </c>
      <c r="K210">
        <v>4</v>
      </c>
      <c r="L210">
        <v>25000</v>
      </c>
      <c r="M210">
        <v>100000</v>
      </c>
      <c r="N210">
        <v>64000</v>
      </c>
      <c r="O210">
        <v>36000</v>
      </c>
      <c r="P210" s="11">
        <v>0.36</v>
      </c>
    </row>
    <row r="211" spans="1:16" x14ac:dyDescent="0.25">
      <c r="A211" s="36" t="s">
        <v>274</v>
      </c>
      <c r="B211" s="2">
        <v>45433</v>
      </c>
      <c r="C211" s="36" t="s">
        <v>65</v>
      </c>
      <c r="D211">
        <v>2024</v>
      </c>
      <c r="E211" s="36" t="s">
        <v>606</v>
      </c>
      <c r="F211" s="36" t="s">
        <v>40</v>
      </c>
      <c r="G211" s="36" t="s">
        <v>612</v>
      </c>
      <c r="H211" s="36" t="s">
        <v>620</v>
      </c>
      <c r="I211" s="36" t="s">
        <v>627</v>
      </c>
      <c r="J211" s="36" t="s">
        <v>615</v>
      </c>
      <c r="K211">
        <v>11</v>
      </c>
      <c r="L211">
        <v>4000</v>
      </c>
      <c r="M211">
        <v>44000</v>
      </c>
      <c r="N211">
        <v>34320</v>
      </c>
      <c r="O211">
        <v>9680</v>
      </c>
      <c r="P211" s="11">
        <v>0.22</v>
      </c>
    </row>
    <row r="212" spans="1:16" x14ac:dyDescent="0.25">
      <c r="A212" s="36" t="s">
        <v>203</v>
      </c>
      <c r="B212" s="2">
        <v>45434</v>
      </c>
      <c r="C212" s="36" t="s">
        <v>48</v>
      </c>
      <c r="D212">
        <v>2024</v>
      </c>
      <c r="E212" s="36" t="s">
        <v>593</v>
      </c>
      <c r="F212" s="36" t="s">
        <v>41</v>
      </c>
      <c r="G212" s="36" t="s">
        <v>610</v>
      </c>
      <c r="H212" s="36" t="s">
        <v>613</v>
      </c>
      <c r="I212" s="36" t="s">
        <v>617</v>
      </c>
      <c r="J212" s="36" t="s">
        <v>618</v>
      </c>
      <c r="K212">
        <v>14</v>
      </c>
      <c r="L212">
        <v>12000</v>
      </c>
      <c r="M212">
        <v>168000</v>
      </c>
      <c r="N212">
        <v>115920</v>
      </c>
      <c r="O212">
        <v>52080</v>
      </c>
      <c r="P212" s="11">
        <v>0.31</v>
      </c>
    </row>
    <row r="213" spans="1:16" x14ac:dyDescent="0.25">
      <c r="A213" s="36" t="s">
        <v>223</v>
      </c>
      <c r="B213" s="2">
        <v>45434</v>
      </c>
      <c r="C213" s="36" t="s">
        <v>62</v>
      </c>
      <c r="D213">
        <v>2024</v>
      </c>
      <c r="E213" s="36" t="s">
        <v>594</v>
      </c>
      <c r="F213" s="36" t="s">
        <v>39</v>
      </c>
      <c r="G213" s="36" t="s">
        <v>609</v>
      </c>
      <c r="H213" s="36" t="s">
        <v>625</v>
      </c>
      <c r="I213" s="36" t="s">
        <v>617</v>
      </c>
      <c r="J213" s="36" t="s">
        <v>615</v>
      </c>
      <c r="K213">
        <v>17</v>
      </c>
      <c r="L213">
        <v>25000</v>
      </c>
      <c r="M213">
        <v>425000</v>
      </c>
      <c r="N213">
        <v>280500</v>
      </c>
      <c r="O213">
        <v>144500</v>
      </c>
      <c r="P213" s="11">
        <v>0.34</v>
      </c>
    </row>
    <row r="214" spans="1:16" x14ac:dyDescent="0.25">
      <c r="A214" s="36" t="s">
        <v>286</v>
      </c>
      <c r="B214" s="2">
        <v>45434</v>
      </c>
      <c r="C214" s="36" t="s">
        <v>57</v>
      </c>
      <c r="D214">
        <v>2024</v>
      </c>
      <c r="E214" s="36" t="s">
        <v>592</v>
      </c>
      <c r="F214" s="36" t="s">
        <v>40</v>
      </c>
      <c r="G214" s="36" t="s">
        <v>610</v>
      </c>
      <c r="H214" s="36" t="s">
        <v>626</v>
      </c>
      <c r="I214" s="36" t="s">
        <v>645</v>
      </c>
      <c r="J214" s="36" t="s">
        <v>615</v>
      </c>
      <c r="K214">
        <v>16</v>
      </c>
      <c r="L214">
        <v>3500</v>
      </c>
      <c r="M214">
        <v>56000</v>
      </c>
      <c r="N214">
        <v>45360</v>
      </c>
      <c r="O214">
        <v>10640</v>
      </c>
      <c r="P214" s="11">
        <v>0.19</v>
      </c>
    </row>
    <row r="215" spans="1:16" x14ac:dyDescent="0.25">
      <c r="A215" s="36" t="s">
        <v>353</v>
      </c>
      <c r="B215" s="2">
        <v>45434</v>
      </c>
      <c r="C215" s="36" t="s">
        <v>48</v>
      </c>
      <c r="D215">
        <v>2024</v>
      </c>
      <c r="E215" s="36" t="s">
        <v>601</v>
      </c>
      <c r="F215" s="36" t="s">
        <v>41</v>
      </c>
      <c r="G215" s="36" t="s">
        <v>608</v>
      </c>
      <c r="H215" s="36" t="s">
        <v>616</v>
      </c>
      <c r="I215" s="36" t="s">
        <v>645</v>
      </c>
      <c r="J215" s="36" t="s">
        <v>615</v>
      </c>
      <c r="K215">
        <v>3</v>
      </c>
      <c r="L215">
        <v>45000</v>
      </c>
      <c r="M215">
        <v>135000</v>
      </c>
      <c r="N215">
        <v>93150</v>
      </c>
      <c r="O215">
        <v>41850</v>
      </c>
      <c r="P215" s="11">
        <v>0.31</v>
      </c>
    </row>
    <row r="216" spans="1:16" x14ac:dyDescent="0.25">
      <c r="A216" s="36" t="s">
        <v>397</v>
      </c>
      <c r="B216" s="2">
        <v>45435</v>
      </c>
      <c r="C216" s="36" t="s">
        <v>50</v>
      </c>
      <c r="D216">
        <v>2024</v>
      </c>
      <c r="E216" s="36" t="s">
        <v>596</v>
      </c>
      <c r="F216" s="36" t="s">
        <v>39</v>
      </c>
      <c r="G216" s="36" t="s">
        <v>611</v>
      </c>
      <c r="H216" s="36" t="s">
        <v>628</v>
      </c>
      <c r="I216" s="36" t="s">
        <v>630</v>
      </c>
      <c r="J216" s="36" t="s">
        <v>615</v>
      </c>
      <c r="K216">
        <v>1</v>
      </c>
      <c r="L216">
        <v>20</v>
      </c>
      <c r="M216">
        <v>20</v>
      </c>
      <c r="N216">
        <v>17.399999999999999</v>
      </c>
      <c r="O216">
        <v>2.6000000000000014</v>
      </c>
      <c r="P216" s="11">
        <v>0.13000000000000006</v>
      </c>
    </row>
    <row r="217" spans="1:16" x14ac:dyDescent="0.25">
      <c r="A217" s="36" t="s">
        <v>411</v>
      </c>
      <c r="B217" s="2">
        <v>45435</v>
      </c>
      <c r="C217" s="36" t="s">
        <v>80</v>
      </c>
      <c r="D217">
        <v>2024</v>
      </c>
      <c r="E217" s="36" t="s">
        <v>602</v>
      </c>
      <c r="F217" s="36" t="s">
        <v>42</v>
      </c>
      <c r="G217" s="36" t="s">
        <v>612</v>
      </c>
      <c r="H217" s="36" t="s">
        <v>620</v>
      </c>
      <c r="I217" s="36" t="s">
        <v>623</v>
      </c>
      <c r="J217" s="36" t="s">
        <v>618</v>
      </c>
      <c r="K217">
        <v>7</v>
      </c>
      <c r="L217">
        <v>150</v>
      </c>
      <c r="M217">
        <v>1050</v>
      </c>
      <c r="N217">
        <v>903</v>
      </c>
      <c r="O217">
        <v>147</v>
      </c>
      <c r="P217" s="11">
        <v>0.14000000000000001</v>
      </c>
    </row>
    <row r="218" spans="1:16" x14ac:dyDescent="0.25">
      <c r="A218" s="36" t="s">
        <v>229</v>
      </c>
      <c r="B218" s="2">
        <v>45436</v>
      </c>
      <c r="C218" s="36" t="s">
        <v>65</v>
      </c>
      <c r="D218">
        <v>2024</v>
      </c>
      <c r="E218" s="36" t="s">
        <v>601</v>
      </c>
      <c r="F218" s="36" t="s">
        <v>41</v>
      </c>
      <c r="G218" s="36" t="s">
        <v>609</v>
      </c>
      <c r="H218" s="36" t="s">
        <v>628</v>
      </c>
      <c r="I218" s="36" t="s">
        <v>630</v>
      </c>
      <c r="J218" s="36" t="s">
        <v>615</v>
      </c>
      <c r="K218">
        <v>4</v>
      </c>
      <c r="L218">
        <v>3500</v>
      </c>
      <c r="M218">
        <v>14000</v>
      </c>
      <c r="N218">
        <v>10920</v>
      </c>
      <c r="O218">
        <v>3080</v>
      </c>
      <c r="P218" s="11">
        <v>0.22</v>
      </c>
    </row>
    <row r="219" spans="1:16" x14ac:dyDescent="0.25">
      <c r="A219" s="36" t="s">
        <v>394</v>
      </c>
      <c r="B219" s="2">
        <v>45437</v>
      </c>
      <c r="C219" s="36" t="s">
        <v>57</v>
      </c>
      <c r="D219">
        <v>2024</v>
      </c>
      <c r="E219" s="36" t="s">
        <v>592</v>
      </c>
      <c r="F219" s="36" t="s">
        <v>40</v>
      </c>
      <c r="G219" s="36" t="s">
        <v>609</v>
      </c>
      <c r="H219" s="36" t="s">
        <v>616</v>
      </c>
      <c r="I219" s="36" t="s">
        <v>630</v>
      </c>
      <c r="J219" s="36" t="s">
        <v>618</v>
      </c>
      <c r="K219">
        <v>11</v>
      </c>
      <c r="L219">
        <v>8000</v>
      </c>
      <c r="M219">
        <v>88000</v>
      </c>
      <c r="N219">
        <v>77440</v>
      </c>
      <c r="O219">
        <v>10560</v>
      </c>
      <c r="P219" s="11">
        <v>0.12</v>
      </c>
    </row>
    <row r="220" spans="1:16" x14ac:dyDescent="0.25">
      <c r="A220" s="36" t="s">
        <v>501</v>
      </c>
      <c r="B220" s="2">
        <v>45437</v>
      </c>
      <c r="C220" s="36" t="s">
        <v>80</v>
      </c>
      <c r="D220">
        <v>2024</v>
      </c>
      <c r="E220" s="36" t="s">
        <v>593</v>
      </c>
      <c r="F220" s="36" t="s">
        <v>41</v>
      </c>
      <c r="G220" s="36" t="s">
        <v>609</v>
      </c>
      <c r="H220" s="36" t="s">
        <v>621</v>
      </c>
      <c r="I220" s="36" t="s">
        <v>614</v>
      </c>
      <c r="J220" s="36" t="s">
        <v>615</v>
      </c>
      <c r="K220">
        <v>17</v>
      </c>
      <c r="L220">
        <v>20</v>
      </c>
      <c r="M220">
        <v>340</v>
      </c>
      <c r="N220">
        <v>241.4</v>
      </c>
      <c r="O220">
        <v>98.6</v>
      </c>
      <c r="P220" s="11">
        <v>0.28999999999999998</v>
      </c>
    </row>
    <row r="221" spans="1:16" x14ac:dyDescent="0.25">
      <c r="A221" s="36" t="s">
        <v>313</v>
      </c>
      <c r="B221" s="2">
        <v>45438</v>
      </c>
      <c r="C221" s="36" t="s">
        <v>53</v>
      </c>
      <c r="D221">
        <v>2024</v>
      </c>
      <c r="E221" s="36" t="s">
        <v>601</v>
      </c>
      <c r="F221" s="36" t="s">
        <v>41</v>
      </c>
      <c r="G221" s="36" t="s">
        <v>611</v>
      </c>
      <c r="H221" s="36" t="s">
        <v>629</v>
      </c>
      <c r="I221" s="36" t="s">
        <v>617</v>
      </c>
      <c r="J221" s="36" t="s">
        <v>615</v>
      </c>
      <c r="K221">
        <v>17</v>
      </c>
      <c r="L221">
        <v>3500</v>
      </c>
      <c r="M221">
        <v>59500</v>
      </c>
      <c r="N221">
        <v>41055</v>
      </c>
      <c r="O221">
        <v>18445</v>
      </c>
      <c r="P221" s="11">
        <v>0.31</v>
      </c>
    </row>
    <row r="222" spans="1:16" x14ac:dyDescent="0.25">
      <c r="A222" s="36" t="s">
        <v>352</v>
      </c>
      <c r="B222" s="2">
        <v>45439</v>
      </c>
      <c r="C222" s="36" t="s">
        <v>44</v>
      </c>
      <c r="D222">
        <v>2024</v>
      </c>
      <c r="E222" s="36" t="s">
        <v>593</v>
      </c>
      <c r="F222" s="36" t="s">
        <v>41</v>
      </c>
      <c r="G222" s="36" t="s">
        <v>610</v>
      </c>
      <c r="H222" s="36" t="s">
        <v>613</v>
      </c>
      <c r="I222" s="36" t="s">
        <v>623</v>
      </c>
      <c r="J222" s="36" t="s">
        <v>618</v>
      </c>
      <c r="K222">
        <v>17</v>
      </c>
      <c r="L222">
        <v>4000</v>
      </c>
      <c r="M222">
        <v>68000</v>
      </c>
      <c r="N222">
        <v>58480</v>
      </c>
      <c r="O222">
        <v>9520</v>
      </c>
      <c r="P222" s="11">
        <v>0.14000000000000001</v>
      </c>
    </row>
    <row r="223" spans="1:16" x14ac:dyDescent="0.25">
      <c r="A223" s="36" t="s">
        <v>467</v>
      </c>
      <c r="B223" s="2">
        <v>45439</v>
      </c>
      <c r="C223" s="36" t="s">
        <v>57</v>
      </c>
      <c r="D223">
        <v>2024</v>
      </c>
      <c r="E223" s="36" t="s">
        <v>602</v>
      </c>
      <c r="F223" s="36" t="s">
        <v>42</v>
      </c>
      <c r="G223" s="36" t="s">
        <v>610</v>
      </c>
      <c r="H223" s="36" t="s">
        <v>622</v>
      </c>
      <c r="I223" s="36" t="s">
        <v>645</v>
      </c>
      <c r="J223" s="36" t="s">
        <v>618</v>
      </c>
      <c r="K223">
        <v>13</v>
      </c>
      <c r="L223">
        <v>150</v>
      </c>
      <c r="M223">
        <v>1950</v>
      </c>
      <c r="N223">
        <v>1618.5</v>
      </c>
      <c r="O223">
        <v>331.5</v>
      </c>
      <c r="P223" s="11">
        <v>0.17</v>
      </c>
    </row>
    <row r="224" spans="1:16" x14ac:dyDescent="0.25">
      <c r="A224" s="36" t="s">
        <v>560</v>
      </c>
      <c r="B224" s="2">
        <v>45440</v>
      </c>
      <c r="C224" s="36" t="s">
        <v>80</v>
      </c>
      <c r="D224">
        <v>2024</v>
      </c>
      <c r="E224" s="36" t="s">
        <v>604</v>
      </c>
      <c r="F224" s="36" t="s">
        <v>41</v>
      </c>
      <c r="G224" s="36" t="s">
        <v>612</v>
      </c>
      <c r="H224" s="36" t="s">
        <v>626</v>
      </c>
      <c r="I224" s="36" t="s">
        <v>627</v>
      </c>
      <c r="J224" s="36" t="s">
        <v>618</v>
      </c>
      <c r="K224">
        <v>19</v>
      </c>
      <c r="L224">
        <v>3500</v>
      </c>
      <c r="M224">
        <v>66500</v>
      </c>
      <c r="N224">
        <v>53865</v>
      </c>
      <c r="O224">
        <v>12635</v>
      </c>
      <c r="P224" s="11">
        <v>0.19</v>
      </c>
    </row>
    <row r="225" spans="1:16" x14ac:dyDescent="0.25">
      <c r="A225" s="36" t="s">
        <v>570</v>
      </c>
      <c r="B225" s="2">
        <v>45440</v>
      </c>
      <c r="C225" s="36" t="s">
        <v>44</v>
      </c>
      <c r="D225">
        <v>2024</v>
      </c>
      <c r="E225" s="36" t="s">
        <v>594</v>
      </c>
      <c r="F225" s="36" t="s">
        <v>39</v>
      </c>
      <c r="G225" s="36" t="s">
        <v>608</v>
      </c>
      <c r="H225" s="36" t="s">
        <v>625</v>
      </c>
      <c r="I225" s="36" t="s">
        <v>619</v>
      </c>
      <c r="J225" s="36" t="s">
        <v>618</v>
      </c>
      <c r="K225">
        <v>17</v>
      </c>
      <c r="L225">
        <v>20</v>
      </c>
      <c r="M225">
        <v>340</v>
      </c>
      <c r="N225">
        <v>204</v>
      </c>
      <c r="O225">
        <v>136</v>
      </c>
      <c r="P225" s="11">
        <v>0.4</v>
      </c>
    </row>
    <row r="226" spans="1:16" x14ac:dyDescent="0.25">
      <c r="A226" s="36" t="s">
        <v>150</v>
      </c>
      <c r="B226" s="2">
        <v>45441</v>
      </c>
      <c r="C226" s="36" t="s">
        <v>46</v>
      </c>
      <c r="D226">
        <v>2024</v>
      </c>
      <c r="E226" s="36" t="s">
        <v>602</v>
      </c>
      <c r="F226" s="36" t="s">
        <v>42</v>
      </c>
      <c r="G226" s="36" t="s">
        <v>611</v>
      </c>
      <c r="H226" s="36" t="s">
        <v>616</v>
      </c>
      <c r="I226" s="36" t="s">
        <v>623</v>
      </c>
      <c r="J226" s="36" t="s">
        <v>618</v>
      </c>
      <c r="K226">
        <v>4</v>
      </c>
      <c r="L226">
        <v>150</v>
      </c>
      <c r="M226">
        <v>600</v>
      </c>
      <c r="N226">
        <v>390</v>
      </c>
      <c r="O226">
        <v>210</v>
      </c>
      <c r="P226" s="11">
        <v>0.35</v>
      </c>
    </row>
    <row r="227" spans="1:16" x14ac:dyDescent="0.25">
      <c r="A227" s="36" t="s">
        <v>395</v>
      </c>
      <c r="B227" s="2">
        <v>45441</v>
      </c>
      <c r="C227" s="36" t="s">
        <v>80</v>
      </c>
      <c r="D227">
        <v>2024</v>
      </c>
      <c r="E227" s="36" t="s">
        <v>592</v>
      </c>
      <c r="F227" s="36" t="s">
        <v>40</v>
      </c>
      <c r="G227" s="36" t="s">
        <v>610</v>
      </c>
      <c r="H227" s="36" t="s">
        <v>626</v>
      </c>
      <c r="I227" s="36" t="s">
        <v>619</v>
      </c>
      <c r="J227" s="36" t="s">
        <v>615</v>
      </c>
      <c r="K227">
        <v>17</v>
      </c>
      <c r="L227">
        <v>50</v>
      </c>
      <c r="M227">
        <v>850</v>
      </c>
      <c r="N227">
        <v>629</v>
      </c>
      <c r="O227">
        <v>221</v>
      </c>
      <c r="P227" s="11">
        <v>0.26</v>
      </c>
    </row>
    <row r="228" spans="1:16" x14ac:dyDescent="0.25">
      <c r="A228" s="36" t="s">
        <v>554</v>
      </c>
      <c r="B228" s="2">
        <v>45441</v>
      </c>
      <c r="C228" s="36" t="s">
        <v>55</v>
      </c>
      <c r="D228">
        <v>2024</v>
      </c>
      <c r="E228" s="36" t="s">
        <v>598</v>
      </c>
      <c r="F228" s="36" t="s">
        <v>40</v>
      </c>
      <c r="G228" s="36" t="s">
        <v>611</v>
      </c>
      <c r="H228" s="36" t="s">
        <v>625</v>
      </c>
      <c r="I228" s="36" t="s">
        <v>617</v>
      </c>
      <c r="J228" s="36" t="s">
        <v>618</v>
      </c>
      <c r="K228">
        <v>1</v>
      </c>
      <c r="L228">
        <v>3500</v>
      </c>
      <c r="M228">
        <v>3500</v>
      </c>
      <c r="N228">
        <v>2380</v>
      </c>
      <c r="O228">
        <v>1120</v>
      </c>
      <c r="P228" s="11">
        <v>0.32</v>
      </c>
    </row>
    <row r="229" spans="1:16" x14ac:dyDescent="0.25">
      <c r="A229" s="36" t="s">
        <v>153</v>
      </c>
      <c r="B229" s="2">
        <v>45442</v>
      </c>
      <c r="C229" s="36" t="s">
        <v>53</v>
      </c>
      <c r="D229">
        <v>2024</v>
      </c>
      <c r="E229" s="36" t="s">
        <v>607</v>
      </c>
      <c r="F229" s="36" t="s">
        <v>42</v>
      </c>
      <c r="G229" s="36" t="s">
        <v>608</v>
      </c>
      <c r="H229" s="36" t="s">
        <v>626</v>
      </c>
      <c r="I229" s="36" t="s">
        <v>645</v>
      </c>
      <c r="J229" s="36" t="s">
        <v>618</v>
      </c>
      <c r="K229">
        <v>16</v>
      </c>
      <c r="L229">
        <v>25000</v>
      </c>
      <c r="M229">
        <v>400000</v>
      </c>
      <c r="N229">
        <v>320000</v>
      </c>
      <c r="O229">
        <v>80000</v>
      </c>
      <c r="P229" s="11">
        <v>0.2</v>
      </c>
    </row>
    <row r="230" spans="1:16" x14ac:dyDescent="0.25">
      <c r="A230" s="36" t="s">
        <v>586</v>
      </c>
      <c r="B230" s="2">
        <v>45442</v>
      </c>
      <c r="C230" s="36" t="s">
        <v>46</v>
      </c>
      <c r="D230">
        <v>2024</v>
      </c>
      <c r="E230" s="36" t="s">
        <v>604</v>
      </c>
      <c r="F230" s="36" t="s">
        <v>41</v>
      </c>
      <c r="G230" s="36" t="s">
        <v>611</v>
      </c>
      <c r="H230" s="36" t="s">
        <v>613</v>
      </c>
      <c r="I230" s="36" t="s">
        <v>619</v>
      </c>
      <c r="J230" s="36" t="s">
        <v>615</v>
      </c>
      <c r="K230">
        <v>17</v>
      </c>
      <c r="L230">
        <v>55000</v>
      </c>
      <c r="M230">
        <v>935000</v>
      </c>
      <c r="N230">
        <v>570350</v>
      </c>
      <c r="O230">
        <v>364650</v>
      </c>
      <c r="P230" s="11">
        <v>0.39</v>
      </c>
    </row>
    <row r="231" spans="1:16" x14ac:dyDescent="0.25">
      <c r="A231" s="36" t="s">
        <v>105</v>
      </c>
      <c r="B231" s="2">
        <v>45444</v>
      </c>
      <c r="C231" s="36" t="s">
        <v>53</v>
      </c>
      <c r="D231">
        <v>2024</v>
      </c>
      <c r="E231" s="36" t="s">
        <v>607</v>
      </c>
      <c r="F231" s="36" t="s">
        <v>42</v>
      </c>
      <c r="G231" s="36" t="s">
        <v>611</v>
      </c>
      <c r="H231" s="36" t="s">
        <v>620</v>
      </c>
      <c r="I231" s="36" t="s">
        <v>627</v>
      </c>
      <c r="J231" s="36" t="s">
        <v>618</v>
      </c>
      <c r="K231">
        <v>12</v>
      </c>
      <c r="L231">
        <v>8000</v>
      </c>
      <c r="M231">
        <v>96000</v>
      </c>
      <c r="N231">
        <v>63360</v>
      </c>
      <c r="O231">
        <v>32640</v>
      </c>
      <c r="P231" s="11">
        <v>0.34</v>
      </c>
    </row>
    <row r="232" spans="1:16" x14ac:dyDescent="0.25">
      <c r="A232" s="36" t="s">
        <v>493</v>
      </c>
      <c r="B232" s="2">
        <v>45444</v>
      </c>
      <c r="C232" s="36" t="s">
        <v>48</v>
      </c>
      <c r="D232">
        <v>2024</v>
      </c>
      <c r="E232" s="36" t="s">
        <v>600</v>
      </c>
      <c r="F232" s="36" t="s">
        <v>39</v>
      </c>
      <c r="G232" s="36" t="s">
        <v>608</v>
      </c>
      <c r="H232" s="36" t="s">
        <v>613</v>
      </c>
      <c r="I232" s="36" t="s">
        <v>645</v>
      </c>
      <c r="J232" s="36" t="s">
        <v>618</v>
      </c>
      <c r="K232">
        <v>9</v>
      </c>
      <c r="L232">
        <v>3500</v>
      </c>
      <c r="M232">
        <v>31500</v>
      </c>
      <c r="N232">
        <v>27720</v>
      </c>
      <c r="O232">
        <v>3780</v>
      </c>
      <c r="P232" s="11">
        <v>0.12</v>
      </c>
    </row>
    <row r="233" spans="1:16" x14ac:dyDescent="0.25">
      <c r="A233" s="36" t="s">
        <v>90</v>
      </c>
      <c r="B233" s="2">
        <v>45445</v>
      </c>
      <c r="C233" s="36" t="s">
        <v>53</v>
      </c>
      <c r="D233">
        <v>2024</v>
      </c>
      <c r="E233" s="36" t="s">
        <v>598</v>
      </c>
      <c r="F233" s="36" t="s">
        <v>40</v>
      </c>
      <c r="G233" s="36" t="s">
        <v>608</v>
      </c>
      <c r="H233" s="36" t="s">
        <v>613</v>
      </c>
      <c r="I233" s="36" t="s">
        <v>645</v>
      </c>
      <c r="J233" s="36" t="s">
        <v>618</v>
      </c>
      <c r="K233">
        <v>5</v>
      </c>
      <c r="L233">
        <v>300</v>
      </c>
      <c r="M233">
        <v>1500</v>
      </c>
      <c r="N233">
        <v>975</v>
      </c>
      <c r="O233">
        <v>525</v>
      </c>
      <c r="P233" s="11">
        <v>0.35</v>
      </c>
    </row>
    <row r="234" spans="1:16" x14ac:dyDescent="0.25">
      <c r="A234" s="36" t="s">
        <v>255</v>
      </c>
      <c r="B234" s="2">
        <v>45445</v>
      </c>
      <c r="C234" s="36" t="s">
        <v>59</v>
      </c>
      <c r="D234">
        <v>2024</v>
      </c>
      <c r="E234" s="36" t="s">
        <v>597</v>
      </c>
      <c r="F234" s="36" t="s">
        <v>41</v>
      </c>
      <c r="G234" s="36" t="s">
        <v>608</v>
      </c>
      <c r="H234" s="36" t="s">
        <v>626</v>
      </c>
      <c r="I234" s="36" t="s">
        <v>627</v>
      </c>
      <c r="J234" s="36" t="s">
        <v>615</v>
      </c>
      <c r="K234">
        <v>8</v>
      </c>
      <c r="L234">
        <v>7000</v>
      </c>
      <c r="M234">
        <v>56000</v>
      </c>
      <c r="N234">
        <v>39760</v>
      </c>
      <c r="O234">
        <v>16240</v>
      </c>
      <c r="P234" s="11">
        <v>0.28999999999999998</v>
      </c>
    </row>
    <row r="235" spans="1:16" x14ac:dyDescent="0.25">
      <c r="A235" s="36" t="s">
        <v>440</v>
      </c>
      <c r="B235" s="2">
        <v>45445</v>
      </c>
      <c r="C235" s="36" t="s">
        <v>59</v>
      </c>
      <c r="D235">
        <v>2024</v>
      </c>
      <c r="E235" s="36" t="s">
        <v>593</v>
      </c>
      <c r="F235" s="36" t="s">
        <v>41</v>
      </c>
      <c r="G235" s="36" t="s">
        <v>610</v>
      </c>
      <c r="H235" s="36" t="s">
        <v>628</v>
      </c>
      <c r="I235" s="36" t="s">
        <v>617</v>
      </c>
      <c r="J235" s="36" t="s">
        <v>618</v>
      </c>
      <c r="K235">
        <v>3</v>
      </c>
      <c r="L235">
        <v>20</v>
      </c>
      <c r="M235">
        <v>60</v>
      </c>
      <c r="N235">
        <v>45</v>
      </c>
      <c r="O235">
        <v>15</v>
      </c>
      <c r="P235" s="11">
        <v>0.25</v>
      </c>
    </row>
    <row r="236" spans="1:16" x14ac:dyDescent="0.25">
      <c r="A236" s="36" t="s">
        <v>475</v>
      </c>
      <c r="B236" s="2">
        <v>45445</v>
      </c>
      <c r="C236" s="36" t="s">
        <v>53</v>
      </c>
      <c r="D236">
        <v>2024</v>
      </c>
      <c r="E236" s="36" t="s">
        <v>599</v>
      </c>
      <c r="F236" s="36" t="s">
        <v>39</v>
      </c>
      <c r="G236" s="36" t="s">
        <v>612</v>
      </c>
      <c r="H236" s="36" t="s">
        <v>621</v>
      </c>
      <c r="I236" s="36" t="s">
        <v>614</v>
      </c>
      <c r="J236" s="36" t="s">
        <v>615</v>
      </c>
      <c r="K236">
        <v>19</v>
      </c>
      <c r="L236">
        <v>150</v>
      </c>
      <c r="M236">
        <v>2850</v>
      </c>
      <c r="N236">
        <v>2194.5</v>
      </c>
      <c r="O236">
        <v>655.5</v>
      </c>
      <c r="P236" s="11">
        <v>0.23</v>
      </c>
    </row>
    <row r="237" spans="1:16" x14ac:dyDescent="0.25">
      <c r="A237" s="36" t="s">
        <v>267</v>
      </c>
      <c r="B237" s="2">
        <v>45446</v>
      </c>
      <c r="C237" s="36" t="s">
        <v>55</v>
      </c>
      <c r="D237">
        <v>2024</v>
      </c>
      <c r="E237" s="36" t="s">
        <v>601</v>
      </c>
      <c r="F237" s="36" t="s">
        <v>41</v>
      </c>
      <c r="G237" s="36" t="s">
        <v>610</v>
      </c>
      <c r="H237" s="36" t="s">
        <v>625</v>
      </c>
      <c r="I237" s="36" t="s">
        <v>623</v>
      </c>
      <c r="J237" s="36" t="s">
        <v>618</v>
      </c>
      <c r="K237">
        <v>1</v>
      </c>
      <c r="L237">
        <v>20</v>
      </c>
      <c r="M237">
        <v>20</v>
      </c>
      <c r="N237">
        <v>13.2</v>
      </c>
      <c r="O237">
        <v>6.8000000000000007</v>
      </c>
      <c r="P237" s="11">
        <v>0.34</v>
      </c>
    </row>
    <row r="238" spans="1:16" x14ac:dyDescent="0.25">
      <c r="A238" s="36" t="s">
        <v>314</v>
      </c>
      <c r="B238" s="2">
        <v>45447</v>
      </c>
      <c r="C238" s="36" t="s">
        <v>57</v>
      </c>
      <c r="D238">
        <v>2024</v>
      </c>
      <c r="E238" s="36" t="s">
        <v>599</v>
      </c>
      <c r="F238" s="36" t="s">
        <v>39</v>
      </c>
      <c r="G238" s="36" t="s">
        <v>611</v>
      </c>
      <c r="H238" s="36" t="s">
        <v>616</v>
      </c>
      <c r="I238" s="36" t="s">
        <v>617</v>
      </c>
      <c r="J238" s="36" t="s">
        <v>615</v>
      </c>
      <c r="K238">
        <v>14</v>
      </c>
      <c r="L238">
        <v>300</v>
      </c>
      <c r="M238">
        <v>4200</v>
      </c>
      <c r="N238">
        <v>3570</v>
      </c>
      <c r="O238">
        <v>630</v>
      </c>
      <c r="P238" s="11">
        <v>0.15</v>
      </c>
    </row>
    <row r="239" spans="1:16" x14ac:dyDescent="0.25">
      <c r="A239" s="36" t="s">
        <v>127</v>
      </c>
      <c r="B239" s="2">
        <v>45448</v>
      </c>
      <c r="C239" s="36" t="s">
        <v>65</v>
      </c>
      <c r="D239">
        <v>2024</v>
      </c>
      <c r="E239" s="36" t="s">
        <v>607</v>
      </c>
      <c r="F239" s="36" t="s">
        <v>42</v>
      </c>
      <c r="G239" s="36" t="s">
        <v>612</v>
      </c>
      <c r="H239" s="36" t="s">
        <v>616</v>
      </c>
      <c r="I239" s="36" t="s">
        <v>630</v>
      </c>
      <c r="J239" s="36" t="s">
        <v>615</v>
      </c>
      <c r="K239">
        <v>17</v>
      </c>
      <c r="L239">
        <v>20</v>
      </c>
      <c r="M239">
        <v>340</v>
      </c>
      <c r="N239">
        <v>244.8</v>
      </c>
      <c r="O239">
        <v>95.199999999999989</v>
      </c>
      <c r="P239" s="11">
        <v>0.27999999999999997</v>
      </c>
    </row>
    <row r="240" spans="1:16" x14ac:dyDescent="0.25">
      <c r="A240" s="36" t="s">
        <v>199</v>
      </c>
      <c r="B240" s="2">
        <v>45448</v>
      </c>
      <c r="C240" s="36" t="s">
        <v>80</v>
      </c>
      <c r="D240">
        <v>2024</v>
      </c>
      <c r="E240" s="36" t="s">
        <v>602</v>
      </c>
      <c r="F240" s="36" t="s">
        <v>42</v>
      </c>
      <c r="G240" s="36" t="s">
        <v>612</v>
      </c>
      <c r="H240" s="36" t="s">
        <v>625</v>
      </c>
      <c r="I240" s="36" t="s">
        <v>627</v>
      </c>
      <c r="J240" s="36" t="s">
        <v>615</v>
      </c>
      <c r="K240">
        <v>17</v>
      </c>
      <c r="L240">
        <v>150</v>
      </c>
      <c r="M240">
        <v>2550</v>
      </c>
      <c r="N240">
        <v>2269.5</v>
      </c>
      <c r="O240">
        <v>280.5</v>
      </c>
      <c r="P240" s="11">
        <v>0.11</v>
      </c>
    </row>
    <row r="241" spans="1:16" x14ac:dyDescent="0.25">
      <c r="A241" s="36" t="s">
        <v>207</v>
      </c>
      <c r="B241" s="2">
        <v>45448</v>
      </c>
      <c r="C241" s="36" t="s">
        <v>48</v>
      </c>
      <c r="D241">
        <v>2024</v>
      </c>
      <c r="E241" s="36" t="s">
        <v>606</v>
      </c>
      <c r="F241" s="36" t="s">
        <v>40</v>
      </c>
      <c r="G241" s="36" t="s">
        <v>610</v>
      </c>
      <c r="H241" s="36" t="s">
        <v>613</v>
      </c>
      <c r="I241" s="36" t="s">
        <v>614</v>
      </c>
      <c r="J241" s="36" t="s">
        <v>615</v>
      </c>
      <c r="K241">
        <v>4</v>
      </c>
      <c r="L241">
        <v>12000</v>
      </c>
      <c r="M241">
        <v>48000</v>
      </c>
      <c r="N241">
        <v>30240</v>
      </c>
      <c r="O241">
        <v>17760</v>
      </c>
      <c r="P241" s="11">
        <v>0.37</v>
      </c>
    </row>
    <row r="242" spans="1:16" x14ac:dyDescent="0.25">
      <c r="A242" s="36" t="s">
        <v>336</v>
      </c>
      <c r="B242" s="2">
        <v>45448</v>
      </c>
      <c r="C242" s="36" t="s">
        <v>44</v>
      </c>
      <c r="D242">
        <v>2024</v>
      </c>
      <c r="E242" s="36" t="s">
        <v>592</v>
      </c>
      <c r="F242" s="36" t="s">
        <v>40</v>
      </c>
      <c r="G242" s="36" t="s">
        <v>610</v>
      </c>
      <c r="H242" s="36" t="s">
        <v>620</v>
      </c>
      <c r="I242" s="36" t="s">
        <v>623</v>
      </c>
      <c r="J242" s="36" t="s">
        <v>618</v>
      </c>
      <c r="K242">
        <v>16</v>
      </c>
      <c r="L242">
        <v>150</v>
      </c>
      <c r="M242">
        <v>2400</v>
      </c>
      <c r="N242">
        <v>1584</v>
      </c>
      <c r="O242">
        <v>816</v>
      </c>
      <c r="P242" s="11">
        <v>0.34</v>
      </c>
    </row>
    <row r="243" spans="1:16" x14ac:dyDescent="0.25">
      <c r="A243" s="36" t="s">
        <v>456</v>
      </c>
      <c r="B243" s="2">
        <v>45448</v>
      </c>
      <c r="C243" s="36" t="s">
        <v>55</v>
      </c>
      <c r="D243">
        <v>2024</v>
      </c>
      <c r="E243" s="36" t="s">
        <v>596</v>
      </c>
      <c r="F243" s="36" t="s">
        <v>39</v>
      </c>
      <c r="G243" s="36" t="s">
        <v>610</v>
      </c>
      <c r="H243" s="36" t="s">
        <v>629</v>
      </c>
      <c r="I243" s="36" t="s">
        <v>623</v>
      </c>
      <c r="J243" s="36" t="s">
        <v>615</v>
      </c>
      <c r="K243">
        <v>13</v>
      </c>
      <c r="L243">
        <v>55000</v>
      </c>
      <c r="M243">
        <v>715000</v>
      </c>
      <c r="N243">
        <v>579150</v>
      </c>
      <c r="O243">
        <v>135850</v>
      </c>
      <c r="P243" s="11">
        <v>0.19</v>
      </c>
    </row>
    <row r="244" spans="1:16" x14ac:dyDescent="0.25">
      <c r="A244" s="36" t="s">
        <v>515</v>
      </c>
      <c r="B244" s="2">
        <v>45448</v>
      </c>
      <c r="C244" s="36" t="s">
        <v>46</v>
      </c>
      <c r="D244">
        <v>2024</v>
      </c>
      <c r="E244" s="36" t="s">
        <v>602</v>
      </c>
      <c r="F244" s="36" t="s">
        <v>42</v>
      </c>
      <c r="G244" s="36" t="s">
        <v>608</v>
      </c>
      <c r="H244" s="36" t="s">
        <v>613</v>
      </c>
      <c r="I244" s="36" t="s">
        <v>645</v>
      </c>
      <c r="J244" s="36" t="s">
        <v>618</v>
      </c>
      <c r="K244">
        <v>8</v>
      </c>
      <c r="L244">
        <v>700</v>
      </c>
      <c r="M244">
        <v>5600</v>
      </c>
      <c r="N244">
        <v>4536</v>
      </c>
      <c r="O244">
        <v>1064</v>
      </c>
      <c r="P244" s="11">
        <v>0.19</v>
      </c>
    </row>
    <row r="245" spans="1:16" x14ac:dyDescent="0.25">
      <c r="A245" s="36" t="s">
        <v>318</v>
      </c>
      <c r="B245" s="2">
        <v>45450</v>
      </c>
      <c r="C245" s="36" t="s">
        <v>46</v>
      </c>
      <c r="D245">
        <v>2024</v>
      </c>
      <c r="E245" s="36" t="s">
        <v>602</v>
      </c>
      <c r="F245" s="36" t="s">
        <v>42</v>
      </c>
      <c r="G245" s="36" t="s">
        <v>610</v>
      </c>
      <c r="H245" s="36" t="s">
        <v>628</v>
      </c>
      <c r="I245" s="36" t="s">
        <v>645</v>
      </c>
      <c r="J245" s="36" t="s">
        <v>615</v>
      </c>
      <c r="K245">
        <v>20</v>
      </c>
      <c r="L245">
        <v>8000</v>
      </c>
      <c r="M245">
        <v>160000</v>
      </c>
      <c r="N245">
        <v>115200</v>
      </c>
      <c r="O245">
        <v>44800</v>
      </c>
      <c r="P245" s="11">
        <v>0.28000000000000003</v>
      </c>
    </row>
    <row r="246" spans="1:16" x14ac:dyDescent="0.25">
      <c r="A246" s="36" t="s">
        <v>310</v>
      </c>
      <c r="B246" s="2">
        <v>45451</v>
      </c>
      <c r="C246" s="36" t="s">
        <v>57</v>
      </c>
      <c r="D246">
        <v>2024</v>
      </c>
      <c r="E246" s="36" t="s">
        <v>597</v>
      </c>
      <c r="F246" s="36" t="s">
        <v>41</v>
      </c>
      <c r="G246" s="36" t="s">
        <v>608</v>
      </c>
      <c r="H246" s="36" t="s">
        <v>620</v>
      </c>
      <c r="I246" s="36" t="s">
        <v>645</v>
      </c>
      <c r="J246" s="36" t="s">
        <v>615</v>
      </c>
      <c r="K246">
        <v>3</v>
      </c>
      <c r="L246">
        <v>4000</v>
      </c>
      <c r="M246">
        <v>12000</v>
      </c>
      <c r="N246">
        <v>9120</v>
      </c>
      <c r="O246">
        <v>2880</v>
      </c>
      <c r="P246" s="11">
        <v>0.24</v>
      </c>
    </row>
    <row r="247" spans="1:16" x14ac:dyDescent="0.25">
      <c r="A247" s="36" t="s">
        <v>558</v>
      </c>
      <c r="B247" s="2">
        <v>45451</v>
      </c>
      <c r="C247" s="36" t="s">
        <v>62</v>
      </c>
      <c r="D247">
        <v>2024</v>
      </c>
      <c r="E247" s="36" t="s">
        <v>599</v>
      </c>
      <c r="F247" s="36" t="s">
        <v>39</v>
      </c>
      <c r="G247" s="36" t="s">
        <v>612</v>
      </c>
      <c r="H247" s="36" t="s">
        <v>620</v>
      </c>
      <c r="I247" s="36" t="s">
        <v>614</v>
      </c>
      <c r="J247" s="36" t="s">
        <v>618</v>
      </c>
      <c r="K247">
        <v>4</v>
      </c>
      <c r="L247">
        <v>4000</v>
      </c>
      <c r="M247">
        <v>16000</v>
      </c>
      <c r="N247">
        <v>13120</v>
      </c>
      <c r="O247">
        <v>2880</v>
      </c>
      <c r="P247" s="11">
        <v>0.18</v>
      </c>
    </row>
    <row r="248" spans="1:16" x14ac:dyDescent="0.25">
      <c r="A248" s="36" t="s">
        <v>541</v>
      </c>
      <c r="B248" s="2">
        <v>45452</v>
      </c>
      <c r="C248" s="36" t="s">
        <v>44</v>
      </c>
      <c r="D248">
        <v>2024</v>
      </c>
      <c r="E248" s="36" t="s">
        <v>603</v>
      </c>
      <c r="F248" s="36" t="s">
        <v>42</v>
      </c>
      <c r="G248" s="36" t="s">
        <v>611</v>
      </c>
      <c r="H248" s="36" t="s">
        <v>622</v>
      </c>
      <c r="I248" s="36" t="s">
        <v>619</v>
      </c>
      <c r="J248" s="36" t="s">
        <v>618</v>
      </c>
      <c r="K248">
        <v>15</v>
      </c>
      <c r="L248">
        <v>700</v>
      </c>
      <c r="M248">
        <v>10500</v>
      </c>
      <c r="N248">
        <v>8820</v>
      </c>
      <c r="O248">
        <v>1680</v>
      </c>
      <c r="P248" s="11">
        <v>0.16</v>
      </c>
    </row>
    <row r="249" spans="1:16" x14ac:dyDescent="0.25">
      <c r="A249" s="36" t="s">
        <v>132</v>
      </c>
      <c r="B249" s="2">
        <v>45453</v>
      </c>
      <c r="C249" s="36" t="s">
        <v>48</v>
      </c>
      <c r="D249">
        <v>2024</v>
      </c>
      <c r="E249" s="36" t="s">
        <v>605</v>
      </c>
      <c r="F249" s="36" t="s">
        <v>40</v>
      </c>
      <c r="G249" s="36" t="s">
        <v>609</v>
      </c>
      <c r="H249" s="36" t="s">
        <v>629</v>
      </c>
      <c r="I249" s="36" t="s">
        <v>630</v>
      </c>
      <c r="J249" s="36" t="s">
        <v>618</v>
      </c>
      <c r="K249">
        <v>20</v>
      </c>
      <c r="L249">
        <v>50</v>
      </c>
      <c r="M249">
        <v>1000</v>
      </c>
      <c r="N249">
        <v>670</v>
      </c>
      <c r="O249">
        <v>330</v>
      </c>
      <c r="P249" s="11">
        <v>0.33</v>
      </c>
    </row>
    <row r="250" spans="1:16" x14ac:dyDescent="0.25">
      <c r="A250" s="36" t="s">
        <v>178</v>
      </c>
      <c r="B250" s="2">
        <v>45453</v>
      </c>
      <c r="C250" s="36" t="s">
        <v>62</v>
      </c>
      <c r="D250">
        <v>2024</v>
      </c>
      <c r="E250" s="36" t="s">
        <v>596</v>
      </c>
      <c r="F250" s="36" t="s">
        <v>39</v>
      </c>
      <c r="G250" s="36" t="s">
        <v>611</v>
      </c>
      <c r="H250" s="36" t="s">
        <v>624</v>
      </c>
      <c r="I250" s="36" t="s">
        <v>627</v>
      </c>
      <c r="J250" s="36" t="s">
        <v>615</v>
      </c>
      <c r="K250">
        <v>10</v>
      </c>
      <c r="L250">
        <v>15000</v>
      </c>
      <c r="M250">
        <v>150000</v>
      </c>
      <c r="N250">
        <v>118500</v>
      </c>
      <c r="O250">
        <v>31500</v>
      </c>
      <c r="P250" s="11">
        <v>0.21</v>
      </c>
    </row>
    <row r="251" spans="1:16" x14ac:dyDescent="0.25">
      <c r="A251" s="36" t="s">
        <v>474</v>
      </c>
      <c r="B251" s="2">
        <v>45454</v>
      </c>
      <c r="C251" s="36" t="s">
        <v>59</v>
      </c>
      <c r="D251">
        <v>2024</v>
      </c>
      <c r="E251" s="36" t="s">
        <v>602</v>
      </c>
      <c r="F251" s="36" t="s">
        <v>42</v>
      </c>
      <c r="G251" s="36" t="s">
        <v>612</v>
      </c>
      <c r="H251" s="36" t="s">
        <v>624</v>
      </c>
      <c r="I251" s="36" t="s">
        <v>617</v>
      </c>
      <c r="J251" s="36" t="s">
        <v>615</v>
      </c>
      <c r="K251">
        <v>8</v>
      </c>
      <c r="L251">
        <v>150</v>
      </c>
      <c r="M251">
        <v>1200</v>
      </c>
      <c r="N251">
        <v>744</v>
      </c>
      <c r="O251">
        <v>456</v>
      </c>
      <c r="P251" s="11">
        <v>0.38</v>
      </c>
    </row>
    <row r="252" spans="1:16" x14ac:dyDescent="0.25">
      <c r="A252" s="36" t="s">
        <v>557</v>
      </c>
      <c r="B252" s="2">
        <v>45455</v>
      </c>
      <c r="C252" s="36" t="s">
        <v>65</v>
      </c>
      <c r="D252">
        <v>2024</v>
      </c>
      <c r="E252" s="36" t="s">
        <v>593</v>
      </c>
      <c r="F252" s="36" t="s">
        <v>41</v>
      </c>
      <c r="G252" s="36" t="s">
        <v>611</v>
      </c>
      <c r="H252" s="36" t="s">
        <v>626</v>
      </c>
      <c r="I252" s="36" t="s">
        <v>617</v>
      </c>
      <c r="J252" s="36" t="s">
        <v>615</v>
      </c>
      <c r="K252">
        <v>17</v>
      </c>
      <c r="L252">
        <v>3500</v>
      </c>
      <c r="M252">
        <v>59500</v>
      </c>
      <c r="N252">
        <v>47600</v>
      </c>
      <c r="O252">
        <v>11900</v>
      </c>
      <c r="P252" s="11">
        <v>0.2</v>
      </c>
    </row>
    <row r="253" spans="1:16" x14ac:dyDescent="0.25">
      <c r="A253" s="36" t="s">
        <v>111</v>
      </c>
      <c r="B253" s="2">
        <v>45456</v>
      </c>
      <c r="C253" s="36" t="s">
        <v>48</v>
      </c>
      <c r="D253">
        <v>2024</v>
      </c>
      <c r="E253" s="36" t="s">
        <v>593</v>
      </c>
      <c r="F253" s="36" t="s">
        <v>41</v>
      </c>
      <c r="G253" s="36" t="s">
        <v>608</v>
      </c>
      <c r="H253" s="36" t="s">
        <v>616</v>
      </c>
      <c r="I253" s="36" t="s">
        <v>627</v>
      </c>
      <c r="J253" s="36" t="s">
        <v>618</v>
      </c>
      <c r="K253">
        <v>3</v>
      </c>
      <c r="L253">
        <v>150</v>
      </c>
      <c r="M253">
        <v>450</v>
      </c>
      <c r="N253">
        <v>378</v>
      </c>
      <c r="O253">
        <v>72</v>
      </c>
      <c r="P253" s="11">
        <v>0.16</v>
      </c>
    </row>
    <row r="254" spans="1:16" x14ac:dyDescent="0.25">
      <c r="A254" s="36" t="s">
        <v>192</v>
      </c>
      <c r="B254" s="2">
        <v>45456</v>
      </c>
      <c r="C254" s="36" t="s">
        <v>83</v>
      </c>
      <c r="D254">
        <v>2024</v>
      </c>
      <c r="E254" s="36" t="s">
        <v>605</v>
      </c>
      <c r="F254" s="36" t="s">
        <v>40</v>
      </c>
      <c r="G254" s="36" t="s">
        <v>608</v>
      </c>
      <c r="H254" s="36" t="s">
        <v>626</v>
      </c>
      <c r="I254" s="36" t="s">
        <v>623</v>
      </c>
      <c r="J254" s="36" t="s">
        <v>615</v>
      </c>
      <c r="K254">
        <v>13</v>
      </c>
      <c r="L254">
        <v>8000</v>
      </c>
      <c r="M254">
        <v>104000</v>
      </c>
      <c r="N254">
        <v>79040</v>
      </c>
      <c r="O254">
        <v>24960</v>
      </c>
      <c r="P254" s="11">
        <v>0.24</v>
      </c>
    </row>
    <row r="255" spans="1:16" x14ac:dyDescent="0.25">
      <c r="A255" s="36" t="s">
        <v>263</v>
      </c>
      <c r="B255" s="2">
        <v>45456</v>
      </c>
      <c r="C255" s="36" t="s">
        <v>57</v>
      </c>
      <c r="D255">
        <v>2024</v>
      </c>
      <c r="E255" s="36" t="s">
        <v>593</v>
      </c>
      <c r="F255" s="36" t="s">
        <v>41</v>
      </c>
      <c r="G255" s="36" t="s">
        <v>611</v>
      </c>
      <c r="H255" s="36" t="s">
        <v>624</v>
      </c>
      <c r="I255" s="36" t="s">
        <v>614</v>
      </c>
      <c r="J255" s="36" t="s">
        <v>618</v>
      </c>
      <c r="K255">
        <v>2</v>
      </c>
      <c r="L255">
        <v>8000</v>
      </c>
      <c r="M255">
        <v>16000</v>
      </c>
      <c r="N255">
        <v>10880</v>
      </c>
      <c r="O255">
        <v>5120</v>
      </c>
      <c r="P255" s="11">
        <v>0.32</v>
      </c>
    </row>
    <row r="256" spans="1:16" x14ac:dyDescent="0.25">
      <c r="A256" s="36" t="s">
        <v>408</v>
      </c>
      <c r="B256" s="2">
        <v>45456</v>
      </c>
      <c r="C256" s="36" t="s">
        <v>44</v>
      </c>
      <c r="D256">
        <v>2024</v>
      </c>
      <c r="E256" s="36" t="s">
        <v>601</v>
      </c>
      <c r="F256" s="36" t="s">
        <v>41</v>
      </c>
      <c r="G256" s="36" t="s">
        <v>610</v>
      </c>
      <c r="H256" s="36" t="s">
        <v>624</v>
      </c>
      <c r="I256" s="36" t="s">
        <v>623</v>
      </c>
      <c r="J256" s="36" t="s">
        <v>618</v>
      </c>
      <c r="K256">
        <v>10</v>
      </c>
      <c r="L256">
        <v>45000</v>
      </c>
      <c r="M256">
        <v>450000</v>
      </c>
      <c r="N256">
        <v>360000</v>
      </c>
      <c r="O256">
        <v>90000</v>
      </c>
      <c r="P256" s="11">
        <v>0.2</v>
      </c>
    </row>
    <row r="257" spans="1:16" x14ac:dyDescent="0.25">
      <c r="A257" s="36" t="s">
        <v>327</v>
      </c>
      <c r="B257" s="2">
        <v>45457</v>
      </c>
      <c r="C257" s="36" t="s">
        <v>48</v>
      </c>
      <c r="D257">
        <v>2024</v>
      </c>
      <c r="E257" s="36" t="s">
        <v>596</v>
      </c>
      <c r="F257" s="36" t="s">
        <v>39</v>
      </c>
      <c r="G257" s="36" t="s">
        <v>610</v>
      </c>
      <c r="H257" s="36" t="s">
        <v>613</v>
      </c>
      <c r="I257" s="36" t="s">
        <v>614</v>
      </c>
      <c r="J257" s="36" t="s">
        <v>615</v>
      </c>
      <c r="K257">
        <v>1</v>
      </c>
      <c r="L257">
        <v>1200</v>
      </c>
      <c r="M257">
        <v>1200</v>
      </c>
      <c r="N257">
        <v>948</v>
      </c>
      <c r="O257">
        <v>252</v>
      </c>
      <c r="P257" s="11">
        <v>0.21</v>
      </c>
    </row>
    <row r="258" spans="1:16" x14ac:dyDescent="0.25">
      <c r="A258" s="36" t="s">
        <v>497</v>
      </c>
      <c r="B258" s="2">
        <v>45457</v>
      </c>
      <c r="C258" s="36" t="s">
        <v>57</v>
      </c>
      <c r="D258">
        <v>2024</v>
      </c>
      <c r="E258" s="36" t="s">
        <v>607</v>
      </c>
      <c r="F258" s="36" t="s">
        <v>42</v>
      </c>
      <c r="G258" s="36" t="s">
        <v>610</v>
      </c>
      <c r="H258" s="36" t="s">
        <v>622</v>
      </c>
      <c r="I258" s="36" t="s">
        <v>627</v>
      </c>
      <c r="J258" s="36" t="s">
        <v>615</v>
      </c>
      <c r="K258">
        <v>7</v>
      </c>
      <c r="L258">
        <v>20</v>
      </c>
      <c r="M258">
        <v>140</v>
      </c>
      <c r="N258">
        <v>91</v>
      </c>
      <c r="O258">
        <v>49</v>
      </c>
      <c r="P258" s="11">
        <v>0.35</v>
      </c>
    </row>
    <row r="259" spans="1:16" x14ac:dyDescent="0.25">
      <c r="A259" s="36" t="s">
        <v>323</v>
      </c>
      <c r="B259" s="2">
        <v>45458</v>
      </c>
      <c r="C259" s="36" t="s">
        <v>80</v>
      </c>
      <c r="D259">
        <v>2024</v>
      </c>
      <c r="E259" s="36" t="s">
        <v>599</v>
      </c>
      <c r="F259" s="36" t="s">
        <v>39</v>
      </c>
      <c r="G259" s="36" t="s">
        <v>610</v>
      </c>
      <c r="H259" s="36" t="s">
        <v>620</v>
      </c>
      <c r="I259" s="36" t="s">
        <v>630</v>
      </c>
      <c r="J259" s="36" t="s">
        <v>618</v>
      </c>
      <c r="K259">
        <v>7</v>
      </c>
      <c r="L259">
        <v>15000</v>
      </c>
      <c r="M259">
        <v>105000</v>
      </c>
      <c r="N259">
        <v>65100</v>
      </c>
      <c r="O259">
        <v>39900</v>
      </c>
      <c r="P259" s="11">
        <v>0.38</v>
      </c>
    </row>
    <row r="260" spans="1:16" x14ac:dyDescent="0.25">
      <c r="A260" s="36" t="s">
        <v>345</v>
      </c>
      <c r="B260" s="2">
        <v>45458</v>
      </c>
      <c r="C260" s="36" t="s">
        <v>65</v>
      </c>
      <c r="D260">
        <v>2024</v>
      </c>
      <c r="E260" s="36" t="s">
        <v>604</v>
      </c>
      <c r="F260" s="36" t="s">
        <v>41</v>
      </c>
      <c r="G260" s="36" t="s">
        <v>611</v>
      </c>
      <c r="H260" s="36" t="s">
        <v>625</v>
      </c>
      <c r="I260" s="36" t="s">
        <v>623</v>
      </c>
      <c r="J260" s="36" t="s">
        <v>618</v>
      </c>
      <c r="K260">
        <v>1</v>
      </c>
      <c r="L260">
        <v>12000</v>
      </c>
      <c r="M260">
        <v>12000</v>
      </c>
      <c r="N260">
        <v>8040</v>
      </c>
      <c r="O260">
        <v>3960</v>
      </c>
      <c r="P260" s="11">
        <v>0.33</v>
      </c>
    </row>
    <row r="261" spans="1:16" x14ac:dyDescent="0.25">
      <c r="A261" s="36" t="s">
        <v>82</v>
      </c>
      <c r="B261" s="2">
        <v>45459</v>
      </c>
      <c r="C261" s="36" t="s">
        <v>83</v>
      </c>
      <c r="D261">
        <v>2024</v>
      </c>
      <c r="E261" s="36" t="s">
        <v>600</v>
      </c>
      <c r="F261" s="36" t="s">
        <v>39</v>
      </c>
      <c r="G261" s="36" t="s">
        <v>608</v>
      </c>
      <c r="H261" s="36" t="s">
        <v>613</v>
      </c>
      <c r="I261" s="36" t="s">
        <v>623</v>
      </c>
      <c r="J261" s="36" t="s">
        <v>618</v>
      </c>
      <c r="K261">
        <v>6</v>
      </c>
      <c r="L261">
        <v>1200</v>
      </c>
      <c r="M261">
        <v>7200</v>
      </c>
      <c r="N261">
        <v>5688</v>
      </c>
      <c r="O261">
        <v>1512</v>
      </c>
      <c r="P261" s="11">
        <v>0.21</v>
      </c>
    </row>
    <row r="262" spans="1:16" x14ac:dyDescent="0.25">
      <c r="A262" s="36" t="s">
        <v>96</v>
      </c>
      <c r="B262" s="2">
        <v>45459</v>
      </c>
      <c r="C262" s="36" t="s">
        <v>53</v>
      </c>
      <c r="D262">
        <v>2024</v>
      </c>
      <c r="E262" s="36" t="s">
        <v>606</v>
      </c>
      <c r="F262" s="36" t="s">
        <v>40</v>
      </c>
      <c r="G262" s="36" t="s">
        <v>609</v>
      </c>
      <c r="H262" s="36" t="s">
        <v>625</v>
      </c>
      <c r="I262" s="36" t="s">
        <v>619</v>
      </c>
      <c r="J262" s="36" t="s">
        <v>618</v>
      </c>
      <c r="K262">
        <v>10</v>
      </c>
      <c r="L262">
        <v>55000</v>
      </c>
      <c r="M262">
        <v>550000</v>
      </c>
      <c r="N262">
        <v>462000</v>
      </c>
      <c r="O262">
        <v>88000</v>
      </c>
      <c r="P262" s="11">
        <v>0.16</v>
      </c>
    </row>
    <row r="263" spans="1:16" x14ac:dyDescent="0.25">
      <c r="A263" s="36" t="s">
        <v>524</v>
      </c>
      <c r="B263" s="2">
        <v>45459</v>
      </c>
      <c r="C263" s="36" t="s">
        <v>80</v>
      </c>
      <c r="D263">
        <v>2024</v>
      </c>
      <c r="E263" s="36" t="s">
        <v>604</v>
      </c>
      <c r="F263" s="36" t="s">
        <v>41</v>
      </c>
      <c r="G263" s="36" t="s">
        <v>612</v>
      </c>
      <c r="H263" s="36" t="s">
        <v>620</v>
      </c>
      <c r="I263" s="36" t="s">
        <v>623</v>
      </c>
      <c r="J263" s="36" t="s">
        <v>618</v>
      </c>
      <c r="K263">
        <v>13</v>
      </c>
      <c r="L263">
        <v>12000</v>
      </c>
      <c r="M263">
        <v>156000</v>
      </c>
      <c r="N263">
        <v>95160</v>
      </c>
      <c r="O263">
        <v>60840</v>
      </c>
      <c r="P263" s="11">
        <v>0.39</v>
      </c>
    </row>
    <row r="264" spans="1:16" x14ac:dyDescent="0.25">
      <c r="A264" s="36" t="s">
        <v>585</v>
      </c>
      <c r="B264" s="2">
        <v>45459</v>
      </c>
      <c r="C264" s="36" t="s">
        <v>53</v>
      </c>
      <c r="D264">
        <v>2024</v>
      </c>
      <c r="E264" s="36" t="s">
        <v>607</v>
      </c>
      <c r="F264" s="36" t="s">
        <v>42</v>
      </c>
      <c r="G264" s="36" t="s">
        <v>610</v>
      </c>
      <c r="H264" s="36" t="s">
        <v>628</v>
      </c>
      <c r="I264" s="36" t="s">
        <v>617</v>
      </c>
      <c r="J264" s="36" t="s">
        <v>615</v>
      </c>
      <c r="K264">
        <v>5</v>
      </c>
      <c r="L264">
        <v>12000</v>
      </c>
      <c r="M264">
        <v>60000</v>
      </c>
      <c r="N264">
        <v>44400</v>
      </c>
      <c r="O264">
        <v>15600</v>
      </c>
      <c r="P264" s="11">
        <v>0.26</v>
      </c>
    </row>
    <row r="265" spans="1:16" x14ac:dyDescent="0.25">
      <c r="A265" s="36" t="s">
        <v>248</v>
      </c>
      <c r="B265" s="2">
        <v>45460</v>
      </c>
      <c r="C265" s="36" t="s">
        <v>62</v>
      </c>
      <c r="D265">
        <v>2024</v>
      </c>
      <c r="E265" s="36" t="s">
        <v>593</v>
      </c>
      <c r="F265" s="36" t="s">
        <v>41</v>
      </c>
      <c r="G265" s="36" t="s">
        <v>609</v>
      </c>
      <c r="H265" s="36" t="s">
        <v>624</v>
      </c>
      <c r="I265" s="36" t="s">
        <v>614</v>
      </c>
      <c r="J265" s="36" t="s">
        <v>615</v>
      </c>
      <c r="K265">
        <v>8</v>
      </c>
      <c r="L265">
        <v>300</v>
      </c>
      <c r="M265">
        <v>2400</v>
      </c>
      <c r="N265">
        <v>1848</v>
      </c>
      <c r="O265">
        <v>552</v>
      </c>
      <c r="P265" s="11">
        <v>0.23</v>
      </c>
    </row>
    <row r="266" spans="1:16" x14ac:dyDescent="0.25">
      <c r="A266" s="36" t="s">
        <v>191</v>
      </c>
      <c r="B266" s="2">
        <v>45462</v>
      </c>
      <c r="C266" s="36" t="s">
        <v>48</v>
      </c>
      <c r="D266">
        <v>2024</v>
      </c>
      <c r="E266" s="36" t="s">
        <v>599</v>
      </c>
      <c r="F266" s="36" t="s">
        <v>39</v>
      </c>
      <c r="G266" s="36" t="s">
        <v>612</v>
      </c>
      <c r="H266" s="36" t="s">
        <v>622</v>
      </c>
      <c r="I266" s="36" t="s">
        <v>645</v>
      </c>
      <c r="J266" s="36" t="s">
        <v>615</v>
      </c>
      <c r="K266">
        <v>15</v>
      </c>
      <c r="L266">
        <v>50</v>
      </c>
      <c r="M266">
        <v>750</v>
      </c>
      <c r="N266">
        <v>577.5</v>
      </c>
      <c r="O266">
        <v>172.5</v>
      </c>
      <c r="P266" s="11">
        <v>0.23</v>
      </c>
    </row>
    <row r="267" spans="1:16" x14ac:dyDescent="0.25">
      <c r="A267" s="36" t="s">
        <v>378</v>
      </c>
      <c r="B267" s="2">
        <v>45462</v>
      </c>
      <c r="C267" s="36" t="s">
        <v>80</v>
      </c>
      <c r="D267">
        <v>2024</v>
      </c>
      <c r="E267" s="36" t="s">
        <v>592</v>
      </c>
      <c r="F267" s="36" t="s">
        <v>40</v>
      </c>
      <c r="G267" s="36" t="s">
        <v>610</v>
      </c>
      <c r="H267" s="36" t="s">
        <v>626</v>
      </c>
      <c r="I267" s="36" t="s">
        <v>645</v>
      </c>
      <c r="J267" s="36" t="s">
        <v>618</v>
      </c>
      <c r="K267">
        <v>10</v>
      </c>
      <c r="L267">
        <v>50</v>
      </c>
      <c r="M267">
        <v>500</v>
      </c>
      <c r="N267">
        <v>360</v>
      </c>
      <c r="O267">
        <v>140</v>
      </c>
      <c r="P267" s="11">
        <v>0.28000000000000003</v>
      </c>
    </row>
    <row r="268" spans="1:16" x14ac:dyDescent="0.25">
      <c r="A268" s="36" t="s">
        <v>322</v>
      </c>
      <c r="B268" s="2">
        <v>45463</v>
      </c>
      <c r="C268" s="36" t="s">
        <v>44</v>
      </c>
      <c r="D268">
        <v>2024</v>
      </c>
      <c r="E268" s="36" t="s">
        <v>598</v>
      </c>
      <c r="F268" s="36" t="s">
        <v>40</v>
      </c>
      <c r="G268" s="36" t="s">
        <v>608</v>
      </c>
      <c r="H268" s="36" t="s">
        <v>620</v>
      </c>
      <c r="I268" s="36" t="s">
        <v>619</v>
      </c>
      <c r="J268" s="36" t="s">
        <v>615</v>
      </c>
      <c r="K268">
        <v>12</v>
      </c>
      <c r="L268">
        <v>9000</v>
      </c>
      <c r="M268">
        <v>108000</v>
      </c>
      <c r="N268">
        <v>93960</v>
      </c>
      <c r="O268">
        <v>14040</v>
      </c>
      <c r="P268" s="11">
        <v>0.13</v>
      </c>
    </row>
    <row r="269" spans="1:16" x14ac:dyDescent="0.25">
      <c r="A269" s="36" t="s">
        <v>473</v>
      </c>
      <c r="B269" s="2">
        <v>45465</v>
      </c>
      <c r="C269" s="36" t="s">
        <v>53</v>
      </c>
      <c r="D269">
        <v>2024</v>
      </c>
      <c r="E269" s="36" t="s">
        <v>603</v>
      </c>
      <c r="F269" s="36" t="s">
        <v>42</v>
      </c>
      <c r="G269" s="36" t="s">
        <v>611</v>
      </c>
      <c r="H269" s="36" t="s">
        <v>620</v>
      </c>
      <c r="I269" s="36" t="s">
        <v>630</v>
      </c>
      <c r="J269" s="36" t="s">
        <v>615</v>
      </c>
      <c r="K269">
        <v>1</v>
      </c>
      <c r="L269">
        <v>55000</v>
      </c>
      <c r="M269">
        <v>55000</v>
      </c>
      <c r="N269">
        <v>37950</v>
      </c>
      <c r="O269">
        <v>17050</v>
      </c>
      <c r="P269" s="11">
        <v>0.31</v>
      </c>
    </row>
    <row r="270" spans="1:16" x14ac:dyDescent="0.25">
      <c r="A270" s="36" t="s">
        <v>289</v>
      </c>
      <c r="B270" s="2">
        <v>45466</v>
      </c>
      <c r="C270" s="36" t="s">
        <v>53</v>
      </c>
      <c r="D270">
        <v>2024</v>
      </c>
      <c r="E270" s="36" t="s">
        <v>592</v>
      </c>
      <c r="F270" s="36" t="s">
        <v>40</v>
      </c>
      <c r="G270" s="36" t="s">
        <v>608</v>
      </c>
      <c r="H270" s="36" t="s">
        <v>626</v>
      </c>
      <c r="I270" s="36" t="s">
        <v>614</v>
      </c>
      <c r="J270" s="36" t="s">
        <v>618</v>
      </c>
      <c r="K270">
        <v>1</v>
      </c>
      <c r="L270">
        <v>9000</v>
      </c>
      <c r="M270">
        <v>9000</v>
      </c>
      <c r="N270">
        <v>7290</v>
      </c>
      <c r="O270">
        <v>1710</v>
      </c>
      <c r="P270" s="11">
        <v>0.19</v>
      </c>
    </row>
    <row r="271" spans="1:16" x14ac:dyDescent="0.25">
      <c r="A271" s="36" t="s">
        <v>333</v>
      </c>
      <c r="B271" s="2">
        <v>45466</v>
      </c>
      <c r="C271" s="36" t="s">
        <v>48</v>
      </c>
      <c r="D271">
        <v>2024</v>
      </c>
      <c r="E271" s="36" t="s">
        <v>601</v>
      </c>
      <c r="F271" s="36" t="s">
        <v>41</v>
      </c>
      <c r="G271" s="36" t="s">
        <v>612</v>
      </c>
      <c r="H271" s="36" t="s">
        <v>629</v>
      </c>
      <c r="I271" s="36" t="s">
        <v>619</v>
      </c>
      <c r="J271" s="36" t="s">
        <v>618</v>
      </c>
      <c r="K271">
        <v>17</v>
      </c>
      <c r="L271">
        <v>12000</v>
      </c>
      <c r="M271">
        <v>204000</v>
      </c>
      <c r="N271">
        <v>159120</v>
      </c>
      <c r="O271">
        <v>44880</v>
      </c>
      <c r="P271" s="11">
        <v>0.22</v>
      </c>
    </row>
    <row r="272" spans="1:16" x14ac:dyDescent="0.25">
      <c r="A272" s="36" t="s">
        <v>213</v>
      </c>
      <c r="B272" s="2">
        <v>45469</v>
      </c>
      <c r="C272" s="36" t="s">
        <v>46</v>
      </c>
      <c r="D272">
        <v>2024</v>
      </c>
      <c r="E272" s="36" t="s">
        <v>600</v>
      </c>
      <c r="F272" s="36" t="s">
        <v>39</v>
      </c>
      <c r="G272" s="36" t="s">
        <v>610</v>
      </c>
      <c r="H272" s="36" t="s">
        <v>625</v>
      </c>
      <c r="I272" s="36" t="s">
        <v>614</v>
      </c>
      <c r="J272" s="36" t="s">
        <v>615</v>
      </c>
      <c r="K272">
        <v>10</v>
      </c>
      <c r="L272">
        <v>50</v>
      </c>
      <c r="M272">
        <v>500</v>
      </c>
      <c r="N272">
        <v>330</v>
      </c>
      <c r="O272">
        <v>170</v>
      </c>
      <c r="P272" s="11">
        <v>0.34</v>
      </c>
    </row>
    <row r="273" spans="1:16" x14ac:dyDescent="0.25">
      <c r="A273" s="36" t="s">
        <v>488</v>
      </c>
      <c r="B273" s="2">
        <v>45469</v>
      </c>
      <c r="C273" s="36" t="s">
        <v>65</v>
      </c>
      <c r="D273">
        <v>2024</v>
      </c>
      <c r="E273" s="36" t="s">
        <v>601</v>
      </c>
      <c r="F273" s="36" t="s">
        <v>41</v>
      </c>
      <c r="G273" s="36" t="s">
        <v>609</v>
      </c>
      <c r="H273" s="36" t="s">
        <v>620</v>
      </c>
      <c r="I273" s="36" t="s">
        <v>617</v>
      </c>
      <c r="J273" s="36" t="s">
        <v>615</v>
      </c>
      <c r="K273">
        <v>7</v>
      </c>
      <c r="L273">
        <v>1200</v>
      </c>
      <c r="M273">
        <v>8400</v>
      </c>
      <c r="N273">
        <v>5544</v>
      </c>
      <c r="O273">
        <v>2856</v>
      </c>
      <c r="P273" s="11">
        <v>0.34</v>
      </c>
    </row>
    <row r="274" spans="1:16" x14ac:dyDescent="0.25">
      <c r="A274" s="36" t="s">
        <v>220</v>
      </c>
      <c r="B274" s="2">
        <v>45470</v>
      </c>
      <c r="C274" s="36" t="s">
        <v>50</v>
      </c>
      <c r="D274">
        <v>2024</v>
      </c>
      <c r="E274" s="36" t="s">
        <v>607</v>
      </c>
      <c r="F274" s="36" t="s">
        <v>42</v>
      </c>
      <c r="G274" s="36" t="s">
        <v>609</v>
      </c>
      <c r="H274" s="36" t="s">
        <v>620</v>
      </c>
      <c r="I274" s="36" t="s">
        <v>623</v>
      </c>
      <c r="J274" s="36" t="s">
        <v>618</v>
      </c>
      <c r="K274">
        <v>1</v>
      </c>
      <c r="L274">
        <v>8000</v>
      </c>
      <c r="M274">
        <v>8000</v>
      </c>
      <c r="N274">
        <v>5920</v>
      </c>
      <c r="O274">
        <v>2080</v>
      </c>
      <c r="P274" s="11">
        <v>0.26</v>
      </c>
    </row>
    <row r="275" spans="1:16" x14ac:dyDescent="0.25">
      <c r="A275" s="36" t="s">
        <v>193</v>
      </c>
      <c r="B275" s="2">
        <v>45472</v>
      </c>
      <c r="C275" s="36" t="s">
        <v>62</v>
      </c>
      <c r="D275">
        <v>2024</v>
      </c>
      <c r="E275" s="36" t="s">
        <v>598</v>
      </c>
      <c r="F275" s="36" t="s">
        <v>40</v>
      </c>
      <c r="G275" s="36" t="s">
        <v>611</v>
      </c>
      <c r="H275" s="36" t="s">
        <v>625</v>
      </c>
      <c r="I275" s="36" t="s">
        <v>617</v>
      </c>
      <c r="J275" s="36" t="s">
        <v>618</v>
      </c>
      <c r="K275">
        <v>15</v>
      </c>
      <c r="L275">
        <v>45000</v>
      </c>
      <c r="M275">
        <v>675000</v>
      </c>
      <c r="N275">
        <v>553500</v>
      </c>
      <c r="O275">
        <v>121500</v>
      </c>
      <c r="P275" s="11">
        <v>0.18</v>
      </c>
    </row>
    <row r="276" spans="1:16" x14ac:dyDescent="0.25">
      <c r="A276" s="36" t="s">
        <v>555</v>
      </c>
      <c r="B276" s="2">
        <v>45473</v>
      </c>
      <c r="C276" s="36" t="s">
        <v>83</v>
      </c>
      <c r="D276">
        <v>2024</v>
      </c>
      <c r="E276" s="36" t="s">
        <v>594</v>
      </c>
      <c r="F276" s="36" t="s">
        <v>39</v>
      </c>
      <c r="G276" s="36" t="s">
        <v>609</v>
      </c>
      <c r="H276" s="36" t="s">
        <v>616</v>
      </c>
      <c r="I276" s="36" t="s">
        <v>623</v>
      </c>
      <c r="J276" s="36" t="s">
        <v>618</v>
      </c>
      <c r="K276">
        <v>5</v>
      </c>
      <c r="L276">
        <v>3500</v>
      </c>
      <c r="M276">
        <v>17500</v>
      </c>
      <c r="N276">
        <v>15225</v>
      </c>
      <c r="O276">
        <v>2275</v>
      </c>
      <c r="P276" s="11">
        <v>0.13</v>
      </c>
    </row>
    <row r="277" spans="1:16" x14ac:dyDescent="0.25">
      <c r="A277" s="36" t="s">
        <v>94</v>
      </c>
      <c r="B277" s="2">
        <v>45474</v>
      </c>
      <c r="C277" s="36" t="s">
        <v>55</v>
      </c>
      <c r="D277">
        <v>2024</v>
      </c>
      <c r="E277" s="36" t="s">
        <v>594</v>
      </c>
      <c r="F277" s="36" t="s">
        <v>39</v>
      </c>
      <c r="G277" s="36" t="s">
        <v>611</v>
      </c>
      <c r="H277" s="36" t="s">
        <v>622</v>
      </c>
      <c r="I277" s="36" t="s">
        <v>617</v>
      </c>
      <c r="J277" s="36" t="s">
        <v>615</v>
      </c>
      <c r="K277">
        <v>11</v>
      </c>
      <c r="L277">
        <v>3500</v>
      </c>
      <c r="M277">
        <v>38500</v>
      </c>
      <c r="N277">
        <v>24255</v>
      </c>
      <c r="O277">
        <v>14245</v>
      </c>
      <c r="P277" s="11">
        <v>0.37</v>
      </c>
    </row>
    <row r="278" spans="1:16" x14ac:dyDescent="0.25">
      <c r="A278" s="36" t="s">
        <v>259</v>
      </c>
      <c r="B278" s="2">
        <v>45474</v>
      </c>
      <c r="C278" s="36" t="s">
        <v>44</v>
      </c>
      <c r="D278">
        <v>2024</v>
      </c>
      <c r="E278" s="36" t="s">
        <v>607</v>
      </c>
      <c r="F278" s="36" t="s">
        <v>42</v>
      </c>
      <c r="G278" s="36" t="s">
        <v>608</v>
      </c>
      <c r="H278" s="36" t="s">
        <v>629</v>
      </c>
      <c r="I278" s="36" t="s">
        <v>617</v>
      </c>
      <c r="J278" s="36" t="s">
        <v>615</v>
      </c>
      <c r="K278">
        <v>20</v>
      </c>
      <c r="L278">
        <v>9000</v>
      </c>
      <c r="M278">
        <v>180000</v>
      </c>
      <c r="N278">
        <v>153000</v>
      </c>
      <c r="O278">
        <v>27000</v>
      </c>
      <c r="P278" s="11">
        <v>0.15</v>
      </c>
    </row>
    <row r="279" spans="1:16" x14ac:dyDescent="0.25">
      <c r="A279" s="36" t="s">
        <v>335</v>
      </c>
      <c r="B279" s="2">
        <v>45476</v>
      </c>
      <c r="C279" s="36" t="s">
        <v>44</v>
      </c>
      <c r="D279">
        <v>2024</v>
      </c>
      <c r="E279" s="36" t="s">
        <v>593</v>
      </c>
      <c r="F279" s="36" t="s">
        <v>41</v>
      </c>
      <c r="G279" s="36" t="s">
        <v>612</v>
      </c>
      <c r="H279" s="36" t="s">
        <v>628</v>
      </c>
      <c r="I279" s="36" t="s">
        <v>627</v>
      </c>
      <c r="J279" s="36" t="s">
        <v>615</v>
      </c>
      <c r="K279">
        <v>19</v>
      </c>
      <c r="L279">
        <v>12000</v>
      </c>
      <c r="M279">
        <v>228000</v>
      </c>
      <c r="N279">
        <v>191520</v>
      </c>
      <c r="O279">
        <v>36480</v>
      </c>
      <c r="P279" s="11">
        <v>0.16</v>
      </c>
    </row>
    <row r="280" spans="1:16" x14ac:dyDescent="0.25">
      <c r="A280" s="36" t="s">
        <v>202</v>
      </c>
      <c r="B280" s="2">
        <v>45477</v>
      </c>
      <c r="C280" s="36" t="s">
        <v>80</v>
      </c>
      <c r="D280">
        <v>2024</v>
      </c>
      <c r="E280" s="36" t="s">
        <v>594</v>
      </c>
      <c r="F280" s="36" t="s">
        <v>39</v>
      </c>
      <c r="G280" s="36" t="s">
        <v>609</v>
      </c>
      <c r="H280" s="36" t="s">
        <v>613</v>
      </c>
      <c r="I280" s="36" t="s">
        <v>630</v>
      </c>
      <c r="J280" s="36" t="s">
        <v>618</v>
      </c>
      <c r="K280">
        <v>18</v>
      </c>
      <c r="L280">
        <v>4000</v>
      </c>
      <c r="M280">
        <v>72000</v>
      </c>
      <c r="N280">
        <v>53280</v>
      </c>
      <c r="O280">
        <v>18720</v>
      </c>
      <c r="P280" s="11">
        <v>0.26</v>
      </c>
    </row>
    <row r="281" spans="1:16" x14ac:dyDescent="0.25">
      <c r="A281" s="36" t="s">
        <v>300</v>
      </c>
      <c r="B281" s="2">
        <v>45477</v>
      </c>
      <c r="C281" s="36" t="s">
        <v>55</v>
      </c>
      <c r="D281">
        <v>2024</v>
      </c>
      <c r="E281" s="36" t="s">
        <v>601</v>
      </c>
      <c r="F281" s="36" t="s">
        <v>41</v>
      </c>
      <c r="G281" s="36" t="s">
        <v>611</v>
      </c>
      <c r="H281" s="36" t="s">
        <v>625</v>
      </c>
      <c r="I281" s="36" t="s">
        <v>645</v>
      </c>
      <c r="J281" s="36" t="s">
        <v>618</v>
      </c>
      <c r="K281">
        <v>19</v>
      </c>
      <c r="L281">
        <v>1200</v>
      </c>
      <c r="M281">
        <v>22800</v>
      </c>
      <c r="N281">
        <v>16644</v>
      </c>
      <c r="O281">
        <v>6156</v>
      </c>
      <c r="P281" s="11">
        <v>0.27</v>
      </c>
    </row>
    <row r="282" spans="1:16" x14ac:dyDescent="0.25">
      <c r="A282" s="36" t="s">
        <v>484</v>
      </c>
      <c r="B282" s="2">
        <v>45477</v>
      </c>
      <c r="C282" s="36" t="s">
        <v>80</v>
      </c>
      <c r="D282">
        <v>2024</v>
      </c>
      <c r="E282" s="36" t="s">
        <v>605</v>
      </c>
      <c r="F282" s="36" t="s">
        <v>40</v>
      </c>
      <c r="G282" s="36" t="s">
        <v>609</v>
      </c>
      <c r="H282" s="36" t="s">
        <v>626</v>
      </c>
      <c r="I282" s="36" t="s">
        <v>614</v>
      </c>
      <c r="J282" s="36" t="s">
        <v>615</v>
      </c>
      <c r="K282">
        <v>4</v>
      </c>
      <c r="L282">
        <v>1200</v>
      </c>
      <c r="M282">
        <v>4800</v>
      </c>
      <c r="N282">
        <v>3168</v>
      </c>
      <c r="O282">
        <v>1632</v>
      </c>
      <c r="P282" s="11">
        <v>0.34</v>
      </c>
    </row>
    <row r="283" spans="1:16" x14ac:dyDescent="0.25">
      <c r="A283" s="36" t="s">
        <v>131</v>
      </c>
      <c r="B283" s="2">
        <v>45478</v>
      </c>
      <c r="C283" s="36" t="s">
        <v>62</v>
      </c>
      <c r="D283">
        <v>2024</v>
      </c>
      <c r="E283" s="36" t="s">
        <v>603</v>
      </c>
      <c r="F283" s="36" t="s">
        <v>42</v>
      </c>
      <c r="G283" s="36" t="s">
        <v>610</v>
      </c>
      <c r="H283" s="36" t="s">
        <v>616</v>
      </c>
      <c r="I283" s="36" t="s">
        <v>619</v>
      </c>
      <c r="J283" s="36" t="s">
        <v>615</v>
      </c>
      <c r="K283">
        <v>10</v>
      </c>
      <c r="L283">
        <v>55000</v>
      </c>
      <c r="M283">
        <v>550000</v>
      </c>
      <c r="N283">
        <v>434500</v>
      </c>
      <c r="O283">
        <v>115500</v>
      </c>
      <c r="P283" s="11">
        <v>0.21</v>
      </c>
    </row>
    <row r="284" spans="1:16" x14ac:dyDescent="0.25">
      <c r="A284" s="36" t="s">
        <v>545</v>
      </c>
      <c r="B284" s="2">
        <v>45478</v>
      </c>
      <c r="C284" s="36" t="s">
        <v>57</v>
      </c>
      <c r="D284">
        <v>2024</v>
      </c>
      <c r="E284" s="36" t="s">
        <v>605</v>
      </c>
      <c r="F284" s="36" t="s">
        <v>40</v>
      </c>
      <c r="G284" s="36" t="s">
        <v>608</v>
      </c>
      <c r="H284" s="36" t="s">
        <v>626</v>
      </c>
      <c r="I284" s="36" t="s">
        <v>623</v>
      </c>
      <c r="J284" s="36" t="s">
        <v>615</v>
      </c>
      <c r="K284">
        <v>11</v>
      </c>
      <c r="L284">
        <v>8000</v>
      </c>
      <c r="M284">
        <v>88000</v>
      </c>
      <c r="N284">
        <v>56320</v>
      </c>
      <c r="O284">
        <v>31680</v>
      </c>
      <c r="P284" s="11">
        <v>0.36</v>
      </c>
    </row>
    <row r="285" spans="1:16" x14ac:dyDescent="0.25">
      <c r="A285" s="36" t="s">
        <v>61</v>
      </c>
      <c r="B285" s="2">
        <v>45480</v>
      </c>
      <c r="C285" s="36" t="s">
        <v>62</v>
      </c>
      <c r="D285">
        <v>2024</v>
      </c>
      <c r="E285" s="36" t="s">
        <v>599</v>
      </c>
      <c r="F285" s="36" t="s">
        <v>39</v>
      </c>
      <c r="G285" s="36" t="s">
        <v>609</v>
      </c>
      <c r="H285" s="36" t="s">
        <v>622</v>
      </c>
      <c r="I285" s="36" t="s">
        <v>619</v>
      </c>
      <c r="J285" s="36" t="s">
        <v>615</v>
      </c>
      <c r="K285">
        <v>6</v>
      </c>
      <c r="L285">
        <v>8000</v>
      </c>
      <c r="M285">
        <v>48000</v>
      </c>
      <c r="N285">
        <v>39360</v>
      </c>
      <c r="O285">
        <v>8640</v>
      </c>
      <c r="P285" s="11">
        <v>0.18</v>
      </c>
    </row>
    <row r="286" spans="1:16" x14ac:dyDescent="0.25">
      <c r="A286" s="36" t="s">
        <v>190</v>
      </c>
      <c r="B286" s="2">
        <v>45480</v>
      </c>
      <c r="C286" s="36" t="s">
        <v>62</v>
      </c>
      <c r="D286">
        <v>2024</v>
      </c>
      <c r="E286" s="36" t="s">
        <v>596</v>
      </c>
      <c r="F286" s="36" t="s">
        <v>39</v>
      </c>
      <c r="G286" s="36" t="s">
        <v>608</v>
      </c>
      <c r="H286" s="36" t="s">
        <v>628</v>
      </c>
      <c r="I286" s="36" t="s">
        <v>617</v>
      </c>
      <c r="J286" s="36" t="s">
        <v>615</v>
      </c>
      <c r="K286">
        <v>9</v>
      </c>
      <c r="L286">
        <v>15000</v>
      </c>
      <c r="M286">
        <v>135000</v>
      </c>
      <c r="N286">
        <v>117450</v>
      </c>
      <c r="O286">
        <v>17550</v>
      </c>
      <c r="P286" s="11">
        <v>0.13</v>
      </c>
    </row>
    <row r="287" spans="1:16" x14ac:dyDescent="0.25">
      <c r="A287" s="36" t="s">
        <v>271</v>
      </c>
      <c r="B287" s="2">
        <v>45480</v>
      </c>
      <c r="C287" s="36" t="s">
        <v>57</v>
      </c>
      <c r="D287">
        <v>2024</v>
      </c>
      <c r="E287" s="36" t="s">
        <v>600</v>
      </c>
      <c r="F287" s="36" t="s">
        <v>39</v>
      </c>
      <c r="G287" s="36" t="s">
        <v>610</v>
      </c>
      <c r="H287" s="36" t="s">
        <v>621</v>
      </c>
      <c r="I287" s="36" t="s">
        <v>617</v>
      </c>
      <c r="J287" s="36" t="s">
        <v>615</v>
      </c>
      <c r="K287">
        <v>8</v>
      </c>
      <c r="L287">
        <v>700</v>
      </c>
      <c r="M287">
        <v>5600</v>
      </c>
      <c r="N287">
        <v>3696</v>
      </c>
      <c r="O287">
        <v>1904</v>
      </c>
      <c r="P287" s="11">
        <v>0.34</v>
      </c>
    </row>
    <row r="288" spans="1:16" x14ac:dyDescent="0.25">
      <c r="A288" s="36" t="s">
        <v>277</v>
      </c>
      <c r="B288" s="2">
        <v>45482</v>
      </c>
      <c r="C288" s="36" t="s">
        <v>55</v>
      </c>
      <c r="D288">
        <v>2024</v>
      </c>
      <c r="E288" s="36" t="s">
        <v>605</v>
      </c>
      <c r="F288" s="36" t="s">
        <v>40</v>
      </c>
      <c r="G288" s="36" t="s">
        <v>608</v>
      </c>
      <c r="H288" s="36" t="s">
        <v>622</v>
      </c>
      <c r="I288" s="36" t="s">
        <v>623</v>
      </c>
      <c r="J288" s="36" t="s">
        <v>615</v>
      </c>
      <c r="K288">
        <v>13</v>
      </c>
      <c r="L288">
        <v>7000</v>
      </c>
      <c r="M288">
        <v>91000</v>
      </c>
      <c r="N288">
        <v>69160</v>
      </c>
      <c r="O288">
        <v>21840</v>
      </c>
      <c r="P288" s="11">
        <v>0.24</v>
      </c>
    </row>
    <row r="289" spans="1:16" x14ac:dyDescent="0.25">
      <c r="A289" s="36" t="s">
        <v>476</v>
      </c>
      <c r="B289" s="2">
        <v>45482</v>
      </c>
      <c r="C289" s="36" t="s">
        <v>57</v>
      </c>
      <c r="D289">
        <v>2024</v>
      </c>
      <c r="E289" s="36" t="s">
        <v>593</v>
      </c>
      <c r="F289" s="36" t="s">
        <v>41</v>
      </c>
      <c r="G289" s="36" t="s">
        <v>609</v>
      </c>
      <c r="H289" s="36" t="s">
        <v>625</v>
      </c>
      <c r="I289" s="36" t="s">
        <v>627</v>
      </c>
      <c r="J289" s="36" t="s">
        <v>615</v>
      </c>
      <c r="K289">
        <v>10</v>
      </c>
      <c r="L289">
        <v>1200</v>
      </c>
      <c r="M289">
        <v>12000</v>
      </c>
      <c r="N289">
        <v>8040</v>
      </c>
      <c r="O289">
        <v>3960</v>
      </c>
      <c r="P289" s="11">
        <v>0.33</v>
      </c>
    </row>
    <row r="290" spans="1:16" x14ac:dyDescent="0.25">
      <c r="A290" s="36" t="s">
        <v>137</v>
      </c>
      <c r="B290" s="2">
        <v>45484</v>
      </c>
      <c r="C290" s="36" t="s">
        <v>59</v>
      </c>
      <c r="D290">
        <v>2024</v>
      </c>
      <c r="E290" s="36" t="s">
        <v>606</v>
      </c>
      <c r="F290" s="36" t="s">
        <v>40</v>
      </c>
      <c r="G290" s="36" t="s">
        <v>612</v>
      </c>
      <c r="H290" s="36" t="s">
        <v>622</v>
      </c>
      <c r="I290" s="36" t="s">
        <v>617</v>
      </c>
      <c r="J290" s="36" t="s">
        <v>615</v>
      </c>
      <c r="K290">
        <v>18</v>
      </c>
      <c r="L290">
        <v>4000</v>
      </c>
      <c r="M290">
        <v>72000</v>
      </c>
      <c r="N290">
        <v>59040</v>
      </c>
      <c r="O290">
        <v>12960</v>
      </c>
      <c r="P290" s="11">
        <v>0.18</v>
      </c>
    </row>
    <row r="291" spans="1:16" x14ac:dyDescent="0.25">
      <c r="A291" s="36" t="s">
        <v>206</v>
      </c>
      <c r="B291" s="2">
        <v>45485</v>
      </c>
      <c r="C291" s="36" t="s">
        <v>46</v>
      </c>
      <c r="D291">
        <v>2024</v>
      </c>
      <c r="E291" s="36" t="s">
        <v>604</v>
      </c>
      <c r="F291" s="36" t="s">
        <v>41</v>
      </c>
      <c r="G291" s="36" t="s">
        <v>609</v>
      </c>
      <c r="H291" s="36" t="s">
        <v>621</v>
      </c>
      <c r="I291" s="36" t="s">
        <v>614</v>
      </c>
      <c r="J291" s="36" t="s">
        <v>615</v>
      </c>
      <c r="K291">
        <v>18</v>
      </c>
      <c r="L291">
        <v>15000</v>
      </c>
      <c r="M291">
        <v>270000</v>
      </c>
      <c r="N291">
        <v>162000</v>
      </c>
      <c r="O291">
        <v>108000</v>
      </c>
      <c r="P291" s="11">
        <v>0.4</v>
      </c>
    </row>
    <row r="292" spans="1:16" x14ac:dyDescent="0.25">
      <c r="A292" s="36" t="s">
        <v>118</v>
      </c>
      <c r="B292" s="2">
        <v>45486</v>
      </c>
      <c r="C292" s="36" t="s">
        <v>50</v>
      </c>
      <c r="D292">
        <v>2024</v>
      </c>
      <c r="E292" s="36" t="s">
        <v>601</v>
      </c>
      <c r="F292" s="36" t="s">
        <v>41</v>
      </c>
      <c r="G292" s="36" t="s">
        <v>610</v>
      </c>
      <c r="H292" s="36" t="s">
        <v>625</v>
      </c>
      <c r="I292" s="36" t="s">
        <v>645</v>
      </c>
      <c r="J292" s="36" t="s">
        <v>618</v>
      </c>
      <c r="K292">
        <v>12</v>
      </c>
      <c r="L292">
        <v>300</v>
      </c>
      <c r="M292">
        <v>3600</v>
      </c>
      <c r="N292">
        <v>2160</v>
      </c>
      <c r="O292">
        <v>1440</v>
      </c>
      <c r="P292" s="11">
        <v>0.4</v>
      </c>
    </row>
    <row r="293" spans="1:16" x14ac:dyDescent="0.25">
      <c r="A293" s="36" t="s">
        <v>195</v>
      </c>
      <c r="B293" s="2">
        <v>45486</v>
      </c>
      <c r="C293" s="36" t="s">
        <v>65</v>
      </c>
      <c r="D293">
        <v>2024</v>
      </c>
      <c r="E293" s="36" t="s">
        <v>599</v>
      </c>
      <c r="F293" s="36" t="s">
        <v>39</v>
      </c>
      <c r="G293" s="36" t="s">
        <v>611</v>
      </c>
      <c r="H293" s="36" t="s">
        <v>620</v>
      </c>
      <c r="I293" s="36" t="s">
        <v>630</v>
      </c>
      <c r="J293" s="36" t="s">
        <v>615</v>
      </c>
      <c r="K293">
        <v>8</v>
      </c>
      <c r="L293">
        <v>150</v>
      </c>
      <c r="M293">
        <v>1200</v>
      </c>
      <c r="N293">
        <v>1020</v>
      </c>
      <c r="O293">
        <v>180</v>
      </c>
      <c r="P293" s="11">
        <v>0.15</v>
      </c>
    </row>
    <row r="294" spans="1:16" x14ac:dyDescent="0.25">
      <c r="A294" s="36" t="s">
        <v>588</v>
      </c>
      <c r="B294" s="2">
        <v>45486</v>
      </c>
      <c r="C294" s="36" t="s">
        <v>44</v>
      </c>
      <c r="D294">
        <v>2024</v>
      </c>
      <c r="E294" s="36" t="s">
        <v>593</v>
      </c>
      <c r="F294" s="36" t="s">
        <v>41</v>
      </c>
      <c r="G294" s="36" t="s">
        <v>611</v>
      </c>
      <c r="H294" s="36" t="s">
        <v>622</v>
      </c>
      <c r="I294" s="36" t="s">
        <v>645</v>
      </c>
      <c r="J294" s="36" t="s">
        <v>615</v>
      </c>
      <c r="K294">
        <v>9</v>
      </c>
      <c r="L294">
        <v>1200</v>
      </c>
      <c r="M294">
        <v>10800</v>
      </c>
      <c r="N294">
        <v>8964</v>
      </c>
      <c r="O294">
        <v>1836</v>
      </c>
      <c r="P294" s="11">
        <v>0.17</v>
      </c>
    </row>
    <row r="295" spans="1:16" x14ac:dyDescent="0.25">
      <c r="A295" s="36" t="s">
        <v>407</v>
      </c>
      <c r="B295" s="2">
        <v>45487</v>
      </c>
      <c r="C295" s="36" t="s">
        <v>44</v>
      </c>
      <c r="D295">
        <v>2024</v>
      </c>
      <c r="E295" s="36" t="s">
        <v>592</v>
      </c>
      <c r="F295" s="36" t="s">
        <v>40</v>
      </c>
      <c r="G295" s="36" t="s">
        <v>608</v>
      </c>
      <c r="H295" s="36" t="s">
        <v>624</v>
      </c>
      <c r="I295" s="36" t="s">
        <v>645</v>
      </c>
      <c r="J295" s="36" t="s">
        <v>618</v>
      </c>
      <c r="K295">
        <v>13</v>
      </c>
      <c r="L295">
        <v>3500</v>
      </c>
      <c r="M295">
        <v>45500</v>
      </c>
      <c r="N295">
        <v>31850</v>
      </c>
      <c r="O295">
        <v>13650</v>
      </c>
      <c r="P295" s="11">
        <v>0.3</v>
      </c>
    </row>
    <row r="296" spans="1:16" x14ac:dyDescent="0.25">
      <c r="A296" s="36" t="s">
        <v>522</v>
      </c>
      <c r="B296" s="2">
        <v>45488</v>
      </c>
      <c r="C296" s="36" t="s">
        <v>48</v>
      </c>
      <c r="D296">
        <v>2024</v>
      </c>
      <c r="E296" s="36" t="s">
        <v>606</v>
      </c>
      <c r="F296" s="36" t="s">
        <v>40</v>
      </c>
      <c r="G296" s="36" t="s">
        <v>612</v>
      </c>
      <c r="H296" s="36" t="s">
        <v>621</v>
      </c>
      <c r="I296" s="36" t="s">
        <v>619</v>
      </c>
      <c r="J296" s="36" t="s">
        <v>618</v>
      </c>
      <c r="K296">
        <v>15</v>
      </c>
      <c r="L296">
        <v>20</v>
      </c>
      <c r="M296">
        <v>300</v>
      </c>
      <c r="N296">
        <v>228</v>
      </c>
      <c r="O296">
        <v>72</v>
      </c>
      <c r="P296" s="11">
        <v>0.24</v>
      </c>
    </row>
    <row r="297" spans="1:16" x14ac:dyDescent="0.25">
      <c r="A297" s="36" t="s">
        <v>262</v>
      </c>
      <c r="B297" s="2">
        <v>45489</v>
      </c>
      <c r="C297" s="36" t="s">
        <v>65</v>
      </c>
      <c r="D297">
        <v>2024</v>
      </c>
      <c r="E297" s="36" t="s">
        <v>599</v>
      </c>
      <c r="F297" s="36" t="s">
        <v>39</v>
      </c>
      <c r="G297" s="36" t="s">
        <v>610</v>
      </c>
      <c r="H297" s="36" t="s">
        <v>621</v>
      </c>
      <c r="I297" s="36" t="s">
        <v>614</v>
      </c>
      <c r="J297" s="36" t="s">
        <v>618</v>
      </c>
      <c r="K297">
        <v>8</v>
      </c>
      <c r="L297">
        <v>4000</v>
      </c>
      <c r="M297">
        <v>32000</v>
      </c>
      <c r="N297">
        <v>24640</v>
      </c>
      <c r="O297">
        <v>7360</v>
      </c>
      <c r="P297" s="11">
        <v>0.23</v>
      </c>
    </row>
    <row r="298" spans="1:16" x14ac:dyDescent="0.25">
      <c r="A298" s="36" t="s">
        <v>226</v>
      </c>
      <c r="B298" s="2">
        <v>45490</v>
      </c>
      <c r="C298" s="36" t="s">
        <v>57</v>
      </c>
      <c r="D298">
        <v>2024</v>
      </c>
      <c r="E298" s="36" t="s">
        <v>596</v>
      </c>
      <c r="F298" s="36" t="s">
        <v>39</v>
      </c>
      <c r="G298" s="36" t="s">
        <v>612</v>
      </c>
      <c r="H298" s="36" t="s">
        <v>620</v>
      </c>
      <c r="I298" s="36" t="s">
        <v>623</v>
      </c>
      <c r="J298" s="36" t="s">
        <v>615</v>
      </c>
      <c r="K298">
        <v>15</v>
      </c>
      <c r="L298">
        <v>25000</v>
      </c>
      <c r="M298">
        <v>375000</v>
      </c>
      <c r="N298">
        <v>240000</v>
      </c>
      <c r="O298">
        <v>135000</v>
      </c>
      <c r="P298" s="11">
        <v>0.36</v>
      </c>
    </row>
    <row r="299" spans="1:16" x14ac:dyDescent="0.25">
      <c r="A299" s="36" t="s">
        <v>230</v>
      </c>
      <c r="B299" s="2">
        <v>45490</v>
      </c>
      <c r="C299" s="36" t="s">
        <v>48</v>
      </c>
      <c r="D299">
        <v>2024</v>
      </c>
      <c r="E299" s="36" t="s">
        <v>595</v>
      </c>
      <c r="F299" s="36" t="s">
        <v>39</v>
      </c>
      <c r="G299" s="36" t="s">
        <v>609</v>
      </c>
      <c r="H299" s="36" t="s">
        <v>626</v>
      </c>
      <c r="I299" s="36" t="s">
        <v>645</v>
      </c>
      <c r="J299" s="36" t="s">
        <v>618</v>
      </c>
      <c r="K299">
        <v>6</v>
      </c>
      <c r="L299">
        <v>9000</v>
      </c>
      <c r="M299">
        <v>54000</v>
      </c>
      <c r="N299">
        <v>36180</v>
      </c>
      <c r="O299">
        <v>17820</v>
      </c>
      <c r="P299" s="11">
        <v>0.33</v>
      </c>
    </row>
    <row r="300" spans="1:16" x14ac:dyDescent="0.25">
      <c r="A300" s="36" t="s">
        <v>154</v>
      </c>
      <c r="B300" s="2">
        <v>45491</v>
      </c>
      <c r="C300" s="36" t="s">
        <v>59</v>
      </c>
      <c r="D300">
        <v>2024</v>
      </c>
      <c r="E300" s="36" t="s">
        <v>603</v>
      </c>
      <c r="F300" s="36" t="s">
        <v>42</v>
      </c>
      <c r="G300" s="36" t="s">
        <v>612</v>
      </c>
      <c r="H300" s="36" t="s">
        <v>620</v>
      </c>
      <c r="I300" s="36" t="s">
        <v>623</v>
      </c>
      <c r="J300" s="36" t="s">
        <v>618</v>
      </c>
      <c r="K300">
        <v>15</v>
      </c>
      <c r="L300">
        <v>55000</v>
      </c>
      <c r="M300">
        <v>825000</v>
      </c>
      <c r="N300">
        <v>701250</v>
      </c>
      <c r="O300">
        <v>123750</v>
      </c>
      <c r="P300" s="11">
        <v>0.15</v>
      </c>
    </row>
    <row r="301" spans="1:16" x14ac:dyDescent="0.25">
      <c r="A301" s="36" t="s">
        <v>221</v>
      </c>
      <c r="B301" s="2">
        <v>45491</v>
      </c>
      <c r="C301" s="36" t="s">
        <v>46</v>
      </c>
      <c r="D301">
        <v>2024</v>
      </c>
      <c r="E301" s="36" t="s">
        <v>593</v>
      </c>
      <c r="F301" s="36" t="s">
        <v>41</v>
      </c>
      <c r="G301" s="36" t="s">
        <v>610</v>
      </c>
      <c r="H301" s="36" t="s">
        <v>626</v>
      </c>
      <c r="I301" s="36" t="s">
        <v>645</v>
      </c>
      <c r="J301" s="36" t="s">
        <v>618</v>
      </c>
      <c r="K301">
        <v>3</v>
      </c>
      <c r="L301">
        <v>7000</v>
      </c>
      <c r="M301">
        <v>21000</v>
      </c>
      <c r="N301">
        <v>12600</v>
      </c>
      <c r="O301">
        <v>8400</v>
      </c>
      <c r="P301" s="11">
        <v>0.4</v>
      </c>
    </row>
    <row r="302" spans="1:16" x14ac:dyDescent="0.25">
      <c r="A302" s="36" t="s">
        <v>320</v>
      </c>
      <c r="B302" s="2">
        <v>45491</v>
      </c>
      <c r="C302" s="36" t="s">
        <v>46</v>
      </c>
      <c r="D302">
        <v>2024</v>
      </c>
      <c r="E302" s="36" t="s">
        <v>600</v>
      </c>
      <c r="F302" s="36" t="s">
        <v>39</v>
      </c>
      <c r="G302" s="36" t="s">
        <v>610</v>
      </c>
      <c r="H302" s="36" t="s">
        <v>626</v>
      </c>
      <c r="I302" s="36" t="s">
        <v>614</v>
      </c>
      <c r="J302" s="36" t="s">
        <v>615</v>
      </c>
      <c r="K302">
        <v>11</v>
      </c>
      <c r="L302">
        <v>8000</v>
      </c>
      <c r="M302">
        <v>88000</v>
      </c>
      <c r="N302">
        <v>63360</v>
      </c>
      <c r="O302">
        <v>24640</v>
      </c>
      <c r="P302" s="11">
        <v>0.28000000000000003</v>
      </c>
    </row>
    <row r="303" spans="1:16" x14ac:dyDescent="0.25">
      <c r="A303" s="36" t="s">
        <v>582</v>
      </c>
      <c r="B303" s="2">
        <v>45492</v>
      </c>
      <c r="C303" s="36" t="s">
        <v>50</v>
      </c>
      <c r="D303">
        <v>2024</v>
      </c>
      <c r="E303" s="36" t="s">
        <v>599</v>
      </c>
      <c r="F303" s="36" t="s">
        <v>39</v>
      </c>
      <c r="G303" s="36" t="s">
        <v>608</v>
      </c>
      <c r="H303" s="36" t="s">
        <v>626</v>
      </c>
      <c r="I303" s="36" t="s">
        <v>645</v>
      </c>
      <c r="J303" s="36" t="s">
        <v>615</v>
      </c>
      <c r="K303">
        <v>6</v>
      </c>
      <c r="L303">
        <v>1200</v>
      </c>
      <c r="M303">
        <v>7200</v>
      </c>
      <c r="N303">
        <v>4680</v>
      </c>
      <c r="O303">
        <v>2520</v>
      </c>
      <c r="P303" s="11">
        <v>0.35</v>
      </c>
    </row>
    <row r="304" spans="1:16" x14ac:dyDescent="0.25">
      <c r="A304" s="36" t="s">
        <v>577</v>
      </c>
      <c r="B304" s="2">
        <v>45494</v>
      </c>
      <c r="C304" s="36" t="s">
        <v>83</v>
      </c>
      <c r="D304">
        <v>2024</v>
      </c>
      <c r="E304" s="36" t="s">
        <v>599</v>
      </c>
      <c r="F304" s="36" t="s">
        <v>39</v>
      </c>
      <c r="G304" s="36" t="s">
        <v>612</v>
      </c>
      <c r="H304" s="36" t="s">
        <v>629</v>
      </c>
      <c r="I304" s="36" t="s">
        <v>614</v>
      </c>
      <c r="J304" s="36" t="s">
        <v>615</v>
      </c>
      <c r="K304">
        <v>5</v>
      </c>
      <c r="L304">
        <v>12000</v>
      </c>
      <c r="M304">
        <v>60000</v>
      </c>
      <c r="N304">
        <v>53400</v>
      </c>
      <c r="O304">
        <v>6600</v>
      </c>
      <c r="P304" s="11">
        <v>0.11</v>
      </c>
    </row>
    <row r="305" spans="1:16" x14ac:dyDescent="0.25">
      <c r="A305" s="36" t="s">
        <v>89</v>
      </c>
      <c r="B305" s="2">
        <v>45495</v>
      </c>
      <c r="C305" s="36" t="s">
        <v>55</v>
      </c>
      <c r="D305">
        <v>2024</v>
      </c>
      <c r="E305" s="36" t="s">
        <v>599</v>
      </c>
      <c r="F305" s="36" t="s">
        <v>39</v>
      </c>
      <c r="G305" s="36" t="s">
        <v>610</v>
      </c>
      <c r="H305" s="36" t="s">
        <v>624</v>
      </c>
      <c r="I305" s="36" t="s">
        <v>614</v>
      </c>
      <c r="J305" s="36" t="s">
        <v>618</v>
      </c>
      <c r="K305">
        <v>10</v>
      </c>
      <c r="L305">
        <v>9000</v>
      </c>
      <c r="M305">
        <v>90000</v>
      </c>
      <c r="N305">
        <v>57600</v>
      </c>
      <c r="O305">
        <v>32400</v>
      </c>
      <c r="P305" s="11">
        <v>0.36</v>
      </c>
    </row>
    <row r="306" spans="1:16" x14ac:dyDescent="0.25">
      <c r="A306" s="36" t="s">
        <v>109</v>
      </c>
      <c r="B306" s="2">
        <v>45496</v>
      </c>
      <c r="C306" s="36" t="s">
        <v>44</v>
      </c>
      <c r="D306">
        <v>2024</v>
      </c>
      <c r="E306" s="36" t="s">
        <v>600</v>
      </c>
      <c r="F306" s="36" t="s">
        <v>39</v>
      </c>
      <c r="G306" s="36" t="s">
        <v>608</v>
      </c>
      <c r="H306" s="36" t="s">
        <v>620</v>
      </c>
      <c r="I306" s="36" t="s">
        <v>617</v>
      </c>
      <c r="J306" s="36" t="s">
        <v>615</v>
      </c>
      <c r="K306">
        <v>13</v>
      </c>
      <c r="L306">
        <v>4000</v>
      </c>
      <c r="M306">
        <v>52000</v>
      </c>
      <c r="N306">
        <v>37960</v>
      </c>
      <c r="O306">
        <v>14040</v>
      </c>
      <c r="P306" s="11">
        <v>0.27</v>
      </c>
    </row>
    <row r="307" spans="1:16" x14ac:dyDescent="0.25">
      <c r="A307" s="36" t="s">
        <v>197</v>
      </c>
      <c r="B307" s="2">
        <v>45497</v>
      </c>
      <c r="C307" s="36" t="s">
        <v>59</v>
      </c>
      <c r="D307">
        <v>2024</v>
      </c>
      <c r="E307" s="36" t="s">
        <v>603</v>
      </c>
      <c r="F307" s="36" t="s">
        <v>42</v>
      </c>
      <c r="G307" s="36" t="s">
        <v>609</v>
      </c>
      <c r="H307" s="36" t="s">
        <v>625</v>
      </c>
      <c r="I307" s="36" t="s">
        <v>614</v>
      </c>
      <c r="J307" s="36" t="s">
        <v>618</v>
      </c>
      <c r="K307">
        <v>17</v>
      </c>
      <c r="L307">
        <v>12000</v>
      </c>
      <c r="M307">
        <v>204000</v>
      </c>
      <c r="N307">
        <v>177480</v>
      </c>
      <c r="O307">
        <v>26520</v>
      </c>
      <c r="P307" s="11">
        <v>0.13</v>
      </c>
    </row>
    <row r="308" spans="1:16" x14ac:dyDescent="0.25">
      <c r="A308" s="36" t="s">
        <v>505</v>
      </c>
      <c r="B308" s="2">
        <v>45497</v>
      </c>
      <c r="C308" s="36" t="s">
        <v>53</v>
      </c>
      <c r="D308">
        <v>2024</v>
      </c>
      <c r="E308" s="36" t="s">
        <v>597</v>
      </c>
      <c r="F308" s="36" t="s">
        <v>41</v>
      </c>
      <c r="G308" s="36" t="s">
        <v>609</v>
      </c>
      <c r="H308" s="36" t="s">
        <v>622</v>
      </c>
      <c r="I308" s="36" t="s">
        <v>617</v>
      </c>
      <c r="J308" s="36" t="s">
        <v>618</v>
      </c>
      <c r="K308">
        <v>13</v>
      </c>
      <c r="L308">
        <v>45000</v>
      </c>
      <c r="M308">
        <v>585000</v>
      </c>
      <c r="N308">
        <v>520650</v>
      </c>
      <c r="O308">
        <v>64350</v>
      </c>
      <c r="P308" s="11">
        <v>0.11</v>
      </c>
    </row>
    <row r="309" spans="1:16" x14ac:dyDescent="0.25">
      <c r="A309" s="36" t="s">
        <v>209</v>
      </c>
      <c r="B309" s="2">
        <v>45498</v>
      </c>
      <c r="C309" s="36" t="s">
        <v>80</v>
      </c>
      <c r="D309">
        <v>2024</v>
      </c>
      <c r="E309" s="36" t="s">
        <v>592</v>
      </c>
      <c r="F309" s="36" t="s">
        <v>40</v>
      </c>
      <c r="G309" s="36" t="s">
        <v>611</v>
      </c>
      <c r="H309" s="36" t="s">
        <v>621</v>
      </c>
      <c r="I309" s="36" t="s">
        <v>630</v>
      </c>
      <c r="J309" s="36" t="s">
        <v>618</v>
      </c>
      <c r="K309">
        <v>15</v>
      </c>
      <c r="L309">
        <v>700</v>
      </c>
      <c r="M309">
        <v>10500</v>
      </c>
      <c r="N309">
        <v>9450</v>
      </c>
      <c r="O309">
        <v>1050</v>
      </c>
      <c r="P309" s="11">
        <v>0.1</v>
      </c>
    </row>
    <row r="310" spans="1:16" x14ac:dyDescent="0.25">
      <c r="A310" s="36" t="s">
        <v>134</v>
      </c>
      <c r="B310" s="2">
        <v>45499</v>
      </c>
      <c r="C310" s="36" t="s">
        <v>80</v>
      </c>
      <c r="D310">
        <v>2024</v>
      </c>
      <c r="E310" s="36" t="s">
        <v>603</v>
      </c>
      <c r="F310" s="36" t="s">
        <v>42</v>
      </c>
      <c r="G310" s="36" t="s">
        <v>608</v>
      </c>
      <c r="H310" s="36" t="s">
        <v>629</v>
      </c>
      <c r="I310" s="36" t="s">
        <v>619</v>
      </c>
      <c r="J310" s="36" t="s">
        <v>618</v>
      </c>
      <c r="K310">
        <v>11</v>
      </c>
      <c r="L310">
        <v>50</v>
      </c>
      <c r="M310">
        <v>550</v>
      </c>
      <c r="N310">
        <v>401.5</v>
      </c>
      <c r="O310">
        <v>148.5</v>
      </c>
      <c r="P310" s="11">
        <v>0.27</v>
      </c>
    </row>
    <row r="311" spans="1:16" x14ac:dyDescent="0.25">
      <c r="A311" s="36" t="s">
        <v>308</v>
      </c>
      <c r="B311" s="2">
        <v>45500</v>
      </c>
      <c r="C311" s="36" t="s">
        <v>55</v>
      </c>
      <c r="D311">
        <v>2024</v>
      </c>
      <c r="E311" s="36" t="s">
        <v>597</v>
      </c>
      <c r="F311" s="36" t="s">
        <v>41</v>
      </c>
      <c r="G311" s="36" t="s">
        <v>609</v>
      </c>
      <c r="H311" s="36" t="s">
        <v>629</v>
      </c>
      <c r="I311" s="36" t="s">
        <v>623</v>
      </c>
      <c r="J311" s="36" t="s">
        <v>615</v>
      </c>
      <c r="K311">
        <v>18</v>
      </c>
      <c r="L311">
        <v>55000</v>
      </c>
      <c r="M311">
        <v>990000</v>
      </c>
      <c r="N311">
        <v>792000</v>
      </c>
      <c r="O311">
        <v>198000</v>
      </c>
      <c r="P311" s="11">
        <v>0.2</v>
      </c>
    </row>
    <row r="312" spans="1:16" x14ac:dyDescent="0.25">
      <c r="A312" s="36" t="s">
        <v>453</v>
      </c>
      <c r="B312" s="2">
        <v>45500</v>
      </c>
      <c r="C312" s="36" t="s">
        <v>80</v>
      </c>
      <c r="D312">
        <v>2024</v>
      </c>
      <c r="E312" s="36" t="s">
        <v>597</v>
      </c>
      <c r="F312" s="36" t="s">
        <v>41</v>
      </c>
      <c r="G312" s="36" t="s">
        <v>608</v>
      </c>
      <c r="H312" s="36" t="s">
        <v>620</v>
      </c>
      <c r="I312" s="36" t="s">
        <v>623</v>
      </c>
      <c r="J312" s="36" t="s">
        <v>618</v>
      </c>
      <c r="K312">
        <v>3</v>
      </c>
      <c r="L312">
        <v>700</v>
      </c>
      <c r="M312">
        <v>2100</v>
      </c>
      <c r="N312">
        <v>1344</v>
      </c>
      <c r="O312">
        <v>756</v>
      </c>
      <c r="P312" s="11">
        <v>0.36</v>
      </c>
    </row>
    <row r="313" spans="1:16" x14ac:dyDescent="0.25">
      <c r="A313" s="36" t="s">
        <v>523</v>
      </c>
      <c r="B313" s="2">
        <v>45500</v>
      </c>
      <c r="C313" s="36" t="s">
        <v>50</v>
      </c>
      <c r="D313">
        <v>2024</v>
      </c>
      <c r="E313" s="36" t="s">
        <v>598</v>
      </c>
      <c r="F313" s="36" t="s">
        <v>40</v>
      </c>
      <c r="G313" s="36" t="s">
        <v>608</v>
      </c>
      <c r="H313" s="36" t="s">
        <v>625</v>
      </c>
      <c r="I313" s="36" t="s">
        <v>627</v>
      </c>
      <c r="J313" s="36" t="s">
        <v>615</v>
      </c>
      <c r="K313">
        <v>13</v>
      </c>
      <c r="L313">
        <v>700</v>
      </c>
      <c r="M313">
        <v>9100</v>
      </c>
      <c r="N313">
        <v>7007</v>
      </c>
      <c r="O313">
        <v>2093</v>
      </c>
      <c r="P313" s="11">
        <v>0.23</v>
      </c>
    </row>
    <row r="314" spans="1:16" x14ac:dyDescent="0.25">
      <c r="A314" s="36" t="s">
        <v>108</v>
      </c>
      <c r="B314" s="2">
        <v>45501</v>
      </c>
      <c r="C314" s="36" t="s">
        <v>46</v>
      </c>
      <c r="D314">
        <v>2024</v>
      </c>
      <c r="E314" s="36" t="s">
        <v>598</v>
      </c>
      <c r="F314" s="36" t="s">
        <v>40</v>
      </c>
      <c r="G314" s="36" t="s">
        <v>611</v>
      </c>
      <c r="H314" s="36" t="s">
        <v>621</v>
      </c>
      <c r="I314" s="36" t="s">
        <v>645</v>
      </c>
      <c r="J314" s="36" t="s">
        <v>618</v>
      </c>
      <c r="K314">
        <v>18</v>
      </c>
      <c r="L314">
        <v>1200</v>
      </c>
      <c r="M314">
        <v>21600</v>
      </c>
      <c r="N314">
        <v>16632</v>
      </c>
      <c r="O314">
        <v>4968</v>
      </c>
      <c r="P314" s="11">
        <v>0.23</v>
      </c>
    </row>
    <row r="315" spans="1:16" x14ac:dyDescent="0.25">
      <c r="A315" s="36" t="s">
        <v>342</v>
      </c>
      <c r="B315" s="2">
        <v>45506</v>
      </c>
      <c r="C315" s="36" t="s">
        <v>57</v>
      </c>
      <c r="D315">
        <v>2024</v>
      </c>
      <c r="E315" s="36" t="s">
        <v>593</v>
      </c>
      <c r="F315" s="36" t="s">
        <v>41</v>
      </c>
      <c r="G315" s="36" t="s">
        <v>608</v>
      </c>
      <c r="H315" s="36" t="s">
        <v>622</v>
      </c>
      <c r="I315" s="36" t="s">
        <v>630</v>
      </c>
      <c r="J315" s="36" t="s">
        <v>615</v>
      </c>
      <c r="K315">
        <v>11</v>
      </c>
      <c r="L315">
        <v>20</v>
      </c>
      <c r="M315">
        <v>220</v>
      </c>
      <c r="N315">
        <v>182.6</v>
      </c>
      <c r="O315">
        <v>37.400000000000006</v>
      </c>
      <c r="P315" s="11">
        <v>0.17</v>
      </c>
    </row>
    <row r="316" spans="1:16" x14ac:dyDescent="0.25">
      <c r="A316" s="36" t="s">
        <v>86</v>
      </c>
      <c r="B316" s="2">
        <v>45507</v>
      </c>
      <c r="C316" s="36" t="s">
        <v>50</v>
      </c>
      <c r="D316">
        <v>2024</v>
      </c>
      <c r="E316" s="36" t="s">
        <v>595</v>
      </c>
      <c r="F316" s="36" t="s">
        <v>39</v>
      </c>
      <c r="G316" s="36" t="s">
        <v>609</v>
      </c>
      <c r="H316" s="36" t="s">
        <v>625</v>
      </c>
      <c r="I316" s="36" t="s">
        <v>630</v>
      </c>
      <c r="J316" s="36" t="s">
        <v>618</v>
      </c>
      <c r="K316">
        <v>19</v>
      </c>
      <c r="L316">
        <v>9000</v>
      </c>
      <c r="M316">
        <v>171000</v>
      </c>
      <c r="N316">
        <v>136800</v>
      </c>
      <c r="O316">
        <v>34200</v>
      </c>
      <c r="P316" s="11">
        <v>0.2</v>
      </c>
    </row>
    <row r="317" spans="1:16" x14ac:dyDescent="0.25">
      <c r="A317" s="36" t="s">
        <v>249</v>
      </c>
      <c r="B317" s="2">
        <v>45507</v>
      </c>
      <c r="C317" s="36" t="s">
        <v>59</v>
      </c>
      <c r="D317">
        <v>2024</v>
      </c>
      <c r="E317" s="36" t="s">
        <v>594</v>
      </c>
      <c r="F317" s="36" t="s">
        <v>39</v>
      </c>
      <c r="G317" s="36" t="s">
        <v>612</v>
      </c>
      <c r="H317" s="36" t="s">
        <v>620</v>
      </c>
      <c r="I317" s="36" t="s">
        <v>630</v>
      </c>
      <c r="J317" s="36" t="s">
        <v>618</v>
      </c>
      <c r="K317">
        <v>16</v>
      </c>
      <c r="L317">
        <v>7000</v>
      </c>
      <c r="M317">
        <v>112000</v>
      </c>
      <c r="N317">
        <v>82880</v>
      </c>
      <c r="O317">
        <v>29120</v>
      </c>
      <c r="P317" s="11">
        <v>0.26</v>
      </c>
    </row>
    <row r="318" spans="1:16" x14ac:dyDescent="0.25">
      <c r="A318" s="36" t="s">
        <v>534</v>
      </c>
      <c r="B318" s="2">
        <v>45507</v>
      </c>
      <c r="C318" s="36" t="s">
        <v>59</v>
      </c>
      <c r="D318">
        <v>2024</v>
      </c>
      <c r="E318" s="36" t="s">
        <v>595</v>
      </c>
      <c r="F318" s="36" t="s">
        <v>39</v>
      </c>
      <c r="G318" s="36" t="s">
        <v>609</v>
      </c>
      <c r="H318" s="36" t="s">
        <v>629</v>
      </c>
      <c r="I318" s="36" t="s">
        <v>645</v>
      </c>
      <c r="J318" s="36" t="s">
        <v>615</v>
      </c>
      <c r="K318">
        <v>3</v>
      </c>
      <c r="L318">
        <v>7000</v>
      </c>
      <c r="M318">
        <v>21000</v>
      </c>
      <c r="N318">
        <v>15750</v>
      </c>
      <c r="O318">
        <v>5250</v>
      </c>
      <c r="P318" s="11">
        <v>0.25</v>
      </c>
    </row>
    <row r="319" spans="1:16" x14ac:dyDescent="0.25">
      <c r="A319" s="36" t="s">
        <v>551</v>
      </c>
      <c r="B319" s="2">
        <v>45507</v>
      </c>
      <c r="C319" s="36" t="s">
        <v>83</v>
      </c>
      <c r="D319">
        <v>2024</v>
      </c>
      <c r="E319" s="36" t="s">
        <v>606</v>
      </c>
      <c r="F319" s="36" t="s">
        <v>40</v>
      </c>
      <c r="G319" s="36" t="s">
        <v>610</v>
      </c>
      <c r="H319" s="36" t="s">
        <v>624</v>
      </c>
      <c r="I319" s="36" t="s">
        <v>614</v>
      </c>
      <c r="J319" s="36" t="s">
        <v>618</v>
      </c>
      <c r="K319">
        <v>9</v>
      </c>
      <c r="L319">
        <v>55000</v>
      </c>
      <c r="M319">
        <v>495000</v>
      </c>
      <c r="N319">
        <v>297000</v>
      </c>
      <c r="O319">
        <v>198000</v>
      </c>
      <c r="P319" s="11">
        <v>0.4</v>
      </c>
    </row>
    <row r="320" spans="1:16" x14ac:dyDescent="0.25">
      <c r="A320" s="36" t="s">
        <v>124</v>
      </c>
      <c r="B320" s="2">
        <v>45508</v>
      </c>
      <c r="C320" s="36" t="s">
        <v>62</v>
      </c>
      <c r="D320">
        <v>2024</v>
      </c>
      <c r="E320" s="36" t="s">
        <v>596</v>
      </c>
      <c r="F320" s="36" t="s">
        <v>39</v>
      </c>
      <c r="G320" s="36" t="s">
        <v>612</v>
      </c>
      <c r="H320" s="36" t="s">
        <v>625</v>
      </c>
      <c r="I320" s="36" t="s">
        <v>614</v>
      </c>
      <c r="J320" s="36" t="s">
        <v>618</v>
      </c>
      <c r="K320">
        <v>2</v>
      </c>
      <c r="L320">
        <v>20</v>
      </c>
      <c r="M320">
        <v>40</v>
      </c>
      <c r="N320">
        <v>29.2</v>
      </c>
      <c r="O320">
        <v>10.8</v>
      </c>
      <c r="P320" s="11">
        <v>0.27</v>
      </c>
    </row>
    <row r="321" spans="1:16" x14ac:dyDescent="0.25">
      <c r="A321" s="36" t="s">
        <v>370</v>
      </c>
      <c r="B321" s="2">
        <v>45508</v>
      </c>
      <c r="C321" s="36" t="s">
        <v>44</v>
      </c>
      <c r="D321">
        <v>2024</v>
      </c>
      <c r="E321" s="36" t="s">
        <v>593</v>
      </c>
      <c r="F321" s="36" t="s">
        <v>41</v>
      </c>
      <c r="G321" s="36" t="s">
        <v>611</v>
      </c>
      <c r="H321" s="36" t="s">
        <v>626</v>
      </c>
      <c r="I321" s="36" t="s">
        <v>645</v>
      </c>
      <c r="J321" s="36" t="s">
        <v>618</v>
      </c>
      <c r="K321">
        <v>1</v>
      </c>
      <c r="L321">
        <v>15000</v>
      </c>
      <c r="M321">
        <v>15000</v>
      </c>
      <c r="N321">
        <v>9450</v>
      </c>
      <c r="O321">
        <v>5550</v>
      </c>
      <c r="P321" s="11">
        <v>0.37</v>
      </c>
    </row>
    <row r="322" spans="1:16" x14ac:dyDescent="0.25">
      <c r="A322" s="36" t="s">
        <v>490</v>
      </c>
      <c r="B322" s="2">
        <v>45509</v>
      </c>
      <c r="C322" s="36" t="s">
        <v>65</v>
      </c>
      <c r="D322">
        <v>2024</v>
      </c>
      <c r="E322" s="36" t="s">
        <v>600</v>
      </c>
      <c r="F322" s="36" t="s">
        <v>39</v>
      </c>
      <c r="G322" s="36" t="s">
        <v>610</v>
      </c>
      <c r="H322" s="36" t="s">
        <v>625</v>
      </c>
      <c r="I322" s="36" t="s">
        <v>627</v>
      </c>
      <c r="J322" s="36" t="s">
        <v>615</v>
      </c>
      <c r="K322">
        <v>17</v>
      </c>
      <c r="L322">
        <v>8000</v>
      </c>
      <c r="M322">
        <v>136000</v>
      </c>
      <c r="N322">
        <v>82960</v>
      </c>
      <c r="O322">
        <v>53040</v>
      </c>
      <c r="P322" s="11">
        <v>0.39</v>
      </c>
    </row>
    <row r="323" spans="1:16" x14ac:dyDescent="0.25">
      <c r="A323" s="36" t="s">
        <v>489</v>
      </c>
      <c r="B323" s="2">
        <v>45510</v>
      </c>
      <c r="C323" s="36" t="s">
        <v>55</v>
      </c>
      <c r="D323">
        <v>2024</v>
      </c>
      <c r="E323" s="36" t="s">
        <v>606</v>
      </c>
      <c r="F323" s="36" t="s">
        <v>40</v>
      </c>
      <c r="G323" s="36" t="s">
        <v>612</v>
      </c>
      <c r="H323" s="36" t="s">
        <v>625</v>
      </c>
      <c r="I323" s="36" t="s">
        <v>645</v>
      </c>
      <c r="J323" s="36" t="s">
        <v>618</v>
      </c>
      <c r="K323">
        <v>3</v>
      </c>
      <c r="L323">
        <v>55000</v>
      </c>
      <c r="M323">
        <v>165000</v>
      </c>
      <c r="N323">
        <v>117150</v>
      </c>
      <c r="O323">
        <v>47850</v>
      </c>
      <c r="P323" s="11">
        <v>0.28999999999999998</v>
      </c>
    </row>
    <row r="324" spans="1:16" x14ac:dyDescent="0.25">
      <c r="A324" s="36" t="s">
        <v>508</v>
      </c>
      <c r="B324" s="2">
        <v>45510</v>
      </c>
      <c r="C324" s="36" t="s">
        <v>55</v>
      </c>
      <c r="D324">
        <v>2024</v>
      </c>
      <c r="E324" s="36" t="s">
        <v>606</v>
      </c>
      <c r="F324" s="36" t="s">
        <v>40</v>
      </c>
      <c r="G324" s="36" t="s">
        <v>609</v>
      </c>
      <c r="H324" s="36" t="s">
        <v>624</v>
      </c>
      <c r="I324" s="36" t="s">
        <v>630</v>
      </c>
      <c r="J324" s="36" t="s">
        <v>615</v>
      </c>
      <c r="K324">
        <v>16</v>
      </c>
      <c r="L324">
        <v>150</v>
      </c>
      <c r="M324">
        <v>2400</v>
      </c>
      <c r="N324">
        <v>1704</v>
      </c>
      <c r="O324">
        <v>696</v>
      </c>
      <c r="P324" s="11">
        <v>0.28999999999999998</v>
      </c>
    </row>
    <row r="325" spans="1:16" x14ac:dyDescent="0.25">
      <c r="A325" s="36" t="s">
        <v>71</v>
      </c>
      <c r="B325" s="2">
        <v>45511</v>
      </c>
      <c r="C325" s="36" t="s">
        <v>55</v>
      </c>
      <c r="D325">
        <v>2024</v>
      </c>
      <c r="E325" s="36" t="s">
        <v>603</v>
      </c>
      <c r="F325" s="36" t="s">
        <v>42</v>
      </c>
      <c r="G325" s="36" t="s">
        <v>609</v>
      </c>
      <c r="H325" s="36" t="s">
        <v>620</v>
      </c>
      <c r="I325" s="36" t="s">
        <v>617</v>
      </c>
      <c r="J325" s="36" t="s">
        <v>615</v>
      </c>
      <c r="K325">
        <v>8</v>
      </c>
      <c r="L325">
        <v>1200</v>
      </c>
      <c r="M325">
        <v>9600</v>
      </c>
      <c r="N325">
        <v>7488</v>
      </c>
      <c r="O325">
        <v>2112</v>
      </c>
      <c r="P325" s="11">
        <v>0.22</v>
      </c>
    </row>
    <row r="326" spans="1:16" x14ac:dyDescent="0.25">
      <c r="A326" s="36" t="s">
        <v>138</v>
      </c>
      <c r="B326" s="2">
        <v>45513</v>
      </c>
      <c r="C326" s="36" t="s">
        <v>57</v>
      </c>
      <c r="D326">
        <v>2024</v>
      </c>
      <c r="E326" s="36" t="s">
        <v>603</v>
      </c>
      <c r="F326" s="36" t="s">
        <v>42</v>
      </c>
      <c r="G326" s="36" t="s">
        <v>608</v>
      </c>
      <c r="H326" s="36" t="s">
        <v>629</v>
      </c>
      <c r="I326" s="36" t="s">
        <v>645</v>
      </c>
      <c r="J326" s="36" t="s">
        <v>615</v>
      </c>
      <c r="K326">
        <v>4</v>
      </c>
      <c r="L326">
        <v>12000</v>
      </c>
      <c r="M326">
        <v>48000</v>
      </c>
      <c r="N326">
        <v>34560</v>
      </c>
      <c r="O326">
        <v>13440</v>
      </c>
      <c r="P326" s="11">
        <v>0.28000000000000003</v>
      </c>
    </row>
    <row r="327" spans="1:16" x14ac:dyDescent="0.25">
      <c r="A327" s="36" t="s">
        <v>212</v>
      </c>
      <c r="B327" s="2">
        <v>45513</v>
      </c>
      <c r="C327" s="36" t="s">
        <v>83</v>
      </c>
      <c r="D327">
        <v>2024</v>
      </c>
      <c r="E327" s="36" t="s">
        <v>595</v>
      </c>
      <c r="F327" s="36" t="s">
        <v>39</v>
      </c>
      <c r="G327" s="36" t="s">
        <v>610</v>
      </c>
      <c r="H327" s="36" t="s">
        <v>622</v>
      </c>
      <c r="I327" s="36" t="s">
        <v>630</v>
      </c>
      <c r="J327" s="36" t="s">
        <v>615</v>
      </c>
      <c r="K327">
        <v>18</v>
      </c>
      <c r="L327">
        <v>12000</v>
      </c>
      <c r="M327">
        <v>216000</v>
      </c>
      <c r="N327">
        <v>159840</v>
      </c>
      <c r="O327">
        <v>56160</v>
      </c>
      <c r="P327" s="11">
        <v>0.26</v>
      </c>
    </row>
    <row r="328" spans="1:16" x14ac:dyDescent="0.25">
      <c r="A328" s="36" t="s">
        <v>441</v>
      </c>
      <c r="B328" s="2">
        <v>45513</v>
      </c>
      <c r="C328" s="36" t="s">
        <v>48</v>
      </c>
      <c r="D328">
        <v>2024</v>
      </c>
      <c r="E328" s="36" t="s">
        <v>603</v>
      </c>
      <c r="F328" s="36" t="s">
        <v>42</v>
      </c>
      <c r="G328" s="36" t="s">
        <v>608</v>
      </c>
      <c r="H328" s="36" t="s">
        <v>626</v>
      </c>
      <c r="I328" s="36" t="s">
        <v>630</v>
      </c>
      <c r="J328" s="36" t="s">
        <v>615</v>
      </c>
      <c r="K328">
        <v>19</v>
      </c>
      <c r="L328">
        <v>8000</v>
      </c>
      <c r="M328">
        <v>152000</v>
      </c>
      <c r="N328">
        <v>132240</v>
      </c>
      <c r="O328">
        <v>19760</v>
      </c>
      <c r="P328" s="11">
        <v>0.13</v>
      </c>
    </row>
    <row r="329" spans="1:16" x14ac:dyDescent="0.25">
      <c r="A329" s="36" t="s">
        <v>164</v>
      </c>
      <c r="B329" s="2">
        <v>45514</v>
      </c>
      <c r="C329" s="36" t="s">
        <v>62</v>
      </c>
      <c r="D329">
        <v>2024</v>
      </c>
      <c r="E329" s="36" t="s">
        <v>599</v>
      </c>
      <c r="F329" s="36" t="s">
        <v>39</v>
      </c>
      <c r="G329" s="36" t="s">
        <v>612</v>
      </c>
      <c r="H329" s="36" t="s">
        <v>616</v>
      </c>
      <c r="I329" s="36" t="s">
        <v>627</v>
      </c>
      <c r="J329" s="36" t="s">
        <v>618</v>
      </c>
      <c r="K329">
        <v>20</v>
      </c>
      <c r="L329">
        <v>300</v>
      </c>
      <c r="M329">
        <v>6000</v>
      </c>
      <c r="N329">
        <v>3780</v>
      </c>
      <c r="O329">
        <v>2220</v>
      </c>
      <c r="P329" s="11">
        <v>0.37</v>
      </c>
    </row>
    <row r="330" spans="1:16" x14ac:dyDescent="0.25">
      <c r="A330" s="36" t="s">
        <v>216</v>
      </c>
      <c r="B330" s="2">
        <v>45514</v>
      </c>
      <c r="C330" s="36" t="s">
        <v>46</v>
      </c>
      <c r="D330">
        <v>2024</v>
      </c>
      <c r="E330" s="36" t="s">
        <v>600</v>
      </c>
      <c r="F330" s="36" t="s">
        <v>39</v>
      </c>
      <c r="G330" s="36" t="s">
        <v>610</v>
      </c>
      <c r="H330" s="36" t="s">
        <v>625</v>
      </c>
      <c r="I330" s="36" t="s">
        <v>630</v>
      </c>
      <c r="J330" s="36" t="s">
        <v>615</v>
      </c>
      <c r="K330">
        <v>14</v>
      </c>
      <c r="L330">
        <v>45000</v>
      </c>
      <c r="M330">
        <v>630000</v>
      </c>
      <c r="N330">
        <v>510300</v>
      </c>
      <c r="O330">
        <v>119700</v>
      </c>
      <c r="P330" s="11">
        <v>0.19</v>
      </c>
    </row>
    <row r="331" spans="1:16" x14ac:dyDescent="0.25">
      <c r="A331" s="36" t="s">
        <v>290</v>
      </c>
      <c r="B331" s="2">
        <v>45515</v>
      </c>
      <c r="C331" s="36" t="s">
        <v>59</v>
      </c>
      <c r="D331">
        <v>2024</v>
      </c>
      <c r="E331" s="36" t="s">
        <v>599</v>
      </c>
      <c r="F331" s="36" t="s">
        <v>39</v>
      </c>
      <c r="G331" s="36" t="s">
        <v>611</v>
      </c>
      <c r="H331" s="36" t="s">
        <v>629</v>
      </c>
      <c r="I331" s="36" t="s">
        <v>645</v>
      </c>
      <c r="J331" s="36" t="s">
        <v>615</v>
      </c>
      <c r="K331">
        <v>17</v>
      </c>
      <c r="L331">
        <v>45000</v>
      </c>
      <c r="M331">
        <v>765000</v>
      </c>
      <c r="N331">
        <v>527850</v>
      </c>
      <c r="O331">
        <v>237150</v>
      </c>
      <c r="P331" s="11">
        <v>0.31</v>
      </c>
    </row>
    <row r="332" spans="1:16" x14ac:dyDescent="0.25">
      <c r="A332" s="36" t="s">
        <v>337</v>
      </c>
      <c r="B332" s="2">
        <v>45515</v>
      </c>
      <c r="C332" s="36" t="s">
        <v>57</v>
      </c>
      <c r="D332">
        <v>2024</v>
      </c>
      <c r="E332" s="36" t="s">
        <v>604</v>
      </c>
      <c r="F332" s="36" t="s">
        <v>41</v>
      </c>
      <c r="G332" s="36" t="s">
        <v>610</v>
      </c>
      <c r="H332" s="36" t="s">
        <v>622</v>
      </c>
      <c r="I332" s="36" t="s">
        <v>623</v>
      </c>
      <c r="J332" s="36" t="s">
        <v>615</v>
      </c>
      <c r="K332">
        <v>2</v>
      </c>
      <c r="L332">
        <v>20</v>
      </c>
      <c r="M332">
        <v>40</v>
      </c>
      <c r="N332">
        <v>27.6</v>
      </c>
      <c r="O332">
        <v>12.399999999999999</v>
      </c>
      <c r="P332" s="11">
        <v>0.30999999999999994</v>
      </c>
    </row>
    <row r="333" spans="1:16" x14ac:dyDescent="0.25">
      <c r="A333" s="36" t="s">
        <v>374</v>
      </c>
      <c r="B333" s="2">
        <v>45515</v>
      </c>
      <c r="C333" s="36" t="s">
        <v>62</v>
      </c>
      <c r="D333">
        <v>2024</v>
      </c>
      <c r="E333" s="36" t="s">
        <v>606</v>
      </c>
      <c r="F333" s="36" t="s">
        <v>40</v>
      </c>
      <c r="G333" s="36" t="s">
        <v>611</v>
      </c>
      <c r="H333" s="36" t="s">
        <v>620</v>
      </c>
      <c r="I333" s="36" t="s">
        <v>619</v>
      </c>
      <c r="J333" s="36" t="s">
        <v>615</v>
      </c>
      <c r="K333">
        <v>8</v>
      </c>
      <c r="L333">
        <v>1200</v>
      </c>
      <c r="M333">
        <v>9600</v>
      </c>
      <c r="N333">
        <v>5952</v>
      </c>
      <c r="O333">
        <v>3648</v>
      </c>
      <c r="P333" s="11">
        <v>0.38</v>
      </c>
    </row>
    <row r="334" spans="1:16" x14ac:dyDescent="0.25">
      <c r="A334" s="36" t="s">
        <v>449</v>
      </c>
      <c r="B334" s="2">
        <v>45515</v>
      </c>
      <c r="C334" s="36" t="s">
        <v>83</v>
      </c>
      <c r="D334">
        <v>2024</v>
      </c>
      <c r="E334" s="36" t="s">
        <v>594</v>
      </c>
      <c r="F334" s="36" t="s">
        <v>39</v>
      </c>
      <c r="G334" s="36" t="s">
        <v>610</v>
      </c>
      <c r="H334" s="36" t="s">
        <v>626</v>
      </c>
      <c r="I334" s="36" t="s">
        <v>645</v>
      </c>
      <c r="J334" s="36" t="s">
        <v>618</v>
      </c>
      <c r="K334">
        <v>2</v>
      </c>
      <c r="L334">
        <v>20</v>
      </c>
      <c r="M334">
        <v>40</v>
      </c>
      <c r="N334">
        <v>27.2</v>
      </c>
      <c r="O334">
        <v>12.8</v>
      </c>
      <c r="P334" s="11">
        <v>0.32</v>
      </c>
    </row>
    <row r="335" spans="1:16" x14ac:dyDescent="0.25">
      <c r="A335" s="36" t="s">
        <v>569</v>
      </c>
      <c r="B335" s="2">
        <v>45515</v>
      </c>
      <c r="C335" s="36" t="s">
        <v>62</v>
      </c>
      <c r="D335">
        <v>2024</v>
      </c>
      <c r="E335" s="36" t="s">
        <v>602</v>
      </c>
      <c r="F335" s="36" t="s">
        <v>42</v>
      </c>
      <c r="G335" s="36" t="s">
        <v>610</v>
      </c>
      <c r="H335" s="36" t="s">
        <v>616</v>
      </c>
      <c r="I335" s="36" t="s">
        <v>645</v>
      </c>
      <c r="J335" s="36" t="s">
        <v>615</v>
      </c>
      <c r="K335">
        <v>4</v>
      </c>
      <c r="L335">
        <v>150</v>
      </c>
      <c r="M335">
        <v>600</v>
      </c>
      <c r="N335">
        <v>402</v>
      </c>
      <c r="O335">
        <v>198</v>
      </c>
      <c r="P335" s="11">
        <v>0.33</v>
      </c>
    </row>
    <row r="336" spans="1:16" x14ac:dyDescent="0.25">
      <c r="A336" s="36" t="s">
        <v>161</v>
      </c>
      <c r="B336" s="2">
        <v>45516</v>
      </c>
      <c r="C336" s="36" t="s">
        <v>83</v>
      </c>
      <c r="D336">
        <v>2024</v>
      </c>
      <c r="E336" s="36" t="s">
        <v>596</v>
      </c>
      <c r="F336" s="36" t="s">
        <v>39</v>
      </c>
      <c r="G336" s="36" t="s">
        <v>611</v>
      </c>
      <c r="H336" s="36" t="s">
        <v>621</v>
      </c>
      <c r="I336" s="36" t="s">
        <v>645</v>
      </c>
      <c r="J336" s="36" t="s">
        <v>618</v>
      </c>
      <c r="K336">
        <v>9</v>
      </c>
      <c r="L336">
        <v>1200</v>
      </c>
      <c r="M336">
        <v>10800</v>
      </c>
      <c r="N336">
        <v>9612</v>
      </c>
      <c r="O336">
        <v>1188</v>
      </c>
      <c r="P336" s="11">
        <v>0.11</v>
      </c>
    </row>
    <row r="337" spans="1:16" x14ac:dyDescent="0.25">
      <c r="A337" s="36" t="s">
        <v>175</v>
      </c>
      <c r="B337" s="2">
        <v>45516</v>
      </c>
      <c r="C337" s="36" t="s">
        <v>59</v>
      </c>
      <c r="D337">
        <v>2024</v>
      </c>
      <c r="E337" s="36" t="s">
        <v>603</v>
      </c>
      <c r="F337" s="36" t="s">
        <v>42</v>
      </c>
      <c r="G337" s="36" t="s">
        <v>608</v>
      </c>
      <c r="H337" s="36" t="s">
        <v>625</v>
      </c>
      <c r="I337" s="36" t="s">
        <v>630</v>
      </c>
      <c r="J337" s="36" t="s">
        <v>618</v>
      </c>
      <c r="K337">
        <v>3</v>
      </c>
      <c r="L337">
        <v>7000</v>
      </c>
      <c r="M337">
        <v>21000</v>
      </c>
      <c r="N337">
        <v>18690</v>
      </c>
      <c r="O337">
        <v>2310</v>
      </c>
      <c r="P337" s="11">
        <v>0.11</v>
      </c>
    </row>
    <row r="338" spans="1:16" x14ac:dyDescent="0.25">
      <c r="A338" s="36" t="s">
        <v>98</v>
      </c>
      <c r="B338" s="2">
        <v>45518</v>
      </c>
      <c r="C338" s="36" t="s">
        <v>57</v>
      </c>
      <c r="D338">
        <v>2024</v>
      </c>
      <c r="E338" s="36" t="s">
        <v>595</v>
      </c>
      <c r="F338" s="36" t="s">
        <v>39</v>
      </c>
      <c r="G338" s="36" t="s">
        <v>611</v>
      </c>
      <c r="H338" s="36" t="s">
        <v>613</v>
      </c>
      <c r="I338" s="36" t="s">
        <v>627</v>
      </c>
      <c r="J338" s="36" t="s">
        <v>618</v>
      </c>
      <c r="K338">
        <v>9</v>
      </c>
      <c r="L338">
        <v>8000</v>
      </c>
      <c r="M338">
        <v>72000</v>
      </c>
      <c r="N338">
        <v>58320</v>
      </c>
      <c r="O338">
        <v>13680</v>
      </c>
      <c r="P338" s="11">
        <v>0.19</v>
      </c>
    </row>
    <row r="339" spans="1:16" x14ac:dyDescent="0.25">
      <c r="A339" s="36" t="s">
        <v>122</v>
      </c>
      <c r="B339" s="2">
        <v>45519</v>
      </c>
      <c r="C339" s="36" t="s">
        <v>83</v>
      </c>
      <c r="D339">
        <v>2024</v>
      </c>
      <c r="E339" s="36" t="s">
        <v>595</v>
      </c>
      <c r="F339" s="36" t="s">
        <v>39</v>
      </c>
      <c r="G339" s="36" t="s">
        <v>609</v>
      </c>
      <c r="H339" s="36" t="s">
        <v>613</v>
      </c>
      <c r="I339" s="36" t="s">
        <v>617</v>
      </c>
      <c r="J339" s="36" t="s">
        <v>615</v>
      </c>
      <c r="K339">
        <v>17</v>
      </c>
      <c r="L339">
        <v>300</v>
      </c>
      <c r="M339">
        <v>5100</v>
      </c>
      <c r="N339">
        <v>4284</v>
      </c>
      <c r="O339">
        <v>816</v>
      </c>
      <c r="P339" s="11">
        <v>0.16</v>
      </c>
    </row>
    <row r="340" spans="1:16" x14ac:dyDescent="0.25">
      <c r="A340" s="36" t="s">
        <v>402</v>
      </c>
      <c r="B340" s="2">
        <v>45519</v>
      </c>
      <c r="C340" s="36" t="s">
        <v>57</v>
      </c>
      <c r="D340">
        <v>2024</v>
      </c>
      <c r="E340" s="36" t="s">
        <v>596</v>
      </c>
      <c r="F340" s="36" t="s">
        <v>39</v>
      </c>
      <c r="G340" s="36" t="s">
        <v>610</v>
      </c>
      <c r="H340" s="36" t="s">
        <v>625</v>
      </c>
      <c r="I340" s="36" t="s">
        <v>645</v>
      </c>
      <c r="J340" s="36" t="s">
        <v>615</v>
      </c>
      <c r="K340">
        <v>10</v>
      </c>
      <c r="L340">
        <v>3500</v>
      </c>
      <c r="M340">
        <v>35000</v>
      </c>
      <c r="N340">
        <v>25550</v>
      </c>
      <c r="O340">
        <v>9450</v>
      </c>
      <c r="P340" s="11">
        <v>0.27</v>
      </c>
    </row>
    <row r="341" spans="1:16" x14ac:dyDescent="0.25">
      <c r="A341" s="36" t="s">
        <v>47</v>
      </c>
      <c r="B341" s="2">
        <v>45520</v>
      </c>
      <c r="C341" s="36" t="s">
        <v>48</v>
      </c>
      <c r="D341">
        <v>2024</v>
      </c>
      <c r="E341" s="36" t="s">
        <v>594</v>
      </c>
      <c r="F341" s="36" t="s">
        <v>39</v>
      </c>
      <c r="G341" s="36" t="s">
        <v>609</v>
      </c>
      <c r="H341" s="36" t="s">
        <v>616</v>
      </c>
      <c r="I341" s="36" t="s">
        <v>619</v>
      </c>
      <c r="J341" s="36" t="s">
        <v>618</v>
      </c>
      <c r="K341">
        <v>4</v>
      </c>
      <c r="L341">
        <v>20</v>
      </c>
      <c r="M341">
        <v>80</v>
      </c>
      <c r="N341">
        <v>48.8</v>
      </c>
      <c r="O341">
        <v>31.200000000000003</v>
      </c>
      <c r="P341" s="11">
        <v>0.39</v>
      </c>
    </row>
    <row r="342" spans="1:16" x14ac:dyDescent="0.25">
      <c r="A342" s="36" t="s">
        <v>317</v>
      </c>
      <c r="B342" s="2">
        <v>45521</v>
      </c>
      <c r="C342" s="36" t="s">
        <v>44</v>
      </c>
      <c r="D342">
        <v>2024</v>
      </c>
      <c r="E342" s="36" t="s">
        <v>604</v>
      </c>
      <c r="F342" s="36" t="s">
        <v>41</v>
      </c>
      <c r="G342" s="36" t="s">
        <v>612</v>
      </c>
      <c r="H342" s="36" t="s">
        <v>620</v>
      </c>
      <c r="I342" s="36" t="s">
        <v>619</v>
      </c>
      <c r="J342" s="36" t="s">
        <v>615</v>
      </c>
      <c r="K342">
        <v>3</v>
      </c>
      <c r="L342">
        <v>15000</v>
      </c>
      <c r="M342">
        <v>45000</v>
      </c>
      <c r="N342">
        <v>34650</v>
      </c>
      <c r="O342">
        <v>10350</v>
      </c>
      <c r="P342" s="11">
        <v>0.23</v>
      </c>
    </row>
    <row r="343" spans="1:16" x14ac:dyDescent="0.25">
      <c r="A343" s="36" t="s">
        <v>341</v>
      </c>
      <c r="B343" s="2">
        <v>45521</v>
      </c>
      <c r="C343" s="36" t="s">
        <v>46</v>
      </c>
      <c r="D343">
        <v>2024</v>
      </c>
      <c r="E343" s="36" t="s">
        <v>599</v>
      </c>
      <c r="F343" s="36" t="s">
        <v>39</v>
      </c>
      <c r="G343" s="36" t="s">
        <v>608</v>
      </c>
      <c r="H343" s="36" t="s">
        <v>622</v>
      </c>
      <c r="I343" s="36" t="s">
        <v>630</v>
      </c>
      <c r="J343" s="36" t="s">
        <v>615</v>
      </c>
      <c r="K343">
        <v>17</v>
      </c>
      <c r="L343">
        <v>150</v>
      </c>
      <c r="M343">
        <v>2550</v>
      </c>
      <c r="N343">
        <v>2167.5</v>
      </c>
      <c r="O343">
        <v>382.5</v>
      </c>
      <c r="P343" s="11">
        <v>0.15</v>
      </c>
    </row>
    <row r="344" spans="1:16" x14ac:dyDescent="0.25">
      <c r="A344" s="36" t="s">
        <v>205</v>
      </c>
      <c r="B344" s="2">
        <v>45522</v>
      </c>
      <c r="C344" s="36" t="s">
        <v>50</v>
      </c>
      <c r="D344">
        <v>2024</v>
      </c>
      <c r="E344" s="36" t="s">
        <v>592</v>
      </c>
      <c r="F344" s="36" t="s">
        <v>40</v>
      </c>
      <c r="G344" s="36" t="s">
        <v>611</v>
      </c>
      <c r="H344" s="36" t="s">
        <v>616</v>
      </c>
      <c r="I344" s="36" t="s">
        <v>645</v>
      </c>
      <c r="J344" s="36" t="s">
        <v>618</v>
      </c>
      <c r="K344">
        <v>17</v>
      </c>
      <c r="L344">
        <v>300</v>
      </c>
      <c r="M344">
        <v>5100</v>
      </c>
      <c r="N344">
        <v>4080</v>
      </c>
      <c r="O344">
        <v>1020</v>
      </c>
      <c r="P344" s="11">
        <v>0.2</v>
      </c>
    </row>
    <row r="345" spans="1:16" x14ac:dyDescent="0.25">
      <c r="A345" s="36" t="s">
        <v>265</v>
      </c>
      <c r="B345" s="2">
        <v>45523</v>
      </c>
      <c r="C345" s="36" t="s">
        <v>55</v>
      </c>
      <c r="D345">
        <v>2024</v>
      </c>
      <c r="E345" s="36" t="s">
        <v>602</v>
      </c>
      <c r="F345" s="36" t="s">
        <v>42</v>
      </c>
      <c r="G345" s="36" t="s">
        <v>610</v>
      </c>
      <c r="H345" s="36" t="s">
        <v>620</v>
      </c>
      <c r="I345" s="36" t="s">
        <v>614</v>
      </c>
      <c r="J345" s="36" t="s">
        <v>615</v>
      </c>
      <c r="K345">
        <v>17</v>
      </c>
      <c r="L345">
        <v>45000</v>
      </c>
      <c r="M345">
        <v>765000</v>
      </c>
      <c r="N345">
        <v>459000</v>
      </c>
      <c r="O345">
        <v>306000</v>
      </c>
      <c r="P345" s="11">
        <v>0.4</v>
      </c>
    </row>
    <row r="346" spans="1:16" x14ac:dyDescent="0.25">
      <c r="A346" s="36" t="s">
        <v>532</v>
      </c>
      <c r="B346" s="2">
        <v>45523</v>
      </c>
      <c r="C346" s="36" t="s">
        <v>55</v>
      </c>
      <c r="D346">
        <v>2024</v>
      </c>
      <c r="E346" s="36" t="s">
        <v>601</v>
      </c>
      <c r="F346" s="36" t="s">
        <v>41</v>
      </c>
      <c r="G346" s="36" t="s">
        <v>612</v>
      </c>
      <c r="H346" s="36" t="s">
        <v>628</v>
      </c>
      <c r="I346" s="36" t="s">
        <v>619</v>
      </c>
      <c r="J346" s="36" t="s">
        <v>618</v>
      </c>
      <c r="K346">
        <v>5</v>
      </c>
      <c r="L346">
        <v>4000</v>
      </c>
      <c r="M346">
        <v>20000</v>
      </c>
      <c r="N346">
        <v>13600</v>
      </c>
      <c r="O346">
        <v>6400</v>
      </c>
      <c r="P346" s="11">
        <v>0.32</v>
      </c>
    </row>
    <row r="347" spans="1:16" x14ac:dyDescent="0.25">
      <c r="A347" s="36" t="s">
        <v>70</v>
      </c>
      <c r="B347" s="2">
        <v>45525</v>
      </c>
      <c r="C347" s="36" t="s">
        <v>59</v>
      </c>
      <c r="D347">
        <v>2024</v>
      </c>
      <c r="E347" s="36" t="s">
        <v>600</v>
      </c>
      <c r="F347" s="36" t="s">
        <v>39</v>
      </c>
      <c r="G347" s="36" t="s">
        <v>611</v>
      </c>
      <c r="H347" s="36" t="s">
        <v>621</v>
      </c>
      <c r="I347" s="36" t="s">
        <v>614</v>
      </c>
      <c r="J347" s="36" t="s">
        <v>615</v>
      </c>
      <c r="K347">
        <v>6</v>
      </c>
      <c r="L347">
        <v>9000</v>
      </c>
      <c r="M347">
        <v>54000</v>
      </c>
      <c r="N347">
        <v>33480</v>
      </c>
      <c r="O347">
        <v>20520</v>
      </c>
      <c r="P347" s="11">
        <v>0.38</v>
      </c>
    </row>
    <row r="348" spans="1:16" x14ac:dyDescent="0.25">
      <c r="A348" s="36" t="s">
        <v>499</v>
      </c>
      <c r="B348" s="2">
        <v>45525</v>
      </c>
      <c r="C348" s="36" t="s">
        <v>44</v>
      </c>
      <c r="D348">
        <v>2024</v>
      </c>
      <c r="E348" s="36" t="s">
        <v>592</v>
      </c>
      <c r="F348" s="36" t="s">
        <v>40</v>
      </c>
      <c r="G348" s="36" t="s">
        <v>612</v>
      </c>
      <c r="H348" s="36" t="s">
        <v>622</v>
      </c>
      <c r="I348" s="36" t="s">
        <v>645</v>
      </c>
      <c r="J348" s="36" t="s">
        <v>618</v>
      </c>
      <c r="K348">
        <v>12</v>
      </c>
      <c r="L348">
        <v>3500</v>
      </c>
      <c r="M348">
        <v>42000</v>
      </c>
      <c r="N348">
        <v>26040</v>
      </c>
      <c r="O348">
        <v>15960</v>
      </c>
      <c r="P348" s="11">
        <v>0.38</v>
      </c>
    </row>
    <row r="349" spans="1:16" x14ac:dyDescent="0.25">
      <c r="A349" s="36" t="s">
        <v>324</v>
      </c>
      <c r="B349" s="2">
        <v>45528</v>
      </c>
      <c r="C349" s="36" t="s">
        <v>46</v>
      </c>
      <c r="D349">
        <v>2024</v>
      </c>
      <c r="E349" s="36" t="s">
        <v>592</v>
      </c>
      <c r="F349" s="36" t="s">
        <v>40</v>
      </c>
      <c r="G349" s="36" t="s">
        <v>612</v>
      </c>
      <c r="H349" s="36" t="s">
        <v>616</v>
      </c>
      <c r="I349" s="36" t="s">
        <v>623</v>
      </c>
      <c r="J349" s="36" t="s">
        <v>615</v>
      </c>
      <c r="K349">
        <v>16</v>
      </c>
      <c r="L349">
        <v>1200</v>
      </c>
      <c r="M349">
        <v>19200</v>
      </c>
      <c r="N349">
        <v>15552</v>
      </c>
      <c r="O349">
        <v>3648</v>
      </c>
      <c r="P349" s="11">
        <v>0.19</v>
      </c>
    </row>
    <row r="350" spans="1:16" x14ac:dyDescent="0.25">
      <c r="A350" s="36" t="s">
        <v>246</v>
      </c>
      <c r="B350" s="2">
        <v>45529</v>
      </c>
      <c r="C350" s="36" t="s">
        <v>46</v>
      </c>
      <c r="D350">
        <v>2024</v>
      </c>
      <c r="E350" s="36" t="s">
        <v>601</v>
      </c>
      <c r="F350" s="36" t="s">
        <v>41</v>
      </c>
      <c r="G350" s="36" t="s">
        <v>612</v>
      </c>
      <c r="H350" s="36" t="s">
        <v>624</v>
      </c>
      <c r="I350" s="36" t="s">
        <v>630</v>
      </c>
      <c r="J350" s="36" t="s">
        <v>615</v>
      </c>
      <c r="K350">
        <v>15</v>
      </c>
      <c r="L350">
        <v>45000</v>
      </c>
      <c r="M350">
        <v>675000</v>
      </c>
      <c r="N350">
        <v>425250</v>
      </c>
      <c r="O350">
        <v>249750</v>
      </c>
      <c r="P350" s="11">
        <v>0.37</v>
      </c>
    </row>
    <row r="351" spans="1:16" x14ac:dyDescent="0.25">
      <c r="A351" s="36" t="s">
        <v>425</v>
      </c>
      <c r="B351" s="2">
        <v>45531</v>
      </c>
      <c r="C351" s="36" t="s">
        <v>53</v>
      </c>
      <c r="D351">
        <v>2024</v>
      </c>
      <c r="E351" s="36" t="s">
        <v>599</v>
      </c>
      <c r="F351" s="36" t="s">
        <v>39</v>
      </c>
      <c r="G351" s="36" t="s">
        <v>610</v>
      </c>
      <c r="H351" s="36" t="s">
        <v>626</v>
      </c>
      <c r="I351" s="36" t="s">
        <v>627</v>
      </c>
      <c r="J351" s="36" t="s">
        <v>615</v>
      </c>
      <c r="K351">
        <v>7</v>
      </c>
      <c r="L351">
        <v>50</v>
      </c>
      <c r="M351">
        <v>350</v>
      </c>
      <c r="N351">
        <v>294</v>
      </c>
      <c r="O351">
        <v>56</v>
      </c>
      <c r="P351" s="11">
        <v>0.16</v>
      </c>
    </row>
    <row r="352" spans="1:16" x14ac:dyDescent="0.25">
      <c r="A352" s="36" t="s">
        <v>183</v>
      </c>
      <c r="B352" s="2">
        <v>45532</v>
      </c>
      <c r="C352" s="36" t="s">
        <v>46</v>
      </c>
      <c r="D352">
        <v>2024</v>
      </c>
      <c r="E352" s="36" t="s">
        <v>597</v>
      </c>
      <c r="F352" s="36" t="s">
        <v>41</v>
      </c>
      <c r="G352" s="36" t="s">
        <v>608</v>
      </c>
      <c r="H352" s="36" t="s">
        <v>622</v>
      </c>
      <c r="I352" s="36" t="s">
        <v>627</v>
      </c>
      <c r="J352" s="36" t="s">
        <v>618</v>
      </c>
      <c r="K352">
        <v>11</v>
      </c>
      <c r="L352">
        <v>1200</v>
      </c>
      <c r="M352">
        <v>13200</v>
      </c>
      <c r="N352">
        <v>8184</v>
      </c>
      <c r="O352">
        <v>5016</v>
      </c>
      <c r="P352" s="11">
        <v>0.38</v>
      </c>
    </row>
    <row r="353" spans="1:16" x14ac:dyDescent="0.25">
      <c r="A353" s="36" t="s">
        <v>468</v>
      </c>
      <c r="B353" s="2">
        <v>45533</v>
      </c>
      <c r="C353" s="36" t="s">
        <v>59</v>
      </c>
      <c r="D353">
        <v>2024</v>
      </c>
      <c r="E353" s="36" t="s">
        <v>607</v>
      </c>
      <c r="F353" s="36" t="s">
        <v>42</v>
      </c>
      <c r="G353" s="36" t="s">
        <v>608</v>
      </c>
      <c r="H353" s="36" t="s">
        <v>621</v>
      </c>
      <c r="I353" s="36" t="s">
        <v>630</v>
      </c>
      <c r="J353" s="36" t="s">
        <v>618</v>
      </c>
      <c r="K353">
        <v>3</v>
      </c>
      <c r="L353">
        <v>20</v>
      </c>
      <c r="M353">
        <v>60</v>
      </c>
      <c r="N353">
        <v>49.8</v>
      </c>
      <c r="O353">
        <v>10.200000000000003</v>
      </c>
      <c r="P353" s="11">
        <v>0.17000000000000004</v>
      </c>
    </row>
    <row r="354" spans="1:16" x14ac:dyDescent="0.25">
      <c r="A354" s="36" t="s">
        <v>530</v>
      </c>
      <c r="B354" s="2">
        <v>45534</v>
      </c>
      <c r="C354" s="36" t="s">
        <v>53</v>
      </c>
      <c r="D354">
        <v>2024</v>
      </c>
      <c r="E354" s="36" t="s">
        <v>595</v>
      </c>
      <c r="F354" s="36" t="s">
        <v>39</v>
      </c>
      <c r="G354" s="36" t="s">
        <v>612</v>
      </c>
      <c r="H354" s="36" t="s">
        <v>613</v>
      </c>
      <c r="I354" s="36" t="s">
        <v>623</v>
      </c>
      <c r="J354" s="36" t="s">
        <v>618</v>
      </c>
      <c r="K354">
        <v>18</v>
      </c>
      <c r="L354">
        <v>50</v>
      </c>
      <c r="M354">
        <v>900</v>
      </c>
      <c r="N354">
        <v>594</v>
      </c>
      <c r="O354">
        <v>306</v>
      </c>
      <c r="P354" s="11">
        <v>0.34</v>
      </c>
    </row>
    <row r="355" spans="1:16" x14ac:dyDescent="0.25">
      <c r="A355" s="36" t="s">
        <v>556</v>
      </c>
      <c r="B355" s="2">
        <v>45534</v>
      </c>
      <c r="C355" s="36" t="s">
        <v>57</v>
      </c>
      <c r="D355">
        <v>2024</v>
      </c>
      <c r="E355" s="36" t="s">
        <v>592</v>
      </c>
      <c r="F355" s="36" t="s">
        <v>40</v>
      </c>
      <c r="G355" s="36" t="s">
        <v>609</v>
      </c>
      <c r="H355" s="36" t="s">
        <v>613</v>
      </c>
      <c r="I355" s="36" t="s">
        <v>645</v>
      </c>
      <c r="J355" s="36" t="s">
        <v>618</v>
      </c>
      <c r="K355">
        <v>10</v>
      </c>
      <c r="L355">
        <v>150</v>
      </c>
      <c r="M355">
        <v>1500</v>
      </c>
      <c r="N355">
        <v>1110</v>
      </c>
      <c r="O355">
        <v>390</v>
      </c>
      <c r="P355" s="11">
        <v>0.26</v>
      </c>
    </row>
    <row r="356" spans="1:16" x14ac:dyDescent="0.25">
      <c r="A356" s="36" t="s">
        <v>232</v>
      </c>
      <c r="B356" s="2">
        <v>45536</v>
      </c>
      <c r="C356" s="36" t="s">
        <v>46</v>
      </c>
      <c r="D356">
        <v>2024</v>
      </c>
      <c r="E356" s="36" t="s">
        <v>598</v>
      </c>
      <c r="F356" s="36" t="s">
        <v>40</v>
      </c>
      <c r="G356" s="36" t="s">
        <v>612</v>
      </c>
      <c r="H356" s="36" t="s">
        <v>616</v>
      </c>
      <c r="I356" s="36" t="s">
        <v>623</v>
      </c>
      <c r="J356" s="36" t="s">
        <v>615</v>
      </c>
      <c r="K356">
        <v>18</v>
      </c>
      <c r="L356">
        <v>8000</v>
      </c>
      <c r="M356">
        <v>144000</v>
      </c>
      <c r="N356">
        <v>105120</v>
      </c>
      <c r="O356">
        <v>38880</v>
      </c>
      <c r="P356" s="11">
        <v>0.27</v>
      </c>
    </row>
    <row r="357" spans="1:16" x14ac:dyDescent="0.25">
      <c r="A357" s="36" t="s">
        <v>424</v>
      </c>
      <c r="B357" s="2">
        <v>45536</v>
      </c>
      <c r="C357" s="36" t="s">
        <v>62</v>
      </c>
      <c r="D357">
        <v>2024</v>
      </c>
      <c r="E357" s="36" t="s">
        <v>598</v>
      </c>
      <c r="F357" s="36" t="s">
        <v>40</v>
      </c>
      <c r="G357" s="36" t="s">
        <v>608</v>
      </c>
      <c r="H357" s="36" t="s">
        <v>620</v>
      </c>
      <c r="I357" s="36" t="s">
        <v>619</v>
      </c>
      <c r="J357" s="36" t="s">
        <v>615</v>
      </c>
      <c r="K357">
        <v>15</v>
      </c>
      <c r="L357">
        <v>150</v>
      </c>
      <c r="M357">
        <v>2250</v>
      </c>
      <c r="N357">
        <v>1642.5</v>
      </c>
      <c r="O357">
        <v>607.5</v>
      </c>
      <c r="P357" s="11">
        <v>0.27</v>
      </c>
    </row>
    <row r="358" spans="1:16" x14ac:dyDescent="0.25">
      <c r="A358" s="36" t="s">
        <v>482</v>
      </c>
      <c r="B358" s="2">
        <v>45536</v>
      </c>
      <c r="C358" s="36" t="s">
        <v>50</v>
      </c>
      <c r="D358">
        <v>2024</v>
      </c>
      <c r="E358" s="36" t="s">
        <v>605</v>
      </c>
      <c r="F358" s="36" t="s">
        <v>40</v>
      </c>
      <c r="G358" s="36" t="s">
        <v>610</v>
      </c>
      <c r="H358" s="36" t="s">
        <v>613</v>
      </c>
      <c r="I358" s="36" t="s">
        <v>623</v>
      </c>
      <c r="J358" s="36" t="s">
        <v>615</v>
      </c>
      <c r="K358">
        <v>16</v>
      </c>
      <c r="L358">
        <v>1200</v>
      </c>
      <c r="M358">
        <v>19200</v>
      </c>
      <c r="N358">
        <v>15552</v>
      </c>
      <c r="O358">
        <v>3648</v>
      </c>
      <c r="P358" s="11">
        <v>0.19</v>
      </c>
    </row>
    <row r="359" spans="1:16" x14ac:dyDescent="0.25">
      <c r="A359" s="36" t="s">
        <v>305</v>
      </c>
      <c r="B359" s="2">
        <v>45538</v>
      </c>
      <c r="C359" s="36" t="s">
        <v>80</v>
      </c>
      <c r="D359">
        <v>2024</v>
      </c>
      <c r="E359" s="36" t="s">
        <v>594</v>
      </c>
      <c r="F359" s="36" t="s">
        <v>39</v>
      </c>
      <c r="G359" s="36" t="s">
        <v>608</v>
      </c>
      <c r="H359" s="36" t="s">
        <v>625</v>
      </c>
      <c r="I359" s="36" t="s">
        <v>627</v>
      </c>
      <c r="J359" s="36" t="s">
        <v>618</v>
      </c>
      <c r="K359">
        <v>4</v>
      </c>
      <c r="L359">
        <v>7000</v>
      </c>
      <c r="M359">
        <v>28000</v>
      </c>
      <c r="N359">
        <v>21280</v>
      </c>
      <c r="O359">
        <v>6720</v>
      </c>
      <c r="P359" s="11">
        <v>0.24</v>
      </c>
    </row>
    <row r="360" spans="1:16" x14ac:dyDescent="0.25">
      <c r="A360" s="36" t="s">
        <v>495</v>
      </c>
      <c r="B360" s="2">
        <v>45538</v>
      </c>
      <c r="C360" s="36" t="s">
        <v>83</v>
      </c>
      <c r="D360">
        <v>2024</v>
      </c>
      <c r="E360" s="36" t="s">
        <v>598</v>
      </c>
      <c r="F360" s="36" t="s">
        <v>40</v>
      </c>
      <c r="G360" s="36" t="s">
        <v>612</v>
      </c>
      <c r="H360" s="36" t="s">
        <v>626</v>
      </c>
      <c r="I360" s="36" t="s">
        <v>614</v>
      </c>
      <c r="J360" s="36" t="s">
        <v>618</v>
      </c>
      <c r="K360">
        <v>16</v>
      </c>
      <c r="L360">
        <v>3500</v>
      </c>
      <c r="M360">
        <v>56000</v>
      </c>
      <c r="N360">
        <v>38080</v>
      </c>
      <c r="O360">
        <v>17920</v>
      </c>
      <c r="P360" s="11">
        <v>0.32</v>
      </c>
    </row>
    <row r="361" spans="1:16" x14ac:dyDescent="0.25">
      <c r="A361" s="36" t="s">
        <v>579</v>
      </c>
      <c r="B361" s="2">
        <v>45538</v>
      </c>
      <c r="C361" s="36" t="s">
        <v>62</v>
      </c>
      <c r="D361">
        <v>2024</v>
      </c>
      <c r="E361" s="36" t="s">
        <v>601</v>
      </c>
      <c r="F361" s="36" t="s">
        <v>41</v>
      </c>
      <c r="G361" s="36" t="s">
        <v>610</v>
      </c>
      <c r="H361" s="36" t="s">
        <v>616</v>
      </c>
      <c r="I361" s="36" t="s">
        <v>645</v>
      </c>
      <c r="J361" s="36" t="s">
        <v>618</v>
      </c>
      <c r="K361">
        <v>12</v>
      </c>
      <c r="L361">
        <v>7000</v>
      </c>
      <c r="M361">
        <v>84000</v>
      </c>
      <c r="N361">
        <v>70560</v>
      </c>
      <c r="O361">
        <v>13440</v>
      </c>
      <c r="P361" s="11">
        <v>0.16</v>
      </c>
    </row>
    <row r="362" spans="1:16" x14ac:dyDescent="0.25">
      <c r="A362" s="36" t="s">
        <v>319</v>
      </c>
      <c r="B362" s="2">
        <v>45539</v>
      </c>
      <c r="C362" s="36" t="s">
        <v>80</v>
      </c>
      <c r="D362">
        <v>2024</v>
      </c>
      <c r="E362" s="36" t="s">
        <v>594</v>
      </c>
      <c r="F362" s="36" t="s">
        <v>39</v>
      </c>
      <c r="G362" s="36" t="s">
        <v>612</v>
      </c>
      <c r="H362" s="36" t="s">
        <v>613</v>
      </c>
      <c r="I362" s="36" t="s">
        <v>617</v>
      </c>
      <c r="J362" s="36" t="s">
        <v>618</v>
      </c>
      <c r="K362">
        <v>7</v>
      </c>
      <c r="L362">
        <v>55000</v>
      </c>
      <c r="M362">
        <v>385000</v>
      </c>
      <c r="N362">
        <v>308000</v>
      </c>
      <c r="O362">
        <v>77000</v>
      </c>
      <c r="P362" s="11">
        <v>0.2</v>
      </c>
    </row>
    <row r="363" spans="1:16" x14ac:dyDescent="0.25">
      <c r="A363" s="36" t="s">
        <v>459</v>
      </c>
      <c r="B363" s="2">
        <v>45539</v>
      </c>
      <c r="C363" s="36" t="s">
        <v>44</v>
      </c>
      <c r="D363">
        <v>2024</v>
      </c>
      <c r="E363" s="36" t="s">
        <v>601</v>
      </c>
      <c r="F363" s="36" t="s">
        <v>41</v>
      </c>
      <c r="G363" s="36" t="s">
        <v>610</v>
      </c>
      <c r="H363" s="36" t="s">
        <v>624</v>
      </c>
      <c r="I363" s="36" t="s">
        <v>617</v>
      </c>
      <c r="J363" s="36" t="s">
        <v>618</v>
      </c>
      <c r="K363">
        <v>15</v>
      </c>
      <c r="L363">
        <v>12000</v>
      </c>
      <c r="M363">
        <v>180000</v>
      </c>
      <c r="N363">
        <v>120600</v>
      </c>
      <c r="O363">
        <v>59400</v>
      </c>
      <c r="P363" s="11">
        <v>0.33</v>
      </c>
    </row>
    <row r="364" spans="1:16" x14ac:dyDescent="0.25">
      <c r="A364" s="36" t="s">
        <v>75</v>
      </c>
      <c r="B364" s="2">
        <v>45540</v>
      </c>
      <c r="C364" s="36" t="s">
        <v>59</v>
      </c>
      <c r="D364">
        <v>2024</v>
      </c>
      <c r="E364" s="36" t="s">
        <v>603</v>
      </c>
      <c r="F364" s="36" t="s">
        <v>42</v>
      </c>
      <c r="G364" s="36" t="s">
        <v>609</v>
      </c>
      <c r="H364" s="36" t="s">
        <v>628</v>
      </c>
      <c r="I364" s="36" t="s">
        <v>623</v>
      </c>
      <c r="J364" s="36" t="s">
        <v>615</v>
      </c>
      <c r="K364">
        <v>9</v>
      </c>
      <c r="L364">
        <v>12000</v>
      </c>
      <c r="M364">
        <v>108000</v>
      </c>
      <c r="N364">
        <v>64800</v>
      </c>
      <c r="O364">
        <v>43200</v>
      </c>
      <c r="P364" s="11">
        <v>0.4</v>
      </c>
    </row>
    <row r="365" spans="1:16" x14ac:dyDescent="0.25">
      <c r="A365" s="36" t="s">
        <v>198</v>
      </c>
      <c r="B365" s="2">
        <v>45541</v>
      </c>
      <c r="C365" s="36" t="s">
        <v>80</v>
      </c>
      <c r="D365">
        <v>2024</v>
      </c>
      <c r="E365" s="36" t="s">
        <v>592</v>
      </c>
      <c r="F365" s="36" t="s">
        <v>40</v>
      </c>
      <c r="G365" s="36" t="s">
        <v>608</v>
      </c>
      <c r="H365" s="36" t="s">
        <v>624</v>
      </c>
      <c r="I365" s="36" t="s">
        <v>617</v>
      </c>
      <c r="J365" s="36" t="s">
        <v>615</v>
      </c>
      <c r="K365">
        <v>4</v>
      </c>
      <c r="L365">
        <v>150</v>
      </c>
      <c r="M365">
        <v>600</v>
      </c>
      <c r="N365">
        <v>432</v>
      </c>
      <c r="O365">
        <v>168</v>
      </c>
      <c r="P365" s="11">
        <v>0.28000000000000003</v>
      </c>
    </row>
    <row r="366" spans="1:16" x14ac:dyDescent="0.25">
      <c r="A366" s="36" t="s">
        <v>325</v>
      </c>
      <c r="B366" s="2">
        <v>45541</v>
      </c>
      <c r="C366" s="36" t="s">
        <v>80</v>
      </c>
      <c r="D366">
        <v>2024</v>
      </c>
      <c r="E366" s="36" t="s">
        <v>597</v>
      </c>
      <c r="F366" s="36" t="s">
        <v>41</v>
      </c>
      <c r="G366" s="36" t="s">
        <v>611</v>
      </c>
      <c r="H366" s="36" t="s">
        <v>621</v>
      </c>
      <c r="I366" s="36" t="s">
        <v>630</v>
      </c>
      <c r="J366" s="36" t="s">
        <v>615</v>
      </c>
      <c r="K366">
        <v>20</v>
      </c>
      <c r="L366">
        <v>3500</v>
      </c>
      <c r="M366">
        <v>70000</v>
      </c>
      <c r="N366">
        <v>51100</v>
      </c>
      <c r="O366">
        <v>18900</v>
      </c>
      <c r="P366" s="11">
        <v>0.27</v>
      </c>
    </row>
    <row r="367" spans="1:16" x14ac:dyDescent="0.25">
      <c r="A367" s="36" t="s">
        <v>568</v>
      </c>
      <c r="B367" s="2">
        <v>45541</v>
      </c>
      <c r="C367" s="36" t="s">
        <v>62</v>
      </c>
      <c r="D367">
        <v>2024</v>
      </c>
      <c r="E367" s="36" t="s">
        <v>599</v>
      </c>
      <c r="F367" s="36" t="s">
        <v>39</v>
      </c>
      <c r="G367" s="36" t="s">
        <v>611</v>
      </c>
      <c r="H367" s="36" t="s">
        <v>626</v>
      </c>
      <c r="I367" s="36" t="s">
        <v>630</v>
      </c>
      <c r="J367" s="36" t="s">
        <v>615</v>
      </c>
      <c r="K367">
        <v>7</v>
      </c>
      <c r="L367">
        <v>300</v>
      </c>
      <c r="M367">
        <v>2100</v>
      </c>
      <c r="N367">
        <v>1743</v>
      </c>
      <c r="O367">
        <v>357</v>
      </c>
      <c r="P367" s="11">
        <v>0.17</v>
      </c>
    </row>
    <row r="368" spans="1:16" x14ac:dyDescent="0.25">
      <c r="A368" s="36" t="s">
        <v>578</v>
      </c>
      <c r="B368" s="2">
        <v>45541</v>
      </c>
      <c r="C368" s="36" t="s">
        <v>80</v>
      </c>
      <c r="D368">
        <v>2024</v>
      </c>
      <c r="E368" s="36" t="s">
        <v>594</v>
      </c>
      <c r="F368" s="36" t="s">
        <v>39</v>
      </c>
      <c r="G368" s="36" t="s">
        <v>608</v>
      </c>
      <c r="H368" s="36" t="s">
        <v>624</v>
      </c>
      <c r="I368" s="36" t="s">
        <v>614</v>
      </c>
      <c r="J368" s="36" t="s">
        <v>618</v>
      </c>
      <c r="K368">
        <v>11</v>
      </c>
      <c r="L368">
        <v>15000</v>
      </c>
      <c r="M368">
        <v>165000</v>
      </c>
      <c r="N368">
        <v>120450</v>
      </c>
      <c r="O368">
        <v>44550</v>
      </c>
      <c r="P368" s="11">
        <v>0.27</v>
      </c>
    </row>
    <row r="369" spans="1:16" x14ac:dyDescent="0.25">
      <c r="A369" s="36" t="s">
        <v>270</v>
      </c>
      <c r="B369" s="2">
        <v>45542</v>
      </c>
      <c r="C369" s="36" t="s">
        <v>55</v>
      </c>
      <c r="D369">
        <v>2024</v>
      </c>
      <c r="E369" s="36" t="s">
        <v>603</v>
      </c>
      <c r="F369" s="36" t="s">
        <v>42</v>
      </c>
      <c r="G369" s="36" t="s">
        <v>612</v>
      </c>
      <c r="H369" s="36" t="s">
        <v>621</v>
      </c>
      <c r="I369" s="36" t="s">
        <v>614</v>
      </c>
      <c r="J369" s="36" t="s">
        <v>618</v>
      </c>
      <c r="K369">
        <v>11</v>
      </c>
      <c r="L369">
        <v>8000</v>
      </c>
      <c r="M369">
        <v>88000</v>
      </c>
      <c r="N369">
        <v>76560</v>
      </c>
      <c r="O369">
        <v>11440</v>
      </c>
      <c r="P369" s="11">
        <v>0.13</v>
      </c>
    </row>
    <row r="370" spans="1:16" x14ac:dyDescent="0.25">
      <c r="A370" s="36" t="s">
        <v>114</v>
      </c>
      <c r="B370" s="2">
        <v>45544</v>
      </c>
      <c r="C370" s="36" t="s">
        <v>46</v>
      </c>
      <c r="D370">
        <v>2024</v>
      </c>
      <c r="E370" s="36" t="s">
        <v>594</v>
      </c>
      <c r="F370" s="36" t="s">
        <v>39</v>
      </c>
      <c r="G370" s="36" t="s">
        <v>609</v>
      </c>
      <c r="H370" s="36" t="s">
        <v>620</v>
      </c>
      <c r="I370" s="36" t="s">
        <v>627</v>
      </c>
      <c r="J370" s="36" t="s">
        <v>615</v>
      </c>
      <c r="K370">
        <v>2</v>
      </c>
      <c r="L370">
        <v>45000</v>
      </c>
      <c r="M370">
        <v>90000</v>
      </c>
      <c r="N370">
        <v>71100</v>
      </c>
      <c r="O370">
        <v>18900</v>
      </c>
      <c r="P370" s="11">
        <v>0.21</v>
      </c>
    </row>
    <row r="371" spans="1:16" x14ac:dyDescent="0.25">
      <c r="A371" s="36" t="s">
        <v>266</v>
      </c>
      <c r="B371" s="2">
        <v>45545</v>
      </c>
      <c r="C371" s="36" t="s">
        <v>53</v>
      </c>
      <c r="D371">
        <v>2024</v>
      </c>
      <c r="E371" s="36" t="s">
        <v>598</v>
      </c>
      <c r="F371" s="36" t="s">
        <v>40</v>
      </c>
      <c r="G371" s="36" t="s">
        <v>608</v>
      </c>
      <c r="H371" s="36" t="s">
        <v>624</v>
      </c>
      <c r="I371" s="36" t="s">
        <v>623</v>
      </c>
      <c r="J371" s="36" t="s">
        <v>615</v>
      </c>
      <c r="K371">
        <v>14</v>
      </c>
      <c r="L371">
        <v>3500</v>
      </c>
      <c r="M371">
        <v>49000</v>
      </c>
      <c r="N371">
        <v>41650</v>
      </c>
      <c r="O371">
        <v>7350</v>
      </c>
      <c r="P371" s="11">
        <v>0.15</v>
      </c>
    </row>
    <row r="372" spans="1:16" x14ac:dyDescent="0.25">
      <c r="A372" s="36" t="s">
        <v>97</v>
      </c>
      <c r="B372" s="2">
        <v>45546</v>
      </c>
      <c r="C372" s="36" t="s">
        <v>50</v>
      </c>
      <c r="D372">
        <v>2024</v>
      </c>
      <c r="E372" s="36" t="s">
        <v>601</v>
      </c>
      <c r="F372" s="36" t="s">
        <v>41</v>
      </c>
      <c r="G372" s="36" t="s">
        <v>608</v>
      </c>
      <c r="H372" s="36" t="s">
        <v>628</v>
      </c>
      <c r="I372" s="36" t="s">
        <v>645</v>
      </c>
      <c r="J372" s="36" t="s">
        <v>615</v>
      </c>
      <c r="K372">
        <v>17</v>
      </c>
      <c r="L372">
        <v>45000</v>
      </c>
      <c r="M372">
        <v>765000</v>
      </c>
      <c r="N372">
        <v>466650</v>
      </c>
      <c r="O372">
        <v>298350</v>
      </c>
      <c r="P372" s="11">
        <v>0.39</v>
      </c>
    </row>
    <row r="373" spans="1:16" x14ac:dyDescent="0.25">
      <c r="A373" s="36" t="s">
        <v>218</v>
      </c>
      <c r="B373" s="2">
        <v>45546</v>
      </c>
      <c r="C373" s="36" t="s">
        <v>48</v>
      </c>
      <c r="D373">
        <v>2024</v>
      </c>
      <c r="E373" s="36" t="s">
        <v>599</v>
      </c>
      <c r="F373" s="36" t="s">
        <v>39</v>
      </c>
      <c r="G373" s="36" t="s">
        <v>609</v>
      </c>
      <c r="H373" s="36" t="s">
        <v>620</v>
      </c>
      <c r="I373" s="36" t="s">
        <v>645</v>
      </c>
      <c r="J373" s="36" t="s">
        <v>618</v>
      </c>
      <c r="K373">
        <v>3</v>
      </c>
      <c r="L373">
        <v>15000</v>
      </c>
      <c r="M373">
        <v>45000</v>
      </c>
      <c r="N373">
        <v>32850</v>
      </c>
      <c r="O373">
        <v>12150</v>
      </c>
      <c r="P373" s="11">
        <v>0.27</v>
      </c>
    </row>
    <row r="374" spans="1:16" x14ac:dyDescent="0.25">
      <c r="A374" s="36" t="s">
        <v>416</v>
      </c>
      <c r="B374" s="2">
        <v>45546</v>
      </c>
      <c r="C374" s="36" t="s">
        <v>83</v>
      </c>
      <c r="D374">
        <v>2024</v>
      </c>
      <c r="E374" s="36" t="s">
        <v>607</v>
      </c>
      <c r="F374" s="36" t="s">
        <v>42</v>
      </c>
      <c r="G374" s="36" t="s">
        <v>609</v>
      </c>
      <c r="H374" s="36" t="s">
        <v>624</v>
      </c>
      <c r="I374" s="36" t="s">
        <v>630</v>
      </c>
      <c r="J374" s="36" t="s">
        <v>615</v>
      </c>
      <c r="K374">
        <v>9</v>
      </c>
      <c r="L374">
        <v>45000</v>
      </c>
      <c r="M374">
        <v>405000</v>
      </c>
      <c r="N374">
        <v>303750</v>
      </c>
      <c r="O374">
        <v>101250</v>
      </c>
      <c r="P374" s="11">
        <v>0.25</v>
      </c>
    </row>
    <row r="375" spans="1:16" x14ac:dyDescent="0.25">
      <c r="A375" s="36" t="s">
        <v>450</v>
      </c>
      <c r="B375" s="2">
        <v>45547</v>
      </c>
      <c r="C375" s="36" t="s">
        <v>55</v>
      </c>
      <c r="D375">
        <v>2024</v>
      </c>
      <c r="E375" s="36" t="s">
        <v>597</v>
      </c>
      <c r="F375" s="36" t="s">
        <v>41</v>
      </c>
      <c r="G375" s="36" t="s">
        <v>608</v>
      </c>
      <c r="H375" s="36" t="s">
        <v>624</v>
      </c>
      <c r="I375" s="36" t="s">
        <v>614</v>
      </c>
      <c r="J375" s="36" t="s">
        <v>618</v>
      </c>
      <c r="K375">
        <v>9</v>
      </c>
      <c r="L375">
        <v>20</v>
      </c>
      <c r="M375">
        <v>180</v>
      </c>
      <c r="N375">
        <v>109.8</v>
      </c>
      <c r="O375">
        <v>70.2</v>
      </c>
      <c r="P375" s="11">
        <v>0.39</v>
      </c>
    </row>
    <row r="376" spans="1:16" x14ac:dyDescent="0.25">
      <c r="A376" s="36" t="s">
        <v>576</v>
      </c>
      <c r="B376" s="2">
        <v>45547</v>
      </c>
      <c r="C376" s="36" t="s">
        <v>83</v>
      </c>
      <c r="D376">
        <v>2024</v>
      </c>
      <c r="E376" s="36" t="s">
        <v>592</v>
      </c>
      <c r="F376" s="36" t="s">
        <v>40</v>
      </c>
      <c r="G376" s="36" t="s">
        <v>611</v>
      </c>
      <c r="H376" s="36" t="s">
        <v>621</v>
      </c>
      <c r="I376" s="36" t="s">
        <v>630</v>
      </c>
      <c r="J376" s="36" t="s">
        <v>618</v>
      </c>
      <c r="K376">
        <v>8</v>
      </c>
      <c r="L376">
        <v>4000</v>
      </c>
      <c r="M376">
        <v>32000</v>
      </c>
      <c r="N376">
        <v>24960</v>
      </c>
      <c r="O376">
        <v>7040</v>
      </c>
      <c r="P376" s="11">
        <v>0.22</v>
      </c>
    </row>
    <row r="377" spans="1:16" x14ac:dyDescent="0.25">
      <c r="A377" s="36" t="s">
        <v>107</v>
      </c>
      <c r="B377" s="2">
        <v>45548</v>
      </c>
      <c r="C377" s="36" t="s">
        <v>59</v>
      </c>
      <c r="D377">
        <v>2024</v>
      </c>
      <c r="E377" s="36" t="s">
        <v>603</v>
      </c>
      <c r="F377" s="36" t="s">
        <v>42</v>
      </c>
      <c r="G377" s="36" t="s">
        <v>611</v>
      </c>
      <c r="H377" s="36" t="s">
        <v>629</v>
      </c>
      <c r="I377" s="36" t="s">
        <v>619</v>
      </c>
      <c r="J377" s="36" t="s">
        <v>615</v>
      </c>
      <c r="K377">
        <v>16</v>
      </c>
      <c r="L377">
        <v>20</v>
      </c>
      <c r="M377">
        <v>320</v>
      </c>
      <c r="N377">
        <v>224</v>
      </c>
      <c r="O377">
        <v>96</v>
      </c>
      <c r="P377" s="11">
        <v>0.3</v>
      </c>
    </row>
    <row r="378" spans="1:16" x14ac:dyDescent="0.25">
      <c r="A378" s="36" t="s">
        <v>379</v>
      </c>
      <c r="B378" s="2">
        <v>45548</v>
      </c>
      <c r="C378" s="36" t="s">
        <v>80</v>
      </c>
      <c r="D378">
        <v>2024</v>
      </c>
      <c r="E378" s="36" t="s">
        <v>606</v>
      </c>
      <c r="F378" s="36" t="s">
        <v>40</v>
      </c>
      <c r="G378" s="36" t="s">
        <v>612</v>
      </c>
      <c r="H378" s="36" t="s">
        <v>624</v>
      </c>
      <c r="I378" s="36" t="s">
        <v>645</v>
      </c>
      <c r="J378" s="36" t="s">
        <v>615</v>
      </c>
      <c r="K378">
        <v>5</v>
      </c>
      <c r="L378">
        <v>50</v>
      </c>
      <c r="M378">
        <v>250</v>
      </c>
      <c r="N378">
        <v>187.5</v>
      </c>
      <c r="O378">
        <v>62.5</v>
      </c>
      <c r="P378" s="11">
        <v>0.25</v>
      </c>
    </row>
    <row r="379" spans="1:16" x14ac:dyDescent="0.25">
      <c r="A379" s="36" t="s">
        <v>518</v>
      </c>
      <c r="B379" s="2">
        <v>45548</v>
      </c>
      <c r="C379" s="36" t="s">
        <v>62</v>
      </c>
      <c r="D379">
        <v>2024</v>
      </c>
      <c r="E379" s="36" t="s">
        <v>594</v>
      </c>
      <c r="F379" s="36" t="s">
        <v>39</v>
      </c>
      <c r="G379" s="36" t="s">
        <v>608</v>
      </c>
      <c r="H379" s="36" t="s">
        <v>613</v>
      </c>
      <c r="I379" s="36" t="s">
        <v>645</v>
      </c>
      <c r="J379" s="36" t="s">
        <v>618</v>
      </c>
      <c r="K379">
        <v>9</v>
      </c>
      <c r="L379">
        <v>45000</v>
      </c>
      <c r="M379">
        <v>405000</v>
      </c>
      <c r="N379">
        <v>275400</v>
      </c>
      <c r="O379">
        <v>129600</v>
      </c>
      <c r="P379" s="11">
        <v>0.32</v>
      </c>
    </row>
    <row r="380" spans="1:16" x14ac:dyDescent="0.25">
      <c r="A380" s="36" t="s">
        <v>365</v>
      </c>
      <c r="B380" s="2">
        <v>45549</v>
      </c>
      <c r="C380" s="36" t="s">
        <v>55</v>
      </c>
      <c r="D380">
        <v>2024</v>
      </c>
      <c r="E380" s="36" t="s">
        <v>604</v>
      </c>
      <c r="F380" s="36" t="s">
        <v>41</v>
      </c>
      <c r="G380" s="36" t="s">
        <v>610</v>
      </c>
      <c r="H380" s="36" t="s">
        <v>626</v>
      </c>
      <c r="I380" s="36" t="s">
        <v>630</v>
      </c>
      <c r="J380" s="36" t="s">
        <v>615</v>
      </c>
      <c r="K380">
        <v>2</v>
      </c>
      <c r="L380">
        <v>4000</v>
      </c>
      <c r="M380">
        <v>8000</v>
      </c>
      <c r="N380">
        <v>5040</v>
      </c>
      <c r="O380">
        <v>2960</v>
      </c>
      <c r="P380" s="11">
        <v>0.37</v>
      </c>
    </row>
    <row r="381" spans="1:16" x14ac:dyDescent="0.25">
      <c r="A381" s="36" t="s">
        <v>405</v>
      </c>
      <c r="B381" s="2">
        <v>45549</v>
      </c>
      <c r="C381" s="36" t="s">
        <v>83</v>
      </c>
      <c r="D381">
        <v>2024</v>
      </c>
      <c r="E381" s="36" t="s">
        <v>599</v>
      </c>
      <c r="F381" s="36" t="s">
        <v>39</v>
      </c>
      <c r="G381" s="36" t="s">
        <v>612</v>
      </c>
      <c r="H381" s="36" t="s">
        <v>625</v>
      </c>
      <c r="I381" s="36" t="s">
        <v>623</v>
      </c>
      <c r="J381" s="36" t="s">
        <v>618</v>
      </c>
      <c r="K381">
        <v>16</v>
      </c>
      <c r="L381">
        <v>8000</v>
      </c>
      <c r="M381">
        <v>128000</v>
      </c>
      <c r="N381">
        <v>90880</v>
      </c>
      <c r="O381">
        <v>37120</v>
      </c>
      <c r="P381" s="11">
        <v>0.28999999999999998</v>
      </c>
    </row>
    <row r="382" spans="1:16" x14ac:dyDescent="0.25">
      <c r="A382" s="36" t="s">
        <v>445</v>
      </c>
      <c r="B382" s="2">
        <v>45549</v>
      </c>
      <c r="C382" s="36" t="s">
        <v>44</v>
      </c>
      <c r="D382">
        <v>2024</v>
      </c>
      <c r="E382" s="36" t="s">
        <v>597</v>
      </c>
      <c r="F382" s="36" t="s">
        <v>41</v>
      </c>
      <c r="G382" s="36" t="s">
        <v>610</v>
      </c>
      <c r="H382" s="36" t="s">
        <v>616</v>
      </c>
      <c r="I382" s="36" t="s">
        <v>617</v>
      </c>
      <c r="J382" s="36" t="s">
        <v>618</v>
      </c>
      <c r="K382">
        <v>17</v>
      </c>
      <c r="L382">
        <v>4000</v>
      </c>
      <c r="M382">
        <v>68000</v>
      </c>
      <c r="N382">
        <v>42160</v>
      </c>
      <c r="O382">
        <v>25840</v>
      </c>
      <c r="P382" s="11">
        <v>0.38</v>
      </c>
    </row>
    <row r="383" spans="1:16" x14ac:dyDescent="0.25">
      <c r="A383" s="36" t="s">
        <v>238</v>
      </c>
      <c r="B383" s="2">
        <v>45550</v>
      </c>
      <c r="C383" s="36" t="s">
        <v>80</v>
      </c>
      <c r="D383">
        <v>2024</v>
      </c>
      <c r="E383" s="36" t="s">
        <v>600</v>
      </c>
      <c r="F383" s="36" t="s">
        <v>39</v>
      </c>
      <c r="G383" s="36" t="s">
        <v>608</v>
      </c>
      <c r="H383" s="36" t="s">
        <v>620</v>
      </c>
      <c r="I383" s="36" t="s">
        <v>623</v>
      </c>
      <c r="J383" s="36" t="s">
        <v>615</v>
      </c>
      <c r="K383">
        <v>9</v>
      </c>
      <c r="L383">
        <v>1200</v>
      </c>
      <c r="M383">
        <v>10800</v>
      </c>
      <c r="N383">
        <v>8208</v>
      </c>
      <c r="O383">
        <v>2592</v>
      </c>
      <c r="P383" s="11">
        <v>0.24</v>
      </c>
    </row>
    <row r="384" spans="1:16" x14ac:dyDescent="0.25">
      <c r="A384" s="36" t="s">
        <v>282</v>
      </c>
      <c r="B384" s="2">
        <v>45550</v>
      </c>
      <c r="C384" s="36" t="s">
        <v>50</v>
      </c>
      <c r="D384">
        <v>2024</v>
      </c>
      <c r="E384" s="36" t="s">
        <v>603</v>
      </c>
      <c r="F384" s="36" t="s">
        <v>42</v>
      </c>
      <c r="G384" s="36" t="s">
        <v>608</v>
      </c>
      <c r="H384" s="36" t="s">
        <v>622</v>
      </c>
      <c r="I384" s="36" t="s">
        <v>645</v>
      </c>
      <c r="J384" s="36" t="s">
        <v>615</v>
      </c>
      <c r="K384">
        <v>18</v>
      </c>
      <c r="L384">
        <v>45000</v>
      </c>
      <c r="M384">
        <v>810000</v>
      </c>
      <c r="N384">
        <v>639900</v>
      </c>
      <c r="O384">
        <v>170100</v>
      </c>
      <c r="P384" s="11">
        <v>0.21</v>
      </c>
    </row>
    <row r="385" spans="1:16" x14ac:dyDescent="0.25">
      <c r="A385" s="36" t="s">
        <v>261</v>
      </c>
      <c r="B385" s="2">
        <v>45551</v>
      </c>
      <c r="C385" s="36" t="s">
        <v>59</v>
      </c>
      <c r="D385">
        <v>2024</v>
      </c>
      <c r="E385" s="36" t="s">
        <v>603</v>
      </c>
      <c r="F385" s="36" t="s">
        <v>42</v>
      </c>
      <c r="G385" s="36" t="s">
        <v>609</v>
      </c>
      <c r="H385" s="36" t="s">
        <v>620</v>
      </c>
      <c r="I385" s="36" t="s">
        <v>627</v>
      </c>
      <c r="J385" s="36" t="s">
        <v>615</v>
      </c>
      <c r="K385">
        <v>11</v>
      </c>
      <c r="L385">
        <v>3500</v>
      </c>
      <c r="M385">
        <v>38500</v>
      </c>
      <c r="N385">
        <v>28490</v>
      </c>
      <c r="O385">
        <v>10010</v>
      </c>
      <c r="P385" s="11">
        <v>0.26</v>
      </c>
    </row>
    <row r="386" spans="1:16" x14ac:dyDescent="0.25">
      <c r="A386" s="36" t="s">
        <v>371</v>
      </c>
      <c r="B386" s="2">
        <v>45551</v>
      </c>
      <c r="C386" s="36" t="s">
        <v>53</v>
      </c>
      <c r="D386">
        <v>2024</v>
      </c>
      <c r="E386" s="36" t="s">
        <v>600</v>
      </c>
      <c r="F386" s="36" t="s">
        <v>39</v>
      </c>
      <c r="G386" s="36" t="s">
        <v>608</v>
      </c>
      <c r="H386" s="36" t="s">
        <v>621</v>
      </c>
      <c r="I386" s="36" t="s">
        <v>645</v>
      </c>
      <c r="J386" s="36" t="s">
        <v>618</v>
      </c>
      <c r="K386">
        <v>9</v>
      </c>
      <c r="L386">
        <v>45000</v>
      </c>
      <c r="M386">
        <v>405000</v>
      </c>
      <c r="N386">
        <v>259200</v>
      </c>
      <c r="O386">
        <v>145800</v>
      </c>
      <c r="P386" s="11">
        <v>0.36</v>
      </c>
    </row>
    <row r="387" spans="1:16" x14ac:dyDescent="0.25">
      <c r="A387" s="36" t="s">
        <v>548</v>
      </c>
      <c r="B387" s="2">
        <v>45551</v>
      </c>
      <c r="C387" s="36" t="s">
        <v>57</v>
      </c>
      <c r="D387">
        <v>2024</v>
      </c>
      <c r="E387" s="36" t="s">
        <v>593</v>
      </c>
      <c r="F387" s="36" t="s">
        <v>41</v>
      </c>
      <c r="G387" s="36" t="s">
        <v>611</v>
      </c>
      <c r="H387" s="36" t="s">
        <v>622</v>
      </c>
      <c r="I387" s="36" t="s">
        <v>645</v>
      </c>
      <c r="J387" s="36" t="s">
        <v>618</v>
      </c>
      <c r="K387">
        <v>18</v>
      </c>
      <c r="L387">
        <v>8000</v>
      </c>
      <c r="M387">
        <v>144000</v>
      </c>
      <c r="N387">
        <v>99360</v>
      </c>
      <c r="O387">
        <v>44640</v>
      </c>
      <c r="P387" s="11">
        <v>0.31</v>
      </c>
    </row>
    <row r="388" spans="1:16" x14ac:dyDescent="0.25">
      <c r="A388" s="36" t="s">
        <v>210</v>
      </c>
      <c r="B388" s="2">
        <v>45552</v>
      </c>
      <c r="C388" s="36" t="s">
        <v>44</v>
      </c>
      <c r="D388">
        <v>2024</v>
      </c>
      <c r="E388" s="36" t="s">
        <v>604</v>
      </c>
      <c r="F388" s="36" t="s">
        <v>41</v>
      </c>
      <c r="G388" s="36" t="s">
        <v>611</v>
      </c>
      <c r="H388" s="36" t="s">
        <v>621</v>
      </c>
      <c r="I388" s="36" t="s">
        <v>630</v>
      </c>
      <c r="J388" s="36" t="s">
        <v>618</v>
      </c>
      <c r="K388">
        <v>20</v>
      </c>
      <c r="L388">
        <v>700</v>
      </c>
      <c r="M388">
        <v>14000</v>
      </c>
      <c r="N388">
        <v>12320</v>
      </c>
      <c r="O388">
        <v>1680</v>
      </c>
      <c r="P388" s="11">
        <v>0.12</v>
      </c>
    </row>
    <row r="389" spans="1:16" x14ac:dyDescent="0.25">
      <c r="A389" s="36" t="s">
        <v>448</v>
      </c>
      <c r="B389" s="2">
        <v>45552</v>
      </c>
      <c r="C389" s="36" t="s">
        <v>55</v>
      </c>
      <c r="D389">
        <v>2024</v>
      </c>
      <c r="E389" s="36" t="s">
        <v>602</v>
      </c>
      <c r="F389" s="36" t="s">
        <v>42</v>
      </c>
      <c r="G389" s="36" t="s">
        <v>610</v>
      </c>
      <c r="H389" s="36" t="s">
        <v>621</v>
      </c>
      <c r="I389" s="36" t="s">
        <v>630</v>
      </c>
      <c r="J389" s="36" t="s">
        <v>615</v>
      </c>
      <c r="K389">
        <v>18</v>
      </c>
      <c r="L389">
        <v>25000</v>
      </c>
      <c r="M389">
        <v>450000</v>
      </c>
      <c r="N389">
        <v>288000</v>
      </c>
      <c r="O389">
        <v>162000</v>
      </c>
      <c r="P389" s="11">
        <v>0.36</v>
      </c>
    </row>
    <row r="390" spans="1:16" x14ac:dyDescent="0.25">
      <c r="A390" s="36" t="s">
        <v>550</v>
      </c>
      <c r="B390" s="2">
        <v>45552</v>
      </c>
      <c r="C390" s="36" t="s">
        <v>83</v>
      </c>
      <c r="D390">
        <v>2024</v>
      </c>
      <c r="E390" s="36" t="s">
        <v>599</v>
      </c>
      <c r="F390" s="36" t="s">
        <v>39</v>
      </c>
      <c r="G390" s="36" t="s">
        <v>612</v>
      </c>
      <c r="H390" s="36" t="s">
        <v>622</v>
      </c>
      <c r="I390" s="36" t="s">
        <v>614</v>
      </c>
      <c r="J390" s="36" t="s">
        <v>615</v>
      </c>
      <c r="K390">
        <v>17</v>
      </c>
      <c r="L390">
        <v>55000</v>
      </c>
      <c r="M390">
        <v>935000</v>
      </c>
      <c r="N390">
        <v>673200</v>
      </c>
      <c r="O390">
        <v>261800</v>
      </c>
      <c r="P390" s="11">
        <v>0.28000000000000003</v>
      </c>
    </row>
    <row r="391" spans="1:16" x14ac:dyDescent="0.25">
      <c r="A391" s="36" t="s">
        <v>162</v>
      </c>
      <c r="B391" s="2">
        <v>45553</v>
      </c>
      <c r="C391" s="36" t="s">
        <v>55</v>
      </c>
      <c r="D391">
        <v>2024</v>
      </c>
      <c r="E391" s="36" t="s">
        <v>593</v>
      </c>
      <c r="F391" s="36" t="s">
        <v>41</v>
      </c>
      <c r="G391" s="36" t="s">
        <v>609</v>
      </c>
      <c r="H391" s="36" t="s">
        <v>626</v>
      </c>
      <c r="I391" s="36" t="s">
        <v>623</v>
      </c>
      <c r="J391" s="36" t="s">
        <v>618</v>
      </c>
      <c r="K391">
        <v>18</v>
      </c>
      <c r="L391">
        <v>4000</v>
      </c>
      <c r="M391">
        <v>72000</v>
      </c>
      <c r="N391">
        <v>54720</v>
      </c>
      <c r="O391">
        <v>17280</v>
      </c>
      <c r="P391" s="11">
        <v>0.24</v>
      </c>
    </row>
    <row r="392" spans="1:16" x14ac:dyDescent="0.25">
      <c r="A392" s="36" t="s">
        <v>64</v>
      </c>
      <c r="B392" s="2">
        <v>45554</v>
      </c>
      <c r="C392" s="36" t="s">
        <v>65</v>
      </c>
      <c r="D392">
        <v>2024</v>
      </c>
      <c r="E392" s="36" t="s">
        <v>600</v>
      </c>
      <c r="F392" s="36" t="s">
        <v>39</v>
      </c>
      <c r="G392" s="36" t="s">
        <v>610</v>
      </c>
      <c r="H392" s="36" t="s">
        <v>624</v>
      </c>
      <c r="I392" s="36" t="s">
        <v>619</v>
      </c>
      <c r="J392" s="36" t="s">
        <v>618</v>
      </c>
      <c r="K392">
        <v>12</v>
      </c>
      <c r="L392">
        <v>45000</v>
      </c>
      <c r="M392">
        <v>540000</v>
      </c>
      <c r="N392">
        <v>480600</v>
      </c>
      <c r="O392">
        <v>59400</v>
      </c>
      <c r="P392" s="11">
        <v>0.11</v>
      </c>
    </row>
    <row r="393" spans="1:16" x14ac:dyDescent="0.25">
      <c r="A393" s="36" t="s">
        <v>147</v>
      </c>
      <c r="B393" s="2">
        <v>45554</v>
      </c>
      <c r="C393" s="36" t="s">
        <v>83</v>
      </c>
      <c r="D393">
        <v>2024</v>
      </c>
      <c r="E393" s="36" t="s">
        <v>596</v>
      </c>
      <c r="F393" s="36" t="s">
        <v>39</v>
      </c>
      <c r="G393" s="36" t="s">
        <v>610</v>
      </c>
      <c r="H393" s="36" t="s">
        <v>613</v>
      </c>
      <c r="I393" s="36" t="s">
        <v>617</v>
      </c>
      <c r="J393" s="36" t="s">
        <v>615</v>
      </c>
      <c r="K393">
        <v>5</v>
      </c>
      <c r="L393">
        <v>7000</v>
      </c>
      <c r="M393">
        <v>35000</v>
      </c>
      <c r="N393">
        <v>24500</v>
      </c>
      <c r="O393">
        <v>10500</v>
      </c>
      <c r="P393" s="11">
        <v>0.3</v>
      </c>
    </row>
    <row r="394" spans="1:16" x14ac:dyDescent="0.25">
      <c r="A394" s="36" t="s">
        <v>287</v>
      </c>
      <c r="B394" s="2">
        <v>45554</v>
      </c>
      <c r="C394" s="36" t="s">
        <v>80</v>
      </c>
      <c r="D394">
        <v>2024</v>
      </c>
      <c r="E394" s="36" t="s">
        <v>604</v>
      </c>
      <c r="F394" s="36" t="s">
        <v>41</v>
      </c>
      <c r="G394" s="36" t="s">
        <v>609</v>
      </c>
      <c r="H394" s="36" t="s">
        <v>613</v>
      </c>
      <c r="I394" s="36" t="s">
        <v>617</v>
      </c>
      <c r="J394" s="36" t="s">
        <v>618</v>
      </c>
      <c r="K394">
        <v>15</v>
      </c>
      <c r="L394">
        <v>9000</v>
      </c>
      <c r="M394">
        <v>135000</v>
      </c>
      <c r="N394">
        <v>106650</v>
      </c>
      <c r="O394">
        <v>28350</v>
      </c>
      <c r="P394" s="11">
        <v>0.21</v>
      </c>
    </row>
    <row r="395" spans="1:16" x14ac:dyDescent="0.25">
      <c r="A395" s="36" t="s">
        <v>455</v>
      </c>
      <c r="B395" s="2">
        <v>45554</v>
      </c>
      <c r="C395" s="36" t="s">
        <v>80</v>
      </c>
      <c r="D395">
        <v>2024</v>
      </c>
      <c r="E395" s="36" t="s">
        <v>598</v>
      </c>
      <c r="F395" s="36" t="s">
        <v>40</v>
      </c>
      <c r="G395" s="36" t="s">
        <v>612</v>
      </c>
      <c r="H395" s="36" t="s">
        <v>613</v>
      </c>
      <c r="I395" s="36" t="s">
        <v>614</v>
      </c>
      <c r="J395" s="36" t="s">
        <v>618</v>
      </c>
      <c r="K395">
        <v>5</v>
      </c>
      <c r="L395">
        <v>4000</v>
      </c>
      <c r="M395">
        <v>20000</v>
      </c>
      <c r="N395">
        <v>13200</v>
      </c>
      <c r="O395">
        <v>6800</v>
      </c>
      <c r="P395" s="11">
        <v>0.34</v>
      </c>
    </row>
    <row r="396" spans="1:16" x14ac:dyDescent="0.25">
      <c r="A396" s="36" t="s">
        <v>565</v>
      </c>
      <c r="B396" s="2">
        <v>45555</v>
      </c>
      <c r="C396" s="36" t="s">
        <v>80</v>
      </c>
      <c r="D396">
        <v>2024</v>
      </c>
      <c r="E396" s="36" t="s">
        <v>594</v>
      </c>
      <c r="F396" s="36" t="s">
        <v>39</v>
      </c>
      <c r="G396" s="36" t="s">
        <v>610</v>
      </c>
      <c r="H396" s="36" t="s">
        <v>622</v>
      </c>
      <c r="I396" s="36" t="s">
        <v>630</v>
      </c>
      <c r="J396" s="36" t="s">
        <v>615</v>
      </c>
      <c r="K396">
        <v>3</v>
      </c>
      <c r="L396">
        <v>9000</v>
      </c>
      <c r="M396">
        <v>27000</v>
      </c>
      <c r="N396">
        <v>21870</v>
      </c>
      <c r="O396">
        <v>5130</v>
      </c>
      <c r="P396" s="11">
        <v>0.19</v>
      </c>
    </row>
    <row r="397" spans="1:16" x14ac:dyDescent="0.25">
      <c r="A397" s="36" t="s">
        <v>87</v>
      </c>
      <c r="B397" s="2">
        <v>45556</v>
      </c>
      <c r="C397" s="36" t="s">
        <v>59</v>
      </c>
      <c r="D397">
        <v>2024</v>
      </c>
      <c r="E397" s="36" t="s">
        <v>605</v>
      </c>
      <c r="F397" s="36" t="s">
        <v>40</v>
      </c>
      <c r="G397" s="36" t="s">
        <v>610</v>
      </c>
      <c r="H397" s="36" t="s">
        <v>613</v>
      </c>
      <c r="I397" s="36" t="s">
        <v>645</v>
      </c>
      <c r="J397" s="36" t="s">
        <v>618</v>
      </c>
      <c r="K397">
        <v>6</v>
      </c>
      <c r="L397">
        <v>20</v>
      </c>
      <c r="M397">
        <v>120</v>
      </c>
      <c r="N397">
        <v>87.6</v>
      </c>
      <c r="O397">
        <v>32.400000000000006</v>
      </c>
      <c r="P397" s="11">
        <v>0.27000000000000007</v>
      </c>
    </row>
    <row r="398" spans="1:16" x14ac:dyDescent="0.25">
      <c r="A398" s="36" t="s">
        <v>429</v>
      </c>
      <c r="B398" s="2">
        <v>45556</v>
      </c>
      <c r="C398" s="36" t="s">
        <v>65</v>
      </c>
      <c r="D398">
        <v>2024</v>
      </c>
      <c r="E398" s="36" t="s">
        <v>601</v>
      </c>
      <c r="F398" s="36" t="s">
        <v>41</v>
      </c>
      <c r="G398" s="36" t="s">
        <v>609</v>
      </c>
      <c r="H398" s="36" t="s">
        <v>613</v>
      </c>
      <c r="I398" s="36" t="s">
        <v>630</v>
      </c>
      <c r="J398" s="36" t="s">
        <v>615</v>
      </c>
      <c r="K398">
        <v>2</v>
      </c>
      <c r="L398">
        <v>9000</v>
      </c>
      <c r="M398">
        <v>18000</v>
      </c>
      <c r="N398">
        <v>12780</v>
      </c>
      <c r="O398">
        <v>5220</v>
      </c>
      <c r="P398" s="11">
        <v>0.28999999999999998</v>
      </c>
    </row>
    <row r="399" spans="1:16" x14ac:dyDescent="0.25">
      <c r="A399" s="36" t="s">
        <v>480</v>
      </c>
      <c r="B399" s="2">
        <v>45556</v>
      </c>
      <c r="C399" s="36" t="s">
        <v>46</v>
      </c>
      <c r="D399">
        <v>2024</v>
      </c>
      <c r="E399" s="36" t="s">
        <v>602</v>
      </c>
      <c r="F399" s="36" t="s">
        <v>42</v>
      </c>
      <c r="G399" s="36" t="s">
        <v>612</v>
      </c>
      <c r="H399" s="36" t="s">
        <v>628</v>
      </c>
      <c r="I399" s="36" t="s">
        <v>645</v>
      </c>
      <c r="J399" s="36" t="s">
        <v>618</v>
      </c>
      <c r="K399">
        <v>14</v>
      </c>
      <c r="L399">
        <v>700</v>
      </c>
      <c r="M399">
        <v>9800</v>
      </c>
      <c r="N399">
        <v>7252</v>
      </c>
      <c r="O399">
        <v>2548</v>
      </c>
      <c r="P399" s="11">
        <v>0.26</v>
      </c>
    </row>
    <row r="400" spans="1:16" x14ac:dyDescent="0.25">
      <c r="A400" s="36" t="s">
        <v>130</v>
      </c>
      <c r="B400" s="2">
        <v>45557</v>
      </c>
      <c r="C400" s="36" t="s">
        <v>80</v>
      </c>
      <c r="D400">
        <v>2024</v>
      </c>
      <c r="E400" s="36" t="s">
        <v>596</v>
      </c>
      <c r="F400" s="36" t="s">
        <v>39</v>
      </c>
      <c r="G400" s="36" t="s">
        <v>610</v>
      </c>
      <c r="H400" s="36" t="s">
        <v>613</v>
      </c>
      <c r="I400" s="36" t="s">
        <v>645</v>
      </c>
      <c r="J400" s="36" t="s">
        <v>615</v>
      </c>
      <c r="K400">
        <v>9</v>
      </c>
      <c r="L400">
        <v>7000</v>
      </c>
      <c r="M400">
        <v>63000</v>
      </c>
      <c r="N400">
        <v>39060</v>
      </c>
      <c r="O400">
        <v>23940</v>
      </c>
      <c r="P400" s="11">
        <v>0.38</v>
      </c>
    </row>
    <row r="401" spans="1:16" x14ac:dyDescent="0.25">
      <c r="A401" s="36" t="s">
        <v>85</v>
      </c>
      <c r="B401" s="2">
        <v>45559</v>
      </c>
      <c r="C401" s="36" t="s">
        <v>57</v>
      </c>
      <c r="D401">
        <v>2024</v>
      </c>
      <c r="E401" s="36" t="s">
        <v>595</v>
      </c>
      <c r="F401" s="36" t="s">
        <v>39</v>
      </c>
      <c r="G401" s="36" t="s">
        <v>609</v>
      </c>
      <c r="H401" s="36" t="s">
        <v>621</v>
      </c>
      <c r="I401" s="36" t="s">
        <v>617</v>
      </c>
      <c r="J401" s="36" t="s">
        <v>615</v>
      </c>
      <c r="K401">
        <v>17</v>
      </c>
      <c r="L401">
        <v>20</v>
      </c>
      <c r="M401">
        <v>340</v>
      </c>
      <c r="N401">
        <v>207.4</v>
      </c>
      <c r="O401">
        <v>132.6</v>
      </c>
      <c r="P401" s="11">
        <v>0.38999999999999996</v>
      </c>
    </row>
    <row r="402" spans="1:16" x14ac:dyDescent="0.25">
      <c r="A402" s="36" t="s">
        <v>339</v>
      </c>
      <c r="B402" s="2">
        <v>45559</v>
      </c>
      <c r="C402" s="36" t="s">
        <v>46</v>
      </c>
      <c r="D402">
        <v>2024</v>
      </c>
      <c r="E402" s="36" t="s">
        <v>597</v>
      </c>
      <c r="F402" s="36" t="s">
        <v>41</v>
      </c>
      <c r="G402" s="36" t="s">
        <v>608</v>
      </c>
      <c r="H402" s="36" t="s">
        <v>622</v>
      </c>
      <c r="I402" s="36" t="s">
        <v>614</v>
      </c>
      <c r="J402" s="36" t="s">
        <v>618</v>
      </c>
      <c r="K402">
        <v>11</v>
      </c>
      <c r="L402">
        <v>7000</v>
      </c>
      <c r="M402">
        <v>77000</v>
      </c>
      <c r="N402">
        <v>67760</v>
      </c>
      <c r="O402">
        <v>9240</v>
      </c>
      <c r="P402" s="11">
        <v>0.12</v>
      </c>
    </row>
    <row r="403" spans="1:16" x14ac:dyDescent="0.25">
      <c r="A403" s="36" t="s">
        <v>45</v>
      </c>
      <c r="B403" s="2">
        <v>45560</v>
      </c>
      <c r="C403" s="36" t="s">
        <v>46</v>
      </c>
      <c r="D403">
        <v>2024</v>
      </c>
      <c r="E403" s="36" t="s">
        <v>593</v>
      </c>
      <c r="F403" s="36" t="s">
        <v>41</v>
      </c>
      <c r="G403" s="36" t="s">
        <v>608</v>
      </c>
      <c r="H403" s="36" t="s">
        <v>616</v>
      </c>
      <c r="I403" s="36" t="s">
        <v>617</v>
      </c>
      <c r="J403" s="36" t="s">
        <v>618</v>
      </c>
      <c r="K403">
        <v>7</v>
      </c>
      <c r="L403">
        <v>15000</v>
      </c>
      <c r="M403">
        <v>105000</v>
      </c>
      <c r="N403">
        <v>88200</v>
      </c>
      <c r="O403">
        <v>16800</v>
      </c>
      <c r="P403" s="11">
        <v>0.16</v>
      </c>
    </row>
    <row r="404" spans="1:16" x14ac:dyDescent="0.25">
      <c r="A404" s="36" t="s">
        <v>121</v>
      </c>
      <c r="B404" s="2">
        <v>45561</v>
      </c>
      <c r="C404" s="36" t="s">
        <v>44</v>
      </c>
      <c r="D404">
        <v>2024</v>
      </c>
      <c r="E404" s="36" t="s">
        <v>607</v>
      </c>
      <c r="F404" s="36" t="s">
        <v>42</v>
      </c>
      <c r="G404" s="36" t="s">
        <v>610</v>
      </c>
      <c r="H404" s="36" t="s">
        <v>620</v>
      </c>
      <c r="I404" s="36" t="s">
        <v>614</v>
      </c>
      <c r="J404" s="36" t="s">
        <v>615</v>
      </c>
      <c r="K404">
        <v>12</v>
      </c>
      <c r="L404">
        <v>150</v>
      </c>
      <c r="M404">
        <v>1800</v>
      </c>
      <c r="N404">
        <v>1350</v>
      </c>
      <c r="O404">
        <v>450</v>
      </c>
      <c r="P404" s="11">
        <v>0.25</v>
      </c>
    </row>
    <row r="405" spans="1:16" x14ac:dyDescent="0.25">
      <c r="A405" s="36" t="s">
        <v>356</v>
      </c>
      <c r="B405" s="2">
        <v>45561</v>
      </c>
      <c r="C405" s="36" t="s">
        <v>44</v>
      </c>
      <c r="D405">
        <v>2024</v>
      </c>
      <c r="E405" s="36" t="s">
        <v>596</v>
      </c>
      <c r="F405" s="36" t="s">
        <v>39</v>
      </c>
      <c r="G405" s="36" t="s">
        <v>611</v>
      </c>
      <c r="H405" s="36" t="s">
        <v>621</v>
      </c>
      <c r="I405" s="36" t="s">
        <v>630</v>
      </c>
      <c r="J405" s="36" t="s">
        <v>615</v>
      </c>
      <c r="K405">
        <v>13</v>
      </c>
      <c r="L405">
        <v>55000</v>
      </c>
      <c r="M405">
        <v>715000</v>
      </c>
      <c r="N405">
        <v>643500</v>
      </c>
      <c r="O405">
        <v>71500</v>
      </c>
      <c r="P405" s="11">
        <v>0.1</v>
      </c>
    </row>
    <row r="406" spans="1:16" x14ac:dyDescent="0.25">
      <c r="A406" s="36" t="s">
        <v>366</v>
      </c>
      <c r="B406" s="2">
        <v>45562</v>
      </c>
      <c r="C406" s="36" t="s">
        <v>80</v>
      </c>
      <c r="D406">
        <v>2024</v>
      </c>
      <c r="E406" s="36" t="s">
        <v>601</v>
      </c>
      <c r="F406" s="36" t="s">
        <v>41</v>
      </c>
      <c r="G406" s="36" t="s">
        <v>612</v>
      </c>
      <c r="H406" s="36" t="s">
        <v>626</v>
      </c>
      <c r="I406" s="36" t="s">
        <v>614</v>
      </c>
      <c r="J406" s="36" t="s">
        <v>618</v>
      </c>
      <c r="K406">
        <v>17</v>
      </c>
      <c r="L406">
        <v>20</v>
      </c>
      <c r="M406">
        <v>340</v>
      </c>
      <c r="N406">
        <v>272</v>
      </c>
      <c r="O406">
        <v>68</v>
      </c>
      <c r="P406" s="11">
        <v>0.2</v>
      </c>
    </row>
    <row r="407" spans="1:16" x14ac:dyDescent="0.25">
      <c r="A407" s="36" t="s">
        <v>237</v>
      </c>
      <c r="B407" s="2">
        <v>45565</v>
      </c>
      <c r="C407" s="36" t="s">
        <v>59</v>
      </c>
      <c r="D407">
        <v>2024</v>
      </c>
      <c r="E407" s="36" t="s">
        <v>596</v>
      </c>
      <c r="F407" s="36" t="s">
        <v>39</v>
      </c>
      <c r="G407" s="36" t="s">
        <v>610</v>
      </c>
      <c r="H407" s="36" t="s">
        <v>625</v>
      </c>
      <c r="I407" s="36" t="s">
        <v>645</v>
      </c>
      <c r="J407" s="36" t="s">
        <v>618</v>
      </c>
      <c r="K407">
        <v>1</v>
      </c>
      <c r="L407">
        <v>15000</v>
      </c>
      <c r="M407">
        <v>15000</v>
      </c>
      <c r="N407">
        <v>11700</v>
      </c>
      <c r="O407">
        <v>3300</v>
      </c>
      <c r="P407" s="11">
        <v>0.22</v>
      </c>
    </row>
    <row r="408" spans="1:16" x14ac:dyDescent="0.25">
      <c r="A408" s="36" t="s">
        <v>326</v>
      </c>
      <c r="B408" s="2">
        <v>45565</v>
      </c>
      <c r="C408" s="36" t="s">
        <v>65</v>
      </c>
      <c r="D408">
        <v>2024</v>
      </c>
      <c r="E408" s="36" t="s">
        <v>601</v>
      </c>
      <c r="F408" s="36" t="s">
        <v>41</v>
      </c>
      <c r="G408" s="36" t="s">
        <v>611</v>
      </c>
      <c r="H408" s="36" t="s">
        <v>624</v>
      </c>
      <c r="I408" s="36" t="s">
        <v>623</v>
      </c>
      <c r="J408" s="36" t="s">
        <v>618</v>
      </c>
      <c r="K408">
        <v>1</v>
      </c>
      <c r="L408">
        <v>15000</v>
      </c>
      <c r="M408">
        <v>15000</v>
      </c>
      <c r="N408">
        <v>9000</v>
      </c>
      <c r="O408">
        <v>6000</v>
      </c>
      <c r="P408" s="11">
        <v>0.4</v>
      </c>
    </row>
    <row r="409" spans="1:16" x14ac:dyDescent="0.25">
      <c r="A409" s="36" t="s">
        <v>485</v>
      </c>
      <c r="B409" s="2">
        <v>45566</v>
      </c>
      <c r="C409" s="36" t="s">
        <v>53</v>
      </c>
      <c r="D409">
        <v>2024</v>
      </c>
      <c r="E409" s="36" t="s">
        <v>601</v>
      </c>
      <c r="F409" s="36" t="s">
        <v>41</v>
      </c>
      <c r="G409" s="36" t="s">
        <v>609</v>
      </c>
      <c r="H409" s="36" t="s">
        <v>628</v>
      </c>
      <c r="I409" s="36" t="s">
        <v>630</v>
      </c>
      <c r="J409" s="36" t="s">
        <v>618</v>
      </c>
      <c r="K409">
        <v>10</v>
      </c>
      <c r="L409">
        <v>300</v>
      </c>
      <c r="M409">
        <v>3000</v>
      </c>
      <c r="N409">
        <v>2490</v>
      </c>
      <c r="O409">
        <v>510</v>
      </c>
      <c r="P409" s="11">
        <v>0.17</v>
      </c>
    </row>
    <row r="410" spans="1:16" x14ac:dyDescent="0.25">
      <c r="A410" s="36" t="s">
        <v>415</v>
      </c>
      <c r="B410" s="2">
        <v>45567</v>
      </c>
      <c r="C410" s="36" t="s">
        <v>59</v>
      </c>
      <c r="D410">
        <v>2024</v>
      </c>
      <c r="E410" s="36" t="s">
        <v>604</v>
      </c>
      <c r="F410" s="36" t="s">
        <v>41</v>
      </c>
      <c r="G410" s="36" t="s">
        <v>610</v>
      </c>
      <c r="H410" s="36" t="s">
        <v>622</v>
      </c>
      <c r="I410" s="36" t="s">
        <v>627</v>
      </c>
      <c r="J410" s="36" t="s">
        <v>618</v>
      </c>
      <c r="K410">
        <v>5</v>
      </c>
      <c r="L410">
        <v>50</v>
      </c>
      <c r="M410">
        <v>250</v>
      </c>
      <c r="N410">
        <v>187.5</v>
      </c>
      <c r="O410">
        <v>62.5</v>
      </c>
      <c r="P410" s="11">
        <v>0.25</v>
      </c>
    </row>
    <row r="411" spans="1:16" x14ac:dyDescent="0.25">
      <c r="A411" s="36" t="s">
        <v>116</v>
      </c>
      <c r="B411" s="2">
        <v>45568</v>
      </c>
      <c r="C411" s="36" t="s">
        <v>48</v>
      </c>
      <c r="D411">
        <v>2024</v>
      </c>
      <c r="E411" s="36" t="s">
        <v>601</v>
      </c>
      <c r="F411" s="36" t="s">
        <v>41</v>
      </c>
      <c r="G411" s="36" t="s">
        <v>610</v>
      </c>
      <c r="H411" s="36" t="s">
        <v>613</v>
      </c>
      <c r="I411" s="36" t="s">
        <v>630</v>
      </c>
      <c r="J411" s="36" t="s">
        <v>618</v>
      </c>
      <c r="K411">
        <v>7</v>
      </c>
      <c r="L411">
        <v>8000</v>
      </c>
      <c r="M411">
        <v>56000</v>
      </c>
      <c r="N411">
        <v>38640</v>
      </c>
      <c r="O411">
        <v>17360</v>
      </c>
      <c r="P411" s="11">
        <v>0.31</v>
      </c>
    </row>
    <row r="412" spans="1:16" x14ac:dyDescent="0.25">
      <c r="A412" s="36" t="s">
        <v>104</v>
      </c>
      <c r="B412" s="2">
        <v>45569</v>
      </c>
      <c r="C412" s="36" t="s">
        <v>65</v>
      </c>
      <c r="D412">
        <v>2024</v>
      </c>
      <c r="E412" s="36" t="s">
        <v>600</v>
      </c>
      <c r="F412" s="36" t="s">
        <v>39</v>
      </c>
      <c r="G412" s="36" t="s">
        <v>612</v>
      </c>
      <c r="H412" s="36" t="s">
        <v>628</v>
      </c>
      <c r="I412" s="36" t="s">
        <v>614</v>
      </c>
      <c r="J412" s="36" t="s">
        <v>615</v>
      </c>
      <c r="K412">
        <v>14</v>
      </c>
      <c r="L412">
        <v>150</v>
      </c>
      <c r="M412">
        <v>2100</v>
      </c>
      <c r="N412">
        <v>1596</v>
      </c>
      <c r="O412">
        <v>504</v>
      </c>
      <c r="P412" s="11">
        <v>0.24</v>
      </c>
    </row>
    <row r="413" spans="1:16" x14ac:dyDescent="0.25">
      <c r="A413" s="36" t="s">
        <v>354</v>
      </c>
      <c r="B413" s="2">
        <v>45569</v>
      </c>
      <c r="C413" s="36" t="s">
        <v>83</v>
      </c>
      <c r="D413">
        <v>2024</v>
      </c>
      <c r="E413" s="36" t="s">
        <v>594</v>
      </c>
      <c r="F413" s="36" t="s">
        <v>39</v>
      </c>
      <c r="G413" s="36" t="s">
        <v>610</v>
      </c>
      <c r="H413" s="36" t="s">
        <v>628</v>
      </c>
      <c r="I413" s="36" t="s">
        <v>645</v>
      </c>
      <c r="J413" s="36" t="s">
        <v>618</v>
      </c>
      <c r="K413">
        <v>3</v>
      </c>
      <c r="L413">
        <v>4000</v>
      </c>
      <c r="M413">
        <v>12000</v>
      </c>
      <c r="N413">
        <v>7320</v>
      </c>
      <c r="O413">
        <v>4680</v>
      </c>
      <c r="P413" s="11">
        <v>0.39</v>
      </c>
    </row>
    <row r="414" spans="1:16" x14ac:dyDescent="0.25">
      <c r="A414" s="36" t="s">
        <v>466</v>
      </c>
      <c r="B414" s="2">
        <v>45569</v>
      </c>
      <c r="C414" s="36" t="s">
        <v>55</v>
      </c>
      <c r="D414">
        <v>2024</v>
      </c>
      <c r="E414" s="36" t="s">
        <v>595</v>
      </c>
      <c r="F414" s="36" t="s">
        <v>39</v>
      </c>
      <c r="G414" s="36" t="s">
        <v>609</v>
      </c>
      <c r="H414" s="36" t="s">
        <v>626</v>
      </c>
      <c r="I414" s="36" t="s">
        <v>617</v>
      </c>
      <c r="J414" s="36" t="s">
        <v>618</v>
      </c>
      <c r="K414">
        <v>1</v>
      </c>
      <c r="L414">
        <v>25000</v>
      </c>
      <c r="M414">
        <v>25000</v>
      </c>
      <c r="N414">
        <v>15500</v>
      </c>
      <c r="O414">
        <v>9500</v>
      </c>
      <c r="P414" s="11">
        <v>0.38</v>
      </c>
    </row>
    <row r="415" spans="1:16" x14ac:dyDescent="0.25">
      <c r="A415" s="36" t="s">
        <v>529</v>
      </c>
      <c r="B415" s="2">
        <v>45569</v>
      </c>
      <c r="C415" s="36" t="s">
        <v>46</v>
      </c>
      <c r="D415">
        <v>2024</v>
      </c>
      <c r="E415" s="36" t="s">
        <v>593</v>
      </c>
      <c r="F415" s="36" t="s">
        <v>41</v>
      </c>
      <c r="G415" s="36" t="s">
        <v>612</v>
      </c>
      <c r="H415" s="36" t="s">
        <v>616</v>
      </c>
      <c r="I415" s="36" t="s">
        <v>645</v>
      </c>
      <c r="J415" s="36" t="s">
        <v>618</v>
      </c>
      <c r="K415">
        <v>13</v>
      </c>
      <c r="L415">
        <v>1200</v>
      </c>
      <c r="M415">
        <v>15600</v>
      </c>
      <c r="N415">
        <v>13416</v>
      </c>
      <c r="O415">
        <v>2184</v>
      </c>
      <c r="P415" s="11">
        <v>0.14000000000000001</v>
      </c>
    </row>
    <row r="416" spans="1:16" x14ac:dyDescent="0.25">
      <c r="A416" s="36" t="s">
        <v>498</v>
      </c>
      <c r="B416" s="2">
        <v>45570</v>
      </c>
      <c r="C416" s="36" t="s">
        <v>46</v>
      </c>
      <c r="D416">
        <v>2024</v>
      </c>
      <c r="E416" s="36" t="s">
        <v>597</v>
      </c>
      <c r="F416" s="36" t="s">
        <v>41</v>
      </c>
      <c r="G416" s="36" t="s">
        <v>612</v>
      </c>
      <c r="H416" s="36" t="s">
        <v>628</v>
      </c>
      <c r="I416" s="36" t="s">
        <v>619</v>
      </c>
      <c r="J416" s="36" t="s">
        <v>615</v>
      </c>
      <c r="K416">
        <v>5</v>
      </c>
      <c r="L416">
        <v>4000</v>
      </c>
      <c r="M416">
        <v>20000</v>
      </c>
      <c r="N416">
        <v>15600</v>
      </c>
      <c r="O416">
        <v>4400</v>
      </c>
      <c r="P416" s="11">
        <v>0.22</v>
      </c>
    </row>
    <row r="417" spans="1:16" x14ac:dyDescent="0.25">
      <c r="A417" s="36" t="s">
        <v>177</v>
      </c>
      <c r="B417" s="2">
        <v>45571</v>
      </c>
      <c r="C417" s="36" t="s">
        <v>46</v>
      </c>
      <c r="D417">
        <v>2024</v>
      </c>
      <c r="E417" s="36" t="s">
        <v>600</v>
      </c>
      <c r="F417" s="36" t="s">
        <v>39</v>
      </c>
      <c r="G417" s="36" t="s">
        <v>611</v>
      </c>
      <c r="H417" s="36" t="s">
        <v>626</v>
      </c>
      <c r="I417" s="36" t="s">
        <v>627</v>
      </c>
      <c r="J417" s="36" t="s">
        <v>618</v>
      </c>
      <c r="K417">
        <v>9</v>
      </c>
      <c r="L417">
        <v>55000</v>
      </c>
      <c r="M417">
        <v>495000</v>
      </c>
      <c r="N417">
        <v>376200</v>
      </c>
      <c r="O417">
        <v>118800</v>
      </c>
      <c r="P417" s="11">
        <v>0.24</v>
      </c>
    </row>
    <row r="418" spans="1:16" x14ac:dyDescent="0.25">
      <c r="A418" s="36" t="s">
        <v>189</v>
      </c>
      <c r="B418" s="2">
        <v>45571</v>
      </c>
      <c r="C418" s="36" t="s">
        <v>59</v>
      </c>
      <c r="D418">
        <v>2024</v>
      </c>
      <c r="E418" s="36" t="s">
        <v>598</v>
      </c>
      <c r="F418" s="36" t="s">
        <v>40</v>
      </c>
      <c r="G418" s="36" t="s">
        <v>608</v>
      </c>
      <c r="H418" s="36" t="s">
        <v>624</v>
      </c>
      <c r="I418" s="36" t="s">
        <v>623</v>
      </c>
      <c r="J418" s="36" t="s">
        <v>618</v>
      </c>
      <c r="K418">
        <v>15</v>
      </c>
      <c r="L418">
        <v>700</v>
      </c>
      <c r="M418">
        <v>10500</v>
      </c>
      <c r="N418">
        <v>6510</v>
      </c>
      <c r="O418">
        <v>3990</v>
      </c>
      <c r="P418" s="11">
        <v>0.38</v>
      </c>
    </row>
    <row r="419" spans="1:16" x14ac:dyDescent="0.25">
      <c r="A419" s="36" t="s">
        <v>514</v>
      </c>
      <c r="B419" s="2">
        <v>45571</v>
      </c>
      <c r="C419" s="36" t="s">
        <v>50</v>
      </c>
      <c r="D419">
        <v>2024</v>
      </c>
      <c r="E419" s="36" t="s">
        <v>594</v>
      </c>
      <c r="F419" s="36" t="s">
        <v>39</v>
      </c>
      <c r="G419" s="36" t="s">
        <v>609</v>
      </c>
      <c r="H419" s="36" t="s">
        <v>620</v>
      </c>
      <c r="I419" s="36" t="s">
        <v>619</v>
      </c>
      <c r="J419" s="36" t="s">
        <v>618</v>
      </c>
      <c r="K419">
        <v>5</v>
      </c>
      <c r="L419">
        <v>12000</v>
      </c>
      <c r="M419">
        <v>60000</v>
      </c>
      <c r="N419">
        <v>38400</v>
      </c>
      <c r="O419">
        <v>21600</v>
      </c>
      <c r="P419" s="11">
        <v>0.36</v>
      </c>
    </row>
    <row r="420" spans="1:16" x14ac:dyDescent="0.25">
      <c r="A420" s="36" t="s">
        <v>469</v>
      </c>
      <c r="B420" s="2">
        <v>45572</v>
      </c>
      <c r="C420" s="36" t="s">
        <v>50</v>
      </c>
      <c r="D420">
        <v>2024</v>
      </c>
      <c r="E420" s="36" t="s">
        <v>607</v>
      </c>
      <c r="F420" s="36" t="s">
        <v>42</v>
      </c>
      <c r="G420" s="36" t="s">
        <v>610</v>
      </c>
      <c r="H420" s="36" t="s">
        <v>613</v>
      </c>
      <c r="I420" s="36" t="s">
        <v>623</v>
      </c>
      <c r="J420" s="36" t="s">
        <v>618</v>
      </c>
      <c r="K420">
        <v>2</v>
      </c>
      <c r="L420">
        <v>20</v>
      </c>
      <c r="M420">
        <v>40</v>
      </c>
      <c r="N420">
        <v>34.799999999999997</v>
      </c>
      <c r="O420">
        <v>5.2000000000000028</v>
      </c>
      <c r="P420" s="11">
        <v>0.13000000000000006</v>
      </c>
    </row>
    <row r="421" spans="1:16" x14ac:dyDescent="0.25">
      <c r="A421" s="36" t="s">
        <v>492</v>
      </c>
      <c r="B421" s="2">
        <v>45573</v>
      </c>
      <c r="C421" s="36" t="s">
        <v>80</v>
      </c>
      <c r="D421">
        <v>2024</v>
      </c>
      <c r="E421" s="36" t="s">
        <v>598</v>
      </c>
      <c r="F421" s="36" t="s">
        <v>40</v>
      </c>
      <c r="G421" s="36" t="s">
        <v>610</v>
      </c>
      <c r="H421" s="36" t="s">
        <v>628</v>
      </c>
      <c r="I421" s="36" t="s">
        <v>617</v>
      </c>
      <c r="J421" s="36" t="s">
        <v>618</v>
      </c>
      <c r="K421">
        <v>14</v>
      </c>
      <c r="L421">
        <v>9000</v>
      </c>
      <c r="M421">
        <v>126000</v>
      </c>
      <c r="N421">
        <v>88200</v>
      </c>
      <c r="O421">
        <v>37800</v>
      </c>
      <c r="P421" s="11">
        <v>0.3</v>
      </c>
    </row>
    <row r="422" spans="1:16" x14ac:dyDescent="0.25">
      <c r="A422" s="36" t="s">
        <v>106</v>
      </c>
      <c r="B422" s="2">
        <v>45576</v>
      </c>
      <c r="C422" s="36" t="s">
        <v>80</v>
      </c>
      <c r="D422">
        <v>2024</v>
      </c>
      <c r="E422" s="36" t="s">
        <v>604</v>
      </c>
      <c r="F422" s="36" t="s">
        <v>41</v>
      </c>
      <c r="G422" s="36" t="s">
        <v>609</v>
      </c>
      <c r="H422" s="36" t="s">
        <v>628</v>
      </c>
      <c r="I422" s="36" t="s">
        <v>627</v>
      </c>
      <c r="J422" s="36" t="s">
        <v>615</v>
      </c>
      <c r="K422">
        <v>8</v>
      </c>
      <c r="L422">
        <v>9000</v>
      </c>
      <c r="M422">
        <v>72000</v>
      </c>
      <c r="N422">
        <v>54720</v>
      </c>
      <c r="O422">
        <v>17280</v>
      </c>
      <c r="P422" s="11">
        <v>0.24</v>
      </c>
    </row>
    <row r="423" spans="1:16" x14ac:dyDescent="0.25">
      <c r="A423" s="36" t="s">
        <v>400</v>
      </c>
      <c r="B423" s="2">
        <v>45577</v>
      </c>
      <c r="C423" s="36" t="s">
        <v>48</v>
      </c>
      <c r="D423">
        <v>2024</v>
      </c>
      <c r="E423" s="36" t="s">
        <v>607</v>
      </c>
      <c r="F423" s="36" t="s">
        <v>42</v>
      </c>
      <c r="G423" s="36" t="s">
        <v>609</v>
      </c>
      <c r="H423" s="36" t="s">
        <v>626</v>
      </c>
      <c r="I423" s="36" t="s">
        <v>630</v>
      </c>
      <c r="J423" s="36" t="s">
        <v>615</v>
      </c>
      <c r="K423">
        <v>4</v>
      </c>
      <c r="L423">
        <v>4000</v>
      </c>
      <c r="M423">
        <v>16000</v>
      </c>
      <c r="N423">
        <v>10240</v>
      </c>
      <c r="O423">
        <v>5760</v>
      </c>
      <c r="P423" s="11">
        <v>0.36</v>
      </c>
    </row>
    <row r="424" spans="1:16" x14ac:dyDescent="0.25">
      <c r="A424" s="36" t="s">
        <v>413</v>
      </c>
      <c r="B424" s="2">
        <v>45577</v>
      </c>
      <c r="C424" s="36" t="s">
        <v>53</v>
      </c>
      <c r="D424">
        <v>2024</v>
      </c>
      <c r="E424" s="36" t="s">
        <v>596</v>
      </c>
      <c r="F424" s="36" t="s">
        <v>39</v>
      </c>
      <c r="G424" s="36" t="s">
        <v>611</v>
      </c>
      <c r="H424" s="36" t="s">
        <v>628</v>
      </c>
      <c r="I424" s="36" t="s">
        <v>627</v>
      </c>
      <c r="J424" s="36" t="s">
        <v>618</v>
      </c>
      <c r="K424">
        <v>7</v>
      </c>
      <c r="L424">
        <v>1200</v>
      </c>
      <c r="M424">
        <v>8400</v>
      </c>
      <c r="N424">
        <v>6552</v>
      </c>
      <c r="O424">
        <v>1848</v>
      </c>
      <c r="P424" s="11">
        <v>0.22</v>
      </c>
    </row>
    <row r="425" spans="1:16" x14ac:dyDescent="0.25">
      <c r="A425" s="36" t="s">
        <v>312</v>
      </c>
      <c r="B425" s="2">
        <v>45578</v>
      </c>
      <c r="C425" s="36" t="s">
        <v>57</v>
      </c>
      <c r="D425">
        <v>2024</v>
      </c>
      <c r="E425" s="36" t="s">
        <v>602</v>
      </c>
      <c r="F425" s="36" t="s">
        <v>42</v>
      </c>
      <c r="G425" s="36" t="s">
        <v>609</v>
      </c>
      <c r="H425" s="36" t="s">
        <v>625</v>
      </c>
      <c r="I425" s="36" t="s">
        <v>645</v>
      </c>
      <c r="J425" s="36" t="s">
        <v>618</v>
      </c>
      <c r="K425">
        <v>17</v>
      </c>
      <c r="L425">
        <v>700</v>
      </c>
      <c r="M425">
        <v>11900</v>
      </c>
      <c r="N425">
        <v>9044</v>
      </c>
      <c r="O425">
        <v>2856</v>
      </c>
      <c r="P425" s="11">
        <v>0.24</v>
      </c>
    </row>
    <row r="426" spans="1:16" x14ac:dyDescent="0.25">
      <c r="A426" s="36" t="s">
        <v>465</v>
      </c>
      <c r="B426" s="2">
        <v>45578</v>
      </c>
      <c r="C426" s="36" t="s">
        <v>59</v>
      </c>
      <c r="D426">
        <v>2024</v>
      </c>
      <c r="E426" s="36" t="s">
        <v>598</v>
      </c>
      <c r="F426" s="36" t="s">
        <v>40</v>
      </c>
      <c r="G426" s="36" t="s">
        <v>612</v>
      </c>
      <c r="H426" s="36" t="s">
        <v>620</v>
      </c>
      <c r="I426" s="36" t="s">
        <v>627</v>
      </c>
      <c r="J426" s="36" t="s">
        <v>615</v>
      </c>
      <c r="K426">
        <v>9</v>
      </c>
      <c r="L426">
        <v>50</v>
      </c>
      <c r="M426">
        <v>450</v>
      </c>
      <c r="N426">
        <v>319.5</v>
      </c>
      <c r="O426">
        <v>130.5</v>
      </c>
      <c r="P426" s="11">
        <v>0.28999999999999998</v>
      </c>
    </row>
    <row r="427" spans="1:16" x14ac:dyDescent="0.25">
      <c r="A427" s="36" t="s">
        <v>520</v>
      </c>
      <c r="B427" s="2">
        <v>45578</v>
      </c>
      <c r="C427" s="36" t="s">
        <v>53</v>
      </c>
      <c r="D427">
        <v>2024</v>
      </c>
      <c r="E427" s="36" t="s">
        <v>607</v>
      </c>
      <c r="F427" s="36" t="s">
        <v>42</v>
      </c>
      <c r="G427" s="36" t="s">
        <v>612</v>
      </c>
      <c r="H427" s="36" t="s">
        <v>625</v>
      </c>
      <c r="I427" s="36" t="s">
        <v>645</v>
      </c>
      <c r="J427" s="36" t="s">
        <v>618</v>
      </c>
      <c r="K427">
        <v>17</v>
      </c>
      <c r="L427">
        <v>300</v>
      </c>
      <c r="M427">
        <v>5100</v>
      </c>
      <c r="N427">
        <v>3723</v>
      </c>
      <c r="O427">
        <v>1377</v>
      </c>
      <c r="P427" s="11">
        <v>0.27</v>
      </c>
    </row>
    <row r="428" spans="1:16" x14ac:dyDescent="0.25">
      <c r="A428" s="36" t="s">
        <v>575</v>
      </c>
      <c r="B428" s="2">
        <v>45578</v>
      </c>
      <c r="C428" s="36" t="s">
        <v>65</v>
      </c>
      <c r="D428">
        <v>2024</v>
      </c>
      <c r="E428" s="36" t="s">
        <v>606</v>
      </c>
      <c r="F428" s="36" t="s">
        <v>40</v>
      </c>
      <c r="G428" s="36" t="s">
        <v>608</v>
      </c>
      <c r="H428" s="36" t="s">
        <v>629</v>
      </c>
      <c r="I428" s="36" t="s">
        <v>619</v>
      </c>
      <c r="J428" s="36" t="s">
        <v>615</v>
      </c>
      <c r="K428">
        <v>11</v>
      </c>
      <c r="L428">
        <v>50</v>
      </c>
      <c r="M428">
        <v>550</v>
      </c>
      <c r="N428">
        <v>357.5</v>
      </c>
      <c r="O428">
        <v>192.5</v>
      </c>
      <c r="P428" s="11">
        <v>0.35</v>
      </c>
    </row>
    <row r="429" spans="1:16" x14ac:dyDescent="0.25">
      <c r="A429" s="36" t="s">
        <v>381</v>
      </c>
      <c r="B429" s="2">
        <v>45579</v>
      </c>
      <c r="C429" s="36" t="s">
        <v>44</v>
      </c>
      <c r="D429">
        <v>2024</v>
      </c>
      <c r="E429" s="36" t="s">
        <v>602</v>
      </c>
      <c r="F429" s="36" t="s">
        <v>42</v>
      </c>
      <c r="G429" s="36" t="s">
        <v>609</v>
      </c>
      <c r="H429" s="36" t="s">
        <v>621</v>
      </c>
      <c r="I429" s="36" t="s">
        <v>619</v>
      </c>
      <c r="J429" s="36" t="s">
        <v>615</v>
      </c>
      <c r="K429">
        <v>11</v>
      </c>
      <c r="L429">
        <v>150</v>
      </c>
      <c r="M429">
        <v>1650</v>
      </c>
      <c r="N429">
        <v>1122</v>
      </c>
      <c r="O429">
        <v>528</v>
      </c>
      <c r="P429" s="11">
        <v>0.32</v>
      </c>
    </row>
    <row r="430" spans="1:16" x14ac:dyDescent="0.25">
      <c r="A430" s="36" t="s">
        <v>417</v>
      </c>
      <c r="B430" s="2">
        <v>45579</v>
      </c>
      <c r="C430" s="36" t="s">
        <v>59</v>
      </c>
      <c r="D430">
        <v>2024</v>
      </c>
      <c r="E430" s="36" t="s">
        <v>593</v>
      </c>
      <c r="F430" s="36" t="s">
        <v>41</v>
      </c>
      <c r="G430" s="36" t="s">
        <v>612</v>
      </c>
      <c r="H430" s="36" t="s">
        <v>629</v>
      </c>
      <c r="I430" s="36" t="s">
        <v>645</v>
      </c>
      <c r="J430" s="36" t="s">
        <v>618</v>
      </c>
      <c r="K430">
        <v>1</v>
      </c>
      <c r="L430">
        <v>1200</v>
      </c>
      <c r="M430">
        <v>1200</v>
      </c>
      <c r="N430">
        <v>924</v>
      </c>
      <c r="O430">
        <v>276</v>
      </c>
      <c r="P430" s="11">
        <v>0.23</v>
      </c>
    </row>
    <row r="431" spans="1:16" x14ac:dyDescent="0.25">
      <c r="A431" s="36" t="s">
        <v>331</v>
      </c>
      <c r="B431" s="2">
        <v>45580</v>
      </c>
      <c r="C431" s="36" t="s">
        <v>50</v>
      </c>
      <c r="D431">
        <v>2024</v>
      </c>
      <c r="E431" s="36" t="s">
        <v>599</v>
      </c>
      <c r="F431" s="36" t="s">
        <v>39</v>
      </c>
      <c r="G431" s="36" t="s">
        <v>612</v>
      </c>
      <c r="H431" s="36" t="s">
        <v>613</v>
      </c>
      <c r="I431" s="36" t="s">
        <v>617</v>
      </c>
      <c r="J431" s="36" t="s">
        <v>618</v>
      </c>
      <c r="K431">
        <v>16</v>
      </c>
      <c r="L431">
        <v>1200</v>
      </c>
      <c r="M431">
        <v>19200</v>
      </c>
      <c r="N431">
        <v>15936</v>
      </c>
      <c r="O431">
        <v>3264</v>
      </c>
      <c r="P431" s="11">
        <v>0.17</v>
      </c>
    </row>
    <row r="432" spans="1:16" x14ac:dyDescent="0.25">
      <c r="A432" s="36" t="s">
        <v>461</v>
      </c>
      <c r="B432" s="2">
        <v>45580</v>
      </c>
      <c r="C432" s="36" t="s">
        <v>83</v>
      </c>
      <c r="D432">
        <v>2024</v>
      </c>
      <c r="E432" s="36" t="s">
        <v>606</v>
      </c>
      <c r="F432" s="36" t="s">
        <v>40</v>
      </c>
      <c r="G432" s="36" t="s">
        <v>608</v>
      </c>
      <c r="H432" s="36" t="s">
        <v>629</v>
      </c>
      <c r="I432" s="36" t="s">
        <v>614</v>
      </c>
      <c r="J432" s="36" t="s">
        <v>618</v>
      </c>
      <c r="K432">
        <v>4</v>
      </c>
      <c r="L432">
        <v>7000</v>
      </c>
      <c r="M432">
        <v>28000</v>
      </c>
      <c r="N432">
        <v>24920</v>
      </c>
      <c r="O432">
        <v>3080</v>
      </c>
      <c r="P432" s="11">
        <v>0.11</v>
      </c>
    </row>
    <row r="433" spans="1:16" x14ac:dyDescent="0.25">
      <c r="A433" s="36" t="s">
        <v>439</v>
      </c>
      <c r="B433" s="2">
        <v>45581</v>
      </c>
      <c r="C433" s="36" t="s">
        <v>53</v>
      </c>
      <c r="D433">
        <v>2024</v>
      </c>
      <c r="E433" s="36" t="s">
        <v>593</v>
      </c>
      <c r="F433" s="36" t="s">
        <v>41</v>
      </c>
      <c r="G433" s="36" t="s">
        <v>612</v>
      </c>
      <c r="H433" s="36" t="s">
        <v>622</v>
      </c>
      <c r="I433" s="36" t="s">
        <v>627</v>
      </c>
      <c r="J433" s="36" t="s">
        <v>618</v>
      </c>
      <c r="K433">
        <v>5</v>
      </c>
      <c r="L433">
        <v>4000</v>
      </c>
      <c r="M433">
        <v>20000</v>
      </c>
      <c r="N433">
        <v>14000</v>
      </c>
      <c r="O433">
        <v>6000</v>
      </c>
      <c r="P433" s="11">
        <v>0.3</v>
      </c>
    </row>
    <row r="434" spans="1:16" x14ac:dyDescent="0.25">
      <c r="A434" s="36" t="s">
        <v>146</v>
      </c>
      <c r="B434" s="2">
        <v>45583</v>
      </c>
      <c r="C434" s="36" t="s">
        <v>55</v>
      </c>
      <c r="D434">
        <v>2024</v>
      </c>
      <c r="E434" s="36" t="s">
        <v>607</v>
      </c>
      <c r="F434" s="36" t="s">
        <v>42</v>
      </c>
      <c r="G434" s="36" t="s">
        <v>609</v>
      </c>
      <c r="H434" s="36" t="s">
        <v>625</v>
      </c>
      <c r="I434" s="36" t="s">
        <v>645</v>
      </c>
      <c r="J434" s="36" t="s">
        <v>618</v>
      </c>
      <c r="K434">
        <v>20</v>
      </c>
      <c r="L434">
        <v>50</v>
      </c>
      <c r="M434">
        <v>1000</v>
      </c>
      <c r="N434">
        <v>710</v>
      </c>
      <c r="O434">
        <v>290</v>
      </c>
      <c r="P434" s="11">
        <v>0.28999999999999998</v>
      </c>
    </row>
    <row r="435" spans="1:16" x14ac:dyDescent="0.25">
      <c r="A435" s="36" t="s">
        <v>168</v>
      </c>
      <c r="B435" s="2">
        <v>45583</v>
      </c>
      <c r="C435" s="36" t="s">
        <v>55</v>
      </c>
      <c r="D435">
        <v>2024</v>
      </c>
      <c r="E435" s="36" t="s">
        <v>607</v>
      </c>
      <c r="F435" s="36" t="s">
        <v>42</v>
      </c>
      <c r="G435" s="36" t="s">
        <v>609</v>
      </c>
      <c r="H435" s="36" t="s">
        <v>620</v>
      </c>
      <c r="I435" s="36" t="s">
        <v>623</v>
      </c>
      <c r="J435" s="36" t="s">
        <v>618</v>
      </c>
      <c r="K435">
        <v>20</v>
      </c>
      <c r="L435">
        <v>9000</v>
      </c>
      <c r="M435">
        <v>180000</v>
      </c>
      <c r="N435">
        <v>147600</v>
      </c>
      <c r="O435">
        <v>32400</v>
      </c>
      <c r="P435" s="11">
        <v>0.18</v>
      </c>
    </row>
    <row r="436" spans="1:16" x14ac:dyDescent="0.25">
      <c r="A436" s="36" t="s">
        <v>169</v>
      </c>
      <c r="B436" s="2">
        <v>45583</v>
      </c>
      <c r="C436" s="36" t="s">
        <v>59</v>
      </c>
      <c r="D436">
        <v>2024</v>
      </c>
      <c r="E436" s="36" t="s">
        <v>595</v>
      </c>
      <c r="F436" s="36" t="s">
        <v>39</v>
      </c>
      <c r="G436" s="36" t="s">
        <v>609</v>
      </c>
      <c r="H436" s="36" t="s">
        <v>613</v>
      </c>
      <c r="I436" s="36" t="s">
        <v>630</v>
      </c>
      <c r="J436" s="36" t="s">
        <v>615</v>
      </c>
      <c r="K436">
        <v>9</v>
      </c>
      <c r="L436">
        <v>55000</v>
      </c>
      <c r="M436">
        <v>495000</v>
      </c>
      <c r="N436">
        <v>326700</v>
      </c>
      <c r="O436">
        <v>168300</v>
      </c>
      <c r="P436" s="11">
        <v>0.34</v>
      </c>
    </row>
    <row r="437" spans="1:16" x14ac:dyDescent="0.25">
      <c r="A437" s="36" t="s">
        <v>264</v>
      </c>
      <c r="B437" s="2">
        <v>45583</v>
      </c>
      <c r="C437" s="36" t="s">
        <v>65</v>
      </c>
      <c r="D437">
        <v>2024</v>
      </c>
      <c r="E437" s="36" t="s">
        <v>594</v>
      </c>
      <c r="F437" s="36" t="s">
        <v>39</v>
      </c>
      <c r="G437" s="36" t="s">
        <v>611</v>
      </c>
      <c r="H437" s="36" t="s">
        <v>616</v>
      </c>
      <c r="I437" s="36" t="s">
        <v>617</v>
      </c>
      <c r="J437" s="36" t="s">
        <v>615</v>
      </c>
      <c r="K437">
        <v>9</v>
      </c>
      <c r="L437">
        <v>4000</v>
      </c>
      <c r="M437">
        <v>36000</v>
      </c>
      <c r="N437">
        <v>24480</v>
      </c>
      <c r="O437">
        <v>11520</v>
      </c>
      <c r="P437" s="11">
        <v>0.32</v>
      </c>
    </row>
    <row r="438" spans="1:16" x14ac:dyDescent="0.25">
      <c r="A438" s="36" t="s">
        <v>272</v>
      </c>
      <c r="B438" s="2">
        <v>45583</v>
      </c>
      <c r="C438" s="36" t="s">
        <v>57</v>
      </c>
      <c r="D438">
        <v>2024</v>
      </c>
      <c r="E438" s="36" t="s">
        <v>605</v>
      </c>
      <c r="F438" s="36" t="s">
        <v>40</v>
      </c>
      <c r="G438" s="36" t="s">
        <v>610</v>
      </c>
      <c r="H438" s="36" t="s">
        <v>621</v>
      </c>
      <c r="I438" s="36" t="s">
        <v>645</v>
      </c>
      <c r="J438" s="36" t="s">
        <v>618</v>
      </c>
      <c r="K438">
        <v>12</v>
      </c>
      <c r="L438">
        <v>15000</v>
      </c>
      <c r="M438">
        <v>180000</v>
      </c>
      <c r="N438">
        <v>144000</v>
      </c>
      <c r="O438">
        <v>36000</v>
      </c>
      <c r="P438" s="11">
        <v>0.2</v>
      </c>
    </row>
    <row r="439" spans="1:16" x14ac:dyDescent="0.25">
      <c r="A439" s="36" t="s">
        <v>403</v>
      </c>
      <c r="B439" s="2">
        <v>45583</v>
      </c>
      <c r="C439" s="36" t="s">
        <v>65</v>
      </c>
      <c r="D439">
        <v>2024</v>
      </c>
      <c r="E439" s="36" t="s">
        <v>606</v>
      </c>
      <c r="F439" s="36" t="s">
        <v>40</v>
      </c>
      <c r="G439" s="36" t="s">
        <v>610</v>
      </c>
      <c r="H439" s="36" t="s">
        <v>622</v>
      </c>
      <c r="I439" s="36" t="s">
        <v>617</v>
      </c>
      <c r="J439" s="36" t="s">
        <v>618</v>
      </c>
      <c r="K439">
        <v>8</v>
      </c>
      <c r="L439">
        <v>7000</v>
      </c>
      <c r="M439">
        <v>56000</v>
      </c>
      <c r="N439">
        <v>34160</v>
      </c>
      <c r="O439">
        <v>21840</v>
      </c>
      <c r="P439" s="11">
        <v>0.39</v>
      </c>
    </row>
    <row r="440" spans="1:16" x14ac:dyDescent="0.25">
      <c r="A440" s="36" t="s">
        <v>521</v>
      </c>
      <c r="B440" s="2">
        <v>45584</v>
      </c>
      <c r="C440" s="36" t="s">
        <v>53</v>
      </c>
      <c r="D440">
        <v>2024</v>
      </c>
      <c r="E440" s="36" t="s">
        <v>603</v>
      </c>
      <c r="F440" s="36" t="s">
        <v>42</v>
      </c>
      <c r="G440" s="36" t="s">
        <v>608</v>
      </c>
      <c r="H440" s="36" t="s">
        <v>629</v>
      </c>
      <c r="I440" s="36" t="s">
        <v>627</v>
      </c>
      <c r="J440" s="36" t="s">
        <v>615</v>
      </c>
      <c r="K440">
        <v>13</v>
      </c>
      <c r="L440">
        <v>4000</v>
      </c>
      <c r="M440">
        <v>52000</v>
      </c>
      <c r="N440">
        <v>45760</v>
      </c>
      <c r="O440">
        <v>6240</v>
      </c>
      <c r="P440" s="11">
        <v>0.12</v>
      </c>
    </row>
    <row r="441" spans="1:16" x14ac:dyDescent="0.25">
      <c r="A441" s="36" t="s">
        <v>276</v>
      </c>
      <c r="B441" s="2">
        <v>45586</v>
      </c>
      <c r="C441" s="36" t="s">
        <v>62</v>
      </c>
      <c r="D441">
        <v>2024</v>
      </c>
      <c r="E441" s="36" t="s">
        <v>592</v>
      </c>
      <c r="F441" s="36" t="s">
        <v>40</v>
      </c>
      <c r="G441" s="36" t="s">
        <v>608</v>
      </c>
      <c r="H441" s="36" t="s">
        <v>622</v>
      </c>
      <c r="I441" s="36" t="s">
        <v>617</v>
      </c>
      <c r="J441" s="36" t="s">
        <v>615</v>
      </c>
      <c r="K441">
        <v>17</v>
      </c>
      <c r="L441">
        <v>8000</v>
      </c>
      <c r="M441">
        <v>136000</v>
      </c>
      <c r="N441">
        <v>103360</v>
      </c>
      <c r="O441">
        <v>32640</v>
      </c>
      <c r="P441" s="11">
        <v>0.24</v>
      </c>
    </row>
    <row r="442" spans="1:16" x14ac:dyDescent="0.25">
      <c r="A442" s="36" t="s">
        <v>512</v>
      </c>
      <c r="B442" s="2">
        <v>45586</v>
      </c>
      <c r="C442" s="36" t="s">
        <v>83</v>
      </c>
      <c r="D442">
        <v>2024</v>
      </c>
      <c r="E442" s="36" t="s">
        <v>596</v>
      </c>
      <c r="F442" s="36" t="s">
        <v>39</v>
      </c>
      <c r="G442" s="36" t="s">
        <v>612</v>
      </c>
      <c r="H442" s="36" t="s">
        <v>616</v>
      </c>
      <c r="I442" s="36" t="s">
        <v>619</v>
      </c>
      <c r="J442" s="36" t="s">
        <v>618</v>
      </c>
      <c r="K442">
        <v>12</v>
      </c>
      <c r="L442">
        <v>4000</v>
      </c>
      <c r="M442">
        <v>48000</v>
      </c>
      <c r="N442">
        <v>40320</v>
      </c>
      <c r="O442">
        <v>7680</v>
      </c>
      <c r="P442" s="11">
        <v>0.16</v>
      </c>
    </row>
    <row r="443" spans="1:16" x14ac:dyDescent="0.25">
      <c r="A443" s="36" t="s">
        <v>361</v>
      </c>
      <c r="B443" s="2">
        <v>45587</v>
      </c>
      <c r="C443" s="36" t="s">
        <v>55</v>
      </c>
      <c r="D443">
        <v>2024</v>
      </c>
      <c r="E443" s="36" t="s">
        <v>602</v>
      </c>
      <c r="F443" s="36" t="s">
        <v>42</v>
      </c>
      <c r="G443" s="36" t="s">
        <v>608</v>
      </c>
      <c r="H443" s="36" t="s">
        <v>621</v>
      </c>
      <c r="I443" s="36" t="s">
        <v>645</v>
      </c>
      <c r="J443" s="36" t="s">
        <v>615</v>
      </c>
      <c r="K443">
        <v>11</v>
      </c>
      <c r="L443">
        <v>45000</v>
      </c>
      <c r="M443">
        <v>495000</v>
      </c>
      <c r="N443">
        <v>381150</v>
      </c>
      <c r="O443">
        <v>113850</v>
      </c>
      <c r="P443" s="11">
        <v>0.23</v>
      </c>
    </row>
    <row r="444" spans="1:16" x14ac:dyDescent="0.25">
      <c r="A444" s="36" t="s">
        <v>412</v>
      </c>
      <c r="B444" s="2">
        <v>45587</v>
      </c>
      <c r="C444" s="36" t="s">
        <v>44</v>
      </c>
      <c r="D444">
        <v>2024</v>
      </c>
      <c r="E444" s="36" t="s">
        <v>597</v>
      </c>
      <c r="F444" s="36" t="s">
        <v>41</v>
      </c>
      <c r="G444" s="36" t="s">
        <v>609</v>
      </c>
      <c r="H444" s="36" t="s">
        <v>625</v>
      </c>
      <c r="I444" s="36" t="s">
        <v>645</v>
      </c>
      <c r="J444" s="36" t="s">
        <v>615</v>
      </c>
      <c r="K444">
        <v>16</v>
      </c>
      <c r="L444">
        <v>50</v>
      </c>
      <c r="M444">
        <v>800</v>
      </c>
      <c r="N444">
        <v>656</v>
      </c>
      <c r="O444">
        <v>144</v>
      </c>
      <c r="P444" s="11">
        <v>0.18</v>
      </c>
    </row>
    <row r="445" spans="1:16" x14ac:dyDescent="0.25">
      <c r="A445" s="36" t="s">
        <v>245</v>
      </c>
      <c r="B445" s="2">
        <v>45588</v>
      </c>
      <c r="C445" s="36" t="s">
        <v>65</v>
      </c>
      <c r="D445">
        <v>2024</v>
      </c>
      <c r="E445" s="36" t="s">
        <v>605</v>
      </c>
      <c r="F445" s="36" t="s">
        <v>40</v>
      </c>
      <c r="G445" s="36" t="s">
        <v>609</v>
      </c>
      <c r="H445" s="36" t="s">
        <v>629</v>
      </c>
      <c r="I445" s="36" t="s">
        <v>645</v>
      </c>
      <c r="J445" s="36" t="s">
        <v>618</v>
      </c>
      <c r="K445">
        <v>9</v>
      </c>
      <c r="L445">
        <v>12000</v>
      </c>
      <c r="M445">
        <v>108000</v>
      </c>
      <c r="N445">
        <v>69120</v>
      </c>
      <c r="O445">
        <v>38880</v>
      </c>
      <c r="P445" s="11">
        <v>0.36</v>
      </c>
    </row>
    <row r="446" spans="1:16" x14ac:dyDescent="0.25">
      <c r="A446" s="36" t="s">
        <v>77</v>
      </c>
      <c r="B446" s="2">
        <v>45589</v>
      </c>
      <c r="C446" s="36" t="s">
        <v>62</v>
      </c>
      <c r="D446">
        <v>2024</v>
      </c>
      <c r="E446" s="36" t="s">
        <v>594</v>
      </c>
      <c r="F446" s="36" t="s">
        <v>39</v>
      </c>
      <c r="G446" s="36" t="s">
        <v>612</v>
      </c>
      <c r="H446" s="36" t="s">
        <v>626</v>
      </c>
      <c r="I446" s="36" t="s">
        <v>645</v>
      </c>
      <c r="J446" s="36" t="s">
        <v>615</v>
      </c>
      <c r="K446">
        <v>16</v>
      </c>
      <c r="L446">
        <v>12000</v>
      </c>
      <c r="M446">
        <v>192000</v>
      </c>
      <c r="N446">
        <v>147840</v>
      </c>
      <c r="O446">
        <v>44160</v>
      </c>
      <c r="P446" s="11">
        <v>0.23</v>
      </c>
    </row>
    <row r="447" spans="1:16" x14ac:dyDescent="0.25">
      <c r="A447" s="36" t="s">
        <v>375</v>
      </c>
      <c r="B447" s="2">
        <v>45592</v>
      </c>
      <c r="C447" s="36" t="s">
        <v>53</v>
      </c>
      <c r="D447">
        <v>2024</v>
      </c>
      <c r="E447" s="36" t="s">
        <v>600</v>
      </c>
      <c r="F447" s="36" t="s">
        <v>39</v>
      </c>
      <c r="G447" s="36" t="s">
        <v>610</v>
      </c>
      <c r="H447" s="36" t="s">
        <v>622</v>
      </c>
      <c r="I447" s="36" t="s">
        <v>630</v>
      </c>
      <c r="J447" s="36" t="s">
        <v>618</v>
      </c>
      <c r="K447">
        <v>13</v>
      </c>
      <c r="L447">
        <v>20</v>
      </c>
      <c r="M447">
        <v>260</v>
      </c>
      <c r="N447">
        <v>179.4</v>
      </c>
      <c r="O447">
        <v>80.599999999999994</v>
      </c>
      <c r="P447" s="11">
        <v>0.31</v>
      </c>
    </row>
    <row r="448" spans="1:16" x14ac:dyDescent="0.25">
      <c r="A448" s="36" t="s">
        <v>483</v>
      </c>
      <c r="B448" s="2">
        <v>45592</v>
      </c>
      <c r="C448" s="36" t="s">
        <v>57</v>
      </c>
      <c r="D448">
        <v>2024</v>
      </c>
      <c r="E448" s="36" t="s">
        <v>602</v>
      </c>
      <c r="F448" s="36" t="s">
        <v>42</v>
      </c>
      <c r="G448" s="36" t="s">
        <v>608</v>
      </c>
      <c r="H448" s="36" t="s">
        <v>620</v>
      </c>
      <c r="I448" s="36" t="s">
        <v>630</v>
      </c>
      <c r="J448" s="36" t="s">
        <v>618</v>
      </c>
      <c r="K448">
        <v>6</v>
      </c>
      <c r="L448">
        <v>700</v>
      </c>
      <c r="M448">
        <v>4200</v>
      </c>
      <c r="N448">
        <v>3318</v>
      </c>
      <c r="O448">
        <v>882</v>
      </c>
      <c r="P448" s="11">
        <v>0.21</v>
      </c>
    </row>
    <row r="449" spans="1:16" x14ac:dyDescent="0.25">
      <c r="A449" s="36" t="s">
        <v>506</v>
      </c>
      <c r="B449" s="2">
        <v>45592</v>
      </c>
      <c r="C449" s="36" t="s">
        <v>46</v>
      </c>
      <c r="D449">
        <v>2024</v>
      </c>
      <c r="E449" s="36" t="s">
        <v>605</v>
      </c>
      <c r="F449" s="36" t="s">
        <v>40</v>
      </c>
      <c r="G449" s="36" t="s">
        <v>611</v>
      </c>
      <c r="H449" s="36" t="s">
        <v>624</v>
      </c>
      <c r="I449" s="36" t="s">
        <v>619</v>
      </c>
      <c r="J449" s="36" t="s">
        <v>615</v>
      </c>
      <c r="K449">
        <v>14</v>
      </c>
      <c r="L449">
        <v>9000</v>
      </c>
      <c r="M449">
        <v>126000</v>
      </c>
      <c r="N449">
        <v>93240</v>
      </c>
      <c r="O449">
        <v>32760</v>
      </c>
      <c r="P449" s="11">
        <v>0.26</v>
      </c>
    </row>
    <row r="450" spans="1:16" x14ac:dyDescent="0.25">
      <c r="A450" s="36" t="s">
        <v>142</v>
      </c>
      <c r="B450" s="2">
        <v>45595</v>
      </c>
      <c r="C450" s="36" t="s">
        <v>44</v>
      </c>
      <c r="D450">
        <v>2024</v>
      </c>
      <c r="E450" s="36" t="s">
        <v>599</v>
      </c>
      <c r="F450" s="36" t="s">
        <v>39</v>
      </c>
      <c r="G450" s="36" t="s">
        <v>612</v>
      </c>
      <c r="H450" s="36" t="s">
        <v>629</v>
      </c>
      <c r="I450" s="36" t="s">
        <v>614</v>
      </c>
      <c r="J450" s="36" t="s">
        <v>618</v>
      </c>
      <c r="K450">
        <v>1</v>
      </c>
      <c r="L450">
        <v>4000</v>
      </c>
      <c r="M450">
        <v>4000</v>
      </c>
      <c r="N450">
        <v>3120</v>
      </c>
      <c r="O450">
        <v>880</v>
      </c>
      <c r="P450" s="11">
        <v>0.22</v>
      </c>
    </row>
    <row r="451" spans="1:16" x14ac:dyDescent="0.25">
      <c r="A451" s="36" t="s">
        <v>250</v>
      </c>
      <c r="B451" s="2">
        <v>45595</v>
      </c>
      <c r="C451" s="36" t="s">
        <v>44</v>
      </c>
      <c r="D451">
        <v>2024</v>
      </c>
      <c r="E451" s="36" t="s">
        <v>603</v>
      </c>
      <c r="F451" s="36" t="s">
        <v>42</v>
      </c>
      <c r="G451" s="36" t="s">
        <v>609</v>
      </c>
      <c r="H451" s="36" t="s">
        <v>620</v>
      </c>
      <c r="I451" s="36" t="s">
        <v>623</v>
      </c>
      <c r="J451" s="36" t="s">
        <v>615</v>
      </c>
      <c r="K451">
        <v>7</v>
      </c>
      <c r="L451">
        <v>20</v>
      </c>
      <c r="M451">
        <v>140</v>
      </c>
      <c r="N451">
        <v>121.8</v>
      </c>
      <c r="O451">
        <v>18.200000000000003</v>
      </c>
      <c r="P451" s="11">
        <v>0.13000000000000003</v>
      </c>
    </row>
    <row r="452" spans="1:16" x14ac:dyDescent="0.25">
      <c r="A452" s="36" t="s">
        <v>454</v>
      </c>
      <c r="B452" s="2">
        <v>45595</v>
      </c>
      <c r="C452" s="36" t="s">
        <v>55</v>
      </c>
      <c r="D452">
        <v>2024</v>
      </c>
      <c r="E452" s="36" t="s">
        <v>597</v>
      </c>
      <c r="F452" s="36" t="s">
        <v>41</v>
      </c>
      <c r="G452" s="36" t="s">
        <v>608</v>
      </c>
      <c r="H452" s="36" t="s">
        <v>625</v>
      </c>
      <c r="I452" s="36" t="s">
        <v>627</v>
      </c>
      <c r="J452" s="36" t="s">
        <v>615</v>
      </c>
      <c r="K452">
        <v>4</v>
      </c>
      <c r="L452">
        <v>9000</v>
      </c>
      <c r="M452">
        <v>36000</v>
      </c>
      <c r="N452">
        <v>29160</v>
      </c>
      <c r="O452">
        <v>6840</v>
      </c>
      <c r="P452" s="11">
        <v>0.19</v>
      </c>
    </row>
    <row r="453" spans="1:16" x14ac:dyDescent="0.25">
      <c r="A453" s="36" t="s">
        <v>149</v>
      </c>
      <c r="B453" s="2">
        <v>45597</v>
      </c>
      <c r="C453" s="36" t="s">
        <v>83</v>
      </c>
      <c r="D453">
        <v>2024</v>
      </c>
      <c r="E453" s="36" t="s">
        <v>601</v>
      </c>
      <c r="F453" s="36" t="s">
        <v>41</v>
      </c>
      <c r="G453" s="36" t="s">
        <v>611</v>
      </c>
      <c r="H453" s="36" t="s">
        <v>629</v>
      </c>
      <c r="I453" s="36" t="s">
        <v>630</v>
      </c>
      <c r="J453" s="36" t="s">
        <v>615</v>
      </c>
      <c r="K453">
        <v>9</v>
      </c>
      <c r="L453">
        <v>8000</v>
      </c>
      <c r="M453">
        <v>72000</v>
      </c>
      <c r="N453">
        <v>49680</v>
      </c>
      <c r="O453">
        <v>22320</v>
      </c>
      <c r="P453" s="11">
        <v>0.31</v>
      </c>
    </row>
    <row r="454" spans="1:16" x14ac:dyDescent="0.25">
      <c r="A454" s="36" t="s">
        <v>487</v>
      </c>
      <c r="B454" s="2">
        <v>45597</v>
      </c>
      <c r="C454" s="36" t="s">
        <v>59</v>
      </c>
      <c r="D454">
        <v>2024</v>
      </c>
      <c r="E454" s="36" t="s">
        <v>594</v>
      </c>
      <c r="F454" s="36" t="s">
        <v>39</v>
      </c>
      <c r="G454" s="36" t="s">
        <v>612</v>
      </c>
      <c r="H454" s="36" t="s">
        <v>616</v>
      </c>
      <c r="I454" s="36" t="s">
        <v>619</v>
      </c>
      <c r="J454" s="36" t="s">
        <v>618</v>
      </c>
      <c r="K454">
        <v>2</v>
      </c>
      <c r="L454">
        <v>700</v>
      </c>
      <c r="M454">
        <v>1400</v>
      </c>
      <c r="N454">
        <v>854</v>
      </c>
      <c r="O454">
        <v>546</v>
      </c>
      <c r="P454" s="11">
        <v>0.39</v>
      </c>
    </row>
    <row r="455" spans="1:16" x14ac:dyDescent="0.25">
      <c r="A455" s="36" t="s">
        <v>148</v>
      </c>
      <c r="B455" s="2">
        <v>45598</v>
      </c>
      <c r="C455" s="36" t="s">
        <v>48</v>
      </c>
      <c r="D455">
        <v>2024</v>
      </c>
      <c r="E455" s="36" t="s">
        <v>602</v>
      </c>
      <c r="F455" s="36" t="s">
        <v>42</v>
      </c>
      <c r="G455" s="36" t="s">
        <v>610</v>
      </c>
      <c r="H455" s="36" t="s">
        <v>626</v>
      </c>
      <c r="I455" s="36" t="s">
        <v>627</v>
      </c>
      <c r="J455" s="36" t="s">
        <v>618</v>
      </c>
      <c r="K455">
        <v>7</v>
      </c>
      <c r="L455">
        <v>3500</v>
      </c>
      <c r="M455">
        <v>24500</v>
      </c>
      <c r="N455">
        <v>15435</v>
      </c>
      <c r="O455">
        <v>9065</v>
      </c>
      <c r="P455" s="11">
        <v>0.37</v>
      </c>
    </row>
    <row r="456" spans="1:16" x14ac:dyDescent="0.25">
      <c r="A456" s="36" t="s">
        <v>367</v>
      </c>
      <c r="B456" s="2">
        <v>45598</v>
      </c>
      <c r="C456" s="36" t="s">
        <v>65</v>
      </c>
      <c r="D456">
        <v>2024</v>
      </c>
      <c r="E456" s="36" t="s">
        <v>605</v>
      </c>
      <c r="F456" s="36" t="s">
        <v>40</v>
      </c>
      <c r="G456" s="36" t="s">
        <v>610</v>
      </c>
      <c r="H456" s="36" t="s">
        <v>622</v>
      </c>
      <c r="I456" s="36" t="s">
        <v>623</v>
      </c>
      <c r="J456" s="36" t="s">
        <v>615</v>
      </c>
      <c r="K456">
        <v>5</v>
      </c>
      <c r="L456">
        <v>50</v>
      </c>
      <c r="M456">
        <v>250</v>
      </c>
      <c r="N456">
        <v>182.5</v>
      </c>
      <c r="O456">
        <v>67.5</v>
      </c>
      <c r="P456" s="11">
        <v>0.27</v>
      </c>
    </row>
    <row r="457" spans="1:16" x14ac:dyDescent="0.25">
      <c r="A457" s="36" t="s">
        <v>81</v>
      </c>
      <c r="B457" s="2">
        <v>45600</v>
      </c>
      <c r="C457" s="36" t="s">
        <v>46</v>
      </c>
      <c r="D457">
        <v>2024</v>
      </c>
      <c r="E457" s="36" t="s">
        <v>603</v>
      </c>
      <c r="F457" s="36" t="s">
        <v>42</v>
      </c>
      <c r="G457" s="36" t="s">
        <v>609</v>
      </c>
      <c r="H457" s="36" t="s">
        <v>625</v>
      </c>
      <c r="I457" s="36" t="s">
        <v>614</v>
      </c>
      <c r="J457" s="36" t="s">
        <v>615</v>
      </c>
      <c r="K457">
        <v>10</v>
      </c>
      <c r="L457">
        <v>7000</v>
      </c>
      <c r="M457">
        <v>70000</v>
      </c>
      <c r="N457">
        <v>58800</v>
      </c>
      <c r="O457">
        <v>11200</v>
      </c>
      <c r="P457" s="11">
        <v>0.16</v>
      </c>
    </row>
    <row r="458" spans="1:16" x14ac:dyDescent="0.25">
      <c r="A458" s="36" t="s">
        <v>91</v>
      </c>
      <c r="B458" s="2">
        <v>45600</v>
      </c>
      <c r="C458" s="36" t="s">
        <v>65</v>
      </c>
      <c r="D458">
        <v>2024</v>
      </c>
      <c r="E458" s="36" t="s">
        <v>596</v>
      </c>
      <c r="F458" s="36" t="s">
        <v>39</v>
      </c>
      <c r="G458" s="36" t="s">
        <v>608</v>
      </c>
      <c r="H458" s="36" t="s">
        <v>626</v>
      </c>
      <c r="I458" s="36" t="s">
        <v>645</v>
      </c>
      <c r="J458" s="36" t="s">
        <v>615</v>
      </c>
      <c r="K458">
        <v>6</v>
      </c>
      <c r="L458">
        <v>7000</v>
      </c>
      <c r="M458">
        <v>42000</v>
      </c>
      <c r="N458">
        <v>33600</v>
      </c>
      <c r="O458">
        <v>8400</v>
      </c>
      <c r="P458" s="11">
        <v>0.2</v>
      </c>
    </row>
    <row r="459" spans="1:16" x14ac:dyDescent="0.25">
      <c r="A459" s="36" t="s">
        <v>196</v>
      </c>
      <c r="B459" s="2">
        <v>45600</v>
      </c>
      <c r="C459" s="36" t="s">
        <v>83</v>
      </c>
      <c r="D459">
        <v>2024</v>
      </c>
      <c r="E459" s="36" t="s">
        <v>597</v>
      </c>
      <c r="F459" s="36" t="s">
        <v>41</v>
      </c>
      <c r="G459" s="36" t="s">
        <v>611</v>
      </c>
      <c r="H459" s="36" t="s">
        <v>624</v>
      </c>
      <c r="I459" s="36" t="s">
        <v>617</v>
      </c>
      <c r="J459" s="36" t="s">
        <v>615</v>
      </c>
      <c r="K459">
        <v>17</v>
      </c>
      <c r="L459">
        <v>15000</v>
      </c>
      <c r="M459">
        <v>255000</v>
      </c>
      <c r="N459">
        <v>165750</v>
      </c>
      <c r="O459">
        <v>89250</v>
      </c>
      <c r="P459" s="11">
        <v>0.35</v>
      </c>
    </row>
    <row r="460" spans="1:16" x14ac:dyDescent="0.25">
      <c r="A460" s="36" t="s">
        <v>376</v>
      </c>
      <c r="B460" s="2">
        <v>45600</v>
      </c>
      <c r="C460" s="36" t="s">
        <v>50</v>
      </c>
      <c r="D460">
        <v>2024</v>
      </c>
      <c r="E460" s="36" t="s">
        <v>605</v>
      </c>
      <c r="F460" s="36" t="s">
        <v>40</v>
      </c>
      <c r="G460" s="36" t="s">
        <v>609</v>
      </c>
      <c r="H460" s="36" t="s">
        <v>616</v>
      </c>
      <c r="I460" s="36" t="s">
        <v>619</v>
      </c>
      <c r="J460" s="36" t="s">
        <v>618</v>
      </c>
      <c r="K460">
        <v>12</v>
      </c>
      <c r="L460">
        <v>12000</v>
      </c>
      <c r="M460">
        <v>144000</v>
      </c>
      <c r="N460">
        <v>106560</v>
      </c>
      <c r="O460">
        <v>37440</v>
      </c>
      <c r="P460" s="11">
        <v>0.26</v>
      </c>
    </row>
    <row r="461" spans="1:16" x14ac:dyDescent="0.25">
      <c r="A461" s="36" t="s">
        <v>275</v>
      </c>
      <c r="B461" s="2">
        <v>45601</v>
      </c>
      <c r="C461" s="36" t="s">
        <v>50</v>
      </c>
      <c r="D461">
        <v>2024</v>
      </c>
      <c r="E461" s="36" t="s">
        <v>593</v>
      </c>
      <c r="F461" s="36" t="s">
        <v>41</v>
      </c>
      <c r="G461" s="36" t="s">
        <v>609</v>
      </c>
      <c r="H461" s="36" t="s">
        <v>613</v>
      </c>
      <c r="I461" s="36" t="s">
        <v>645</v>
      </c>
      <c r="J461" s="36" t="s">
        <v>615</v>
      </c>
      <c r="K461">
        <v>14</v>
      </c>
      <c r="L461">
        <v>7000</v>
      </c>
      <c r="M461">
        <v>98000</v>
      </c>
      <c r="N461">
        <v>76440</v>
      </c>
      <c r="O461">
        <v>21560</v>
      </c>
      <c r="P461" s="11">
        <v>0.22</v>
      </c>
    </row>
    <row r="462" spans="1:16" x14ac:dyDescent="0.25">
      <c r="A462" s="36" t="s">
        <v>307</v>
      </c>
      <c r="B462" s="2">
        <v>45602</v>
      </c>
      <c r="C462" s="36" t="s">
        <v>53</v>
      </c>
      <c r="D462">
        <v>2024</v>
      </c>
      <c r="E462" s="36" t="s">
        <v>601</v>
      </c>
      <c r="F462" s="36" t="s">
        <v>41</v>
      </c>
      <c r="G462" s="36" t="s">
        <v>612</v>
      </c>
      <c r="H462" s="36" t="s">
        <v>621</v>
      </c>
      <c r="I462" s="36" t="s">
        <v>645</v>
      </c>
      <c r="J462" s="36" t="s">
        <v>615</v>
      </c>
      <c r="K462">
        <v>7</v>
      </c>
      <c r="L462">
        <v>25000</v>
      </c>
      <c r="M462">
        <v>175000</v>
      </c>
      <c r="N462">
        <v>124250</v>
      </c>
      <c r="O462">
        <v>50750</v>
      </c>
      <c r="P462" s="11">
        <v>0.28999999999999998</v>
      </c>
    </row>
    <row r="463" spans="1:16" x14ac:dyDescent="0.25">
      <c r="A463" s="36" t="s">
        <v>428</v>
      </c>
      <c r="B463" s="2">
        <v>45602</v>
      </c>
      <c r="C463" s="36" t="s">
        <v>59</v>
      </c>
      <c r="D463">
        <v>2024</v>
      </c>
      <c r="E463" s="36" t="s">
        <v>604</v>
      </c>
      <c r="F463" s="36" t="s">
        <v>41</v>
      </c>
      <c r="G463" s="36" t="s">
        <v>610</v>
      </c>
      <c r="H463" s="36" t="s">
        <v>626</v>
      </c>
      <c r="I463" s="36" t="s">
        <v>617</v>
      </c>
      <c r="J463" s="36" t="s">
        <v>615</v>
      </c>
      <c r="K463">
        <v>10</v>
      </c>
      <c r="L463">
        <v>15000</v>
      </c>
      <c r="M463">
        <v>150000</v>
      </c>
      <c r="N463">
        <v>130500</v>
      </c>
      <c r="O463">
        <v>19500</v>
      </c>
      <c r="P463" s="11">
        <v>0.13</v>
      </c>
    </row>
    <row r="464" spans="1:16" x14ac:dyDescent="0.25">
      <c r="A464" s="36" t="s">
        <v>574</v>
      </c>
      <c r="B464" s="2">
        <v>45603</v>
      </c>
      <c r="C464" s="36" t="s">
        <v>46</v>
      </c>
      <c r="D464">
        <v>2024</v>
      </c>
      <c r="E464" s="36" t="s">
        <v>595</v>
      </c>
      <c r="F464" s="36" t="s">
        <v>39</v>
      </c>
      <c r="G464" s="36" t="s">
        <v>612</v>
      </c>
      <c r="H464" s="36" t="s">
        <v>628</v>
      </c>
      <c r="I464" s="36" t="s">
        <v>645</v>
      </c>
      <c r="J464" s="36" t="s">
        <v>615</v>
      </c>
      <c r="K464">
        <v>19</v>
      </c>
      <c r="L464">
        <v>20</v>
      </c>
      <c r="M464">
        <v>380</v>
      </c>
      <c r="N464">
        <v>334.4</v>
      </c>
      <c r="O464">
        <v>45.600000000000023</v>
      </c>
      <c r="P464" s="11">
        <v>0.12000000000000006</v>
      </c>
    </row>
    <row r="465" spans="1:16" x14ac:dyDescent="0.25">
      <c r="A465" s="36" t="s">
        <v>543</v>
      </c>
      <c r="B465" s="2">
        <v>45604</v>
      </c>
      <c r="C465" s="36" t="s">
        <v>62</v>
      </c>
      <c r="D465">
        <v>2024</v>
      </c>
      <c r="E465" s="36" t="s">
        <v>603</v>
      </c>
      <c r="F465" s="36" t="s">
        <v>42</v>
      </c>
      <c r="G465" s="36" t="s">
        <v>608</v>
      </c>
      <c r="H465" s="36" t="s">
        <v>626</v>
      </c>
      <c r="I465" s="36" t="s">
        <v>645</v>
      </c>
      <c r="J465" s="36" t="s">
        <v>615</v>
      </c>
      <c r="K465">
        <v>17</v>
      </c>
      <c r="L465">
        <v>8000</v>
      </c>
      <c r="M465">
        <v>136000</v>
      </c>
      <c r="N465">
        <v>97920</v>
      </c>
      <c r="O465">
        <v>38080</v>
      </c>
      <c r="P465" s="11">
        <v>0.28000000000000003</v>
      </c>
    </row>
    <row r="466" spans="1:16" x14ac:dyDescent="0.25">
      <c r="A466" s="36" t="s">
        <v>589</v>
      </c>
      <c r="B466" s="2">
        <v>45604</v>
      </c>
      <c r="C466" s="36" t="s">
        <v>55</v>
      </c>
      <c r="D466">
        <v>2024</v>
      </c>
      <c r="E466" s="36" t="s">
        <v>594</v>
      </c>
      <c r="F466" s="36" t="s">
        <v>39</v>
      </c>
      <c r="G466" s="36" t="s">
        <v>608</v>
      </c>
      <c r="H466" s="36" t="s">
        <v>624</v>
      </c>
      <c r="I466" s="36" t="s">
        <v>630</v>
      </c>
      <c r="J466" s="36" t="s">
        <v>618</v>
      </c>
      <c r="K466">
        <v>8</v>
      </c>
      <c r="L466">
        <v>300</v>
      </c>
      <c r="M466">
        <v>2400</v>
      </c>
      <c r="N466">
        <v>1728</v>
      </c>
      <c r="O466">
        <v>672</v>
      </c>
      <c r="P466" s="11">
        <v>0.28000000000000003</v>
      </c>
    </row>
    <row r="467" spans="1:16" x14ac:dyDescent="0.25">
      <c r="A467" s="36" t="s">
        <v>346</v>
      </c>
      <c r="B467" s="2">
        <v>45605</v>
      </c>
      <c r="C467" s="36" t="s">
        <v>65</v>
      </c>
      <c r="D467">
        <v>2024</v>
      </c>
      <c r="E467" s="36" t="s">
        <v>605</v>
      </c>
      <c r="F467" s="36" t="s">
        <v>40</v>
      </c>
      <c r="G467" s="36" t="s">
        <v>608</v>
      </c>
      <c r="H467" s="36" t="s">
        <v>624</v>
      </c>
      <c r="I467" s="36" t="s">
        <v>617</v>
      </c>
      <c r="J467" s="36" t="s">
        <v>618</v>
      </c>
      <c r="K467">
        <v>8</v>
      </c>
      <c r="L467">
        <v>7000</v>
      </c>
      <c r="M467">
        <v>56000</v>
      </c>
      <c r="N467">
        <v>49280</v>
      </c>
      <c r="O467">
        <v>6720</v>
      </c>
      <c r="P467" s="11">
        <v>0.12</v>
      </c>
    </row>
    <row r="468" spans="1:16" x14ac:dyDescent="0.25">
      <c r="A468" s="36" t="s">
        <v>419</v>
      </c>
      <c r="B468" s="2">
        <v>45605</v>
      </c>
      <c r="C468" s="36" t="s">
        <v>55</v>
      </c>
      <c r="D468">
        <v>2024</v>
      </c>
      <c r="E468" s="36" t="s">
        <v>605</v>
      </c>
      <c r="F468" s="36" t="s">
        <v>40</v>
      </c>
      <c r="G468" s="36" t="s">
        <v>610</v>
      </c>
      <c r="H468" s="36" t="s">
        <v>629</v>
      </c>
      <c r="I468" s="36" t="s">
        <v>645</v>
      </c>
      <c r="J468" s="36" t="s">
        <v>615</v>
      </c>
      <c r="K468">
        <v>4</v>
      </c>
      <c r="L468">
        <v>8000</v>
      </c>
      <c r="M468">
        <v>32000</v>
      </c>
      <c r="N468">
        <v>20160</v>
      </c>
      <c r="O468">
        <v>11840</v>
      </c>
      <c r="P468" s="11">
        <v>0.37</v>
      </c>
    </row>
    <row r="469" spans="1:16" x14ac:dyDescent="0.25">
      <c r="A469" s="36" t="s">
        <v>436</v>
      </c>
      <c r="B469" s="2">
        <v>45605</v>
      </c>
      <c r="C469" s="36" t="s">
        <v>53</v>
      </c>
      <c r="D469">
        <v>2024</v>
      </c>
      <c r="E469" s="36" t="s">
        <v>604</v>
      </c>
      <c r="F469" s="36" t="s">
        <v>41</v>
      </c>
      <c r="G469" s="36" t="s">
        <v>608</v>
      </c>
      <c r="H469" s="36" t="s">
        <v>616</v>
      </c>
      <c r="I469" s="36" t="s">
        <v>645</v>
      </c>
      <c r="J469" s="36" t="s">
        <v>615</v>
      </c>
      <c r="K469">
        <v>10</v>
      </c>
      <c r="L469">
        <v>45000</v>
      </c>
      <c r="M469">
        <v>450000</v>
      </c>
      <c r="N469">
        <v>333000</v>
      </c>
      <c r="O469">
        <v>117000</v>
      </c>
      <c r="P469" s="11">
        <v>0.26</v>
      </c>
    </row>
    <row r="470" spans="1:16" x14ac:dyDescent="0.25">
      <c r="A470" s="36" t="s">
        <v>110</v>
      </c>
      <c r="B470" s="2">
        <v>45606</v>
      </c>
      <c r="C470" s="36" t="s">
        <v>46</v>
      </c>
      <c r="D470">
        <v>2024</v>
      </c>
      <c r="E470" s="36" t="s">
        <v>596</v>
      </c>
      <c r="F470" s="36" t="s">
        <v>39</v>
      </c>
      <c r="G470" s="36" t="s">
        <v>612</v>
      </c>
      <c r="H470" s="36" t="s">
        <v>624</v>
      </c>
      <c r="I470" s="36" t="s">
        <v>645</v>
      </c>
      <c r="J470" s="36" t="s">
        <v>618</v>
      </c>
      <c r="K470">
        <v>2</v>
      </c>
      <c r="L470">
        <v>9000</v>
      </c>
      <c r="M470">
        <v>18000</v>
      </c>
      <c r="N470">
        <v>13680</v>
      </c>
      <c r="O470">
        <v>4320</v>
      </c>
      <c r="P470" s="11">
        <v>0.24</v>
      </c>
    </row>
    <row r="471" spans="1:16" x14ac:dyDescent="0.25">
      <c r="A471" s="36" t="s">
        <v>119</v>
      </c>
      <c r="B471" s="2">
        <v>45606</v>
      </c>
      <c r="C471" s="36" t="s">
        <v>48</v>
      </c>
      <c r="D471">
        <v>2024</v>
      </c>
      <c r="E471" s="36" t="s">
        <v>601</v>
      </c>
      <c r="F471" s="36" t="s">
        <v>41</v>
      </c>
      <c r="G471" s="36" t="s">
        <v>608</v>
      </c>
      <c r="H471" s="36" t="s">
        <v>620</v>
      </c>
      <c r="I471" s="36" t="s">
        <v>614</v>
      </c>
      <c r="J471" s="36" t="s">
        <v>615</v>
      </c>
      <c r="K471">
        <v>12</v>
      </c>
      <c r="L471">
        <v>50</v>
      </c>
      <c r="M471">
        <v>600</v>
      </c>
      <c r="N471">
        <v>498</v>
      </c>
      <c r="O471">
        <v>102</v>
      </c>
      <c r="P471" s="11">
        <v>0.17</v>
      </c>
    </row>
    <row r="472" spans="1:16" x14ac:dyDescent="0.25">
      <c r="A472" s="36" t="s">
        <v>243</v>
      </c>
      <c r="B472" s="2">
        <v>45606</v>
      </c>
      <c r="C472" s="36" t="s">
        <v>80</v>
      </c>
      <c r="D472">
        <v>2024</v>
      </c>
      <c r="E472" s="36" t="s">
        <v>601</v>
      </c>
      <c r="F472" s="36" t="s">
        <v>41</v>
      </c>
      <c r="G472" s="36" t="s">
        <v>610</v>
      </c>
      <c r="H472" s="36" t="s">
        <v>625</v>
      </c>
      <c r="I472" s="36" t="s">
        <v>630</v>
      </c>
      <c r="J472" s="36" t="s">
        <v>615</v>
      </c>
      <c r="K472">
        <v>5</v>
      </c>
      <c r="L472">
        <v>8000</v>
      </c>
      <c r="M472">
        <v>40000</v>
      </c>
      <c r="N472">
        <v>30400</v>
      </c>
      <c r="O472">
        <v>9600</v>
      </c>
      <c r="P472" s="11">
        <v>0.24</v>
      </c>
    </row>
    <row r="473" spans="1:16" x14ac:dyDescent="0.25">
      <c r="A473" s="36" t="s">
        <v>99</v>
      </c>
      <c r="B473" s="2">
        <v>45607</v>
      </c>
      <c r="C473" s="36" t="s">
        <v>44</v>
      </c>
      <c r="D473">
        <v>2024</v>
      </c>
      <c r="E473" s="36" t="s">
        <v>593</v>
      </c>
      <c r="F473" s="36" t="s">
        <v>41</v>
      </c>
      <c r="G473" s="36" t="s">
        <v>611</v>
      </c>
      <c r="H473" s="36" t="s">
        <v>622</v>
      </c>
      <c r="I473" s="36" t="s">
        <v>630</v>
      </c>
      <c r="J473" s="36" t="s">
        <v>615</v>
      </c>
      <c r="K473">
        <v>12</v>
      </c>
      <c r="L473">
        <v>1200</v>
      </c>
      <c r="M473">
        <v>14400</v>
      </c>
      <c r="N473">
        <v>11232</v>
      </c>
      <c r="O473">
        <v>3168</v>
      </c>
      <c r="P473" s="11">
        <v>0.22</v>
      </c>
    </row>
    <row r="474" spans="1:16" x14ac:dyDescent="0.25">
      <c r="A474" s="36" t="s">
        <v>194</v>
      </c>
      <c r="B474" s="2">
        <v>45608</v>
      </c>
      <c r="C474" s="36" t="s">
        <v>46</v>
      </c>
      <c r="D474">
        <v>2024</v>
      </c>
      <c r="E474" s="36" t="s">
        <v>602</v>
      </c>
      <c r="F474" s="36" t="s">
        <v>42</v>
      </c>
      <c r="G474" s="36" t="s">
        <v>612</v>
      </c>
      <c r="H474" s="36" t="s">
        <v>613</v>
      </c>
      <c r="I474" s="36" t="s">
        <v>630</v>
      </c>
      <c r="J474" s="36" t="s">
        <v>615</v>
      </c>
      <c r="K474">
        <v>20</v>
      </c>
      <c r="L474">
        <v>50</v>
      </c>
      <c r="M474">
        <v>1000</v>
      </c>
      <c r="N474">
        <v>890</v>
      </c>
      <c r="O474">
        <v>110</v>
      </c>
      <c r="P474" s="11">
        <v>0.11</v>
      </c>
    </row>
    <row r="475" spans="1:16" x14ac:dyDescent="0.25">
      <c r="A475" s="36" t="s">
        <v>204</v>
      </c>
      <c r="B475" s="2">
        <v>45609</v>
      </c>
      <c r="C475" s="36" t="s">
        <v>83</v>
      </c>
      <c r="D475">
        <v>2024</v>
      </c>
      <c r="E475" s="36" t="s">
        <v>594</v>
      </c>
      <c r="F475" s="36" t="s">
        <v>39</v>
      </c>
      <c r="G475" s="36" t="s">
        <v>609</v>
      </c>
      <c r="H475" s="36" t="s">
        <v>626</v>
      </c>
      <c r="I475" s="36" t="s">
        <v>645</v>
      </c>
      <c r="J475" s="36" t="s">
        <v>618</v>
      </c>
      <c r="K475">
        <v>11</v>
      </c>
      <c r="L475">
        <v>4000</v>
      </c>
      <c r="M475">
        <v>44000</v>
      </c>
      <c r="N475">
        <v>27280</v>
      </c>
      <c r="O475">
        <v>16720</v>
      </c>
      <c r="P475" s="11">
        <v>0.38</v>
      </c>
    </row>
    <row r="476" spans="1:16" x14ac:dyDescent="0.25">
      <c r="A476" s="36" t="s">
        <v>240</v>
      </c>
      <c r="B476" s="2">
        <v>45609</v>
      </c>
      <c r="C476" s="36" t="s">
        <v>80</v>
      </c>
      <c r="D476">
        <v>2024</v>
      </c>
      <c r="E476" s="36" t="s">
        <v>594</v>
      </c>
      <c r="F476" s="36" t="s">
        <v>39</v>
      </c>
      <c r="G476" s="36" t="s">
        <v>608</v>
      </c>
      <c r="H476" s="36" t="s">
        <v>625</v>
      </c>
      <c r="I476" s="36" t="s">
        <v>623</v>
      </c>
      <c r="J476" s="36" t="s">
        <v>615</v>
      </c>
      <c r="K476">
        <v>10</v>
      </c>
      <c r="L476">
        <v>8000</v>
      </c>
      <c r="M476">
        <v>80000</v>
      </c>
      <c r="N476">
        <v>64000</v>
      </c>
      <c r="O476">
        <v>16000</v>
      </c>
      <c r="P476" s="11">
        <v>0.2</v>
      </c>
    </row>
    <row r="477" spans="1:16" x14ac:dyDescent="0.25">
      <c r="A477" s="36" t="s">
        <v>129</v>
      </c>
      <c r="B477" s="2">
        <v>45610</v>
      </c>
      <c r="C477" s="36" t="s">
        <v>46</v>
      </c>
      <c r="D477">
        <v>2024</v>
      </c>
      <c r="E477" s="36" t="s">
        <v>601</v>
      </c>
      <c r="F477" s="36" t="s">
        <v>41</v>
      </c>
      <c r="G477" s="36" t="s">
        <v>609</v>
      </c>
      <c r="H477" s="36" t="s">
        <v>626</v>
      </c>
      <c r="I477" s="36" t="s">
        <v>619</v>
      </c>
      <c r="J477" s="36" t="s">
        <v>618</v>
      </c>
      <c r="K477">
        <v>10</v>
      </c>
      <c r="L477">
        <v>300</v>
      </c>
      <c r="M477">
        <v>3000</v>
      </c>
      <c r="N477">
        <v>2190</v>
      </c>
      <c r="O477">
        <v>810</v>
      </c>
      <c r="P477" s="11">
        <v>0.27</v>
      </c>
    </row>
    <row r="478" spans="1:16" x14ac:dyDescent="0.25">
      <c r="A478" s="36" t="s">
        <v>457</v>
      </c>
      <c r="B478" s="2">
        <v>45611</v>
      </c>
      <c r="C478" s="36" t="s">
        <v>83</v>
      </c>
      <c r="D478">
        <v>2024</v>
      </c>
      <c r="E478" s="36" t="s">
        <v>596</v>
      </c>
      <c r="F478" s="36" t="s">
        <v>39</v>
      </c>
      <c r="G478" s="36" t="s">
        <v>608</v>
      </c>
      <c r="H478" s="36" t="s">
        <v>616</v>
      </c>
      <c r="I478" s="36" t="s">
        <v>623</v>
      </c>
      <c r="J478" s="36" t="s">
        <v>615</v>
      </c>
      <c r="K478">
        <v>6</v>
      </c>
      <c r="L478">
        <v>8000</v>
      </c>
      <c r="M478">
        <v>48000</v>
      </c>
      <c r="N478">
        <v>39360</v>
      </c>
      <c r="O478">
        <v>8640</v>
      </c>
      <c r="P478" s="11">
        <v>0.18</v>
      </c>
    </row>
    <row r="479" spans="1:16" x14ac:dyDescent="0.25">
      <c r="A479" s="36" t="s">
        <v>155</v>
      </c>
      <c r="B479" s="2">
        <v>45612</v>
      </c>
      <c r="C479" s="36" t="s">
        <v>50</v>
      </c>
      <c r="D479">
        <v>2024</v>
      </c>
      <c r="E479" s="36" t="s">
        <v>592</v>
      </c>
      <c r="F479" s="36" t="s">
        <v>40</v>
      </c>
      <c r="G479" s="36" t="s">
        <v>610</v>
      </c>
      <c r="H479" s="36" t="s">
        <v>616</v>
      </c>
      <c r="I479" s="36" t="s">
        <v>617</v>
      </c>
      <c r="J479" s="36" t="s">
        <v>615</v>
      </c>
      <c r="K479">
        <v>19</v>
      </c>
      <c r="L479">
        <v>12000</v>
      </c>
      <c r="M479">
        <v>228000</v>
      </c>
      <c r="N479">
        <v>148200</v>
      </c>
      <c r="O479">
        <v>79800</v>
      </c>
      <c r="P479" s="11">
        <v>0.35</v>
      </c>
    </row>
    <row r="480" spans="1:16" x14ac:dyDescent="0.25">
      <c r="A480" s="36" t="s">
        <v>504</v>
      </c>
      <c r="B480" s="2">
        <v>45612</v>
      </c>
      <c r="C480" s="36" t="s">
        <v>48</v>
      </c>
      <c r="D480">
        <v>2024</v>
      </c>
      <c r="E480" s="36" t="s">
        <v>593</v>
      </c>
      <c r="F480" s="36" t="s">
        <v>41</v>
      </c>
      <c r="G480" s="36" t="s">
        <v>611</v>
      </c>
      <c r="H480" s="36" t="s">
        <v>629</v>
      </c>
      <c r="I480" s="36" t="s">
        <v>619</v>
      </c>
      <c r="J480" s="36" t="s">
        <v>615</v>
      </c>
      <c r="K480">
        <v>13</v>
      </c>
      <c r="L480">
        <v>1200</v>
      </c>
      <c r="M480">
        <v>15600</v>
      </c>
      <c r="N480">
        <v>12324</v>
      </c>
      <c r="O480">
        <v>3276</v>
      </c>
      <c r="P480" s="11">
        <v>0.21</v>
      </c>
    </row>
    <row r="481" spans="1:16" x14ac:dyDescent="0.25">
      <c r="A481" s="36" t="s">
        <v>141</v>
      </c>
      <c r="B481" s="2">
        <v>45614</v>
      </c>
      <c r="C481" s="36" t="s">
        <v>55</v>
      </c>
      <c r="D481">
        <v>2024</v>
      </c>
      <c r="E481" s="36" t="s">
        <v>602</v>
      </c>
      <c r="F481" s="36" t="s">
        <v>42</v>
      </c>
      <c r="G481" s="36" t="s">
        <v>612</v>
      </c>
      <c r="H481" s="36" t="s">
        <v>613</v>
      </c>
      <c r="I481" s="36" t="s">
        <v>623</v>
      </c>
      <c r="J481" s="36" t="s">
        <v>615</v>
      </c>
      <c r="K481">
        <v>4</v>
      </c>
      <c r="L481">
        <v>20</v>
      </c>
      <c r="M481">
        <v>80</v>
      </c>
      <c r="N481">
        <v>58.4</v>
      </c>
      <c r="O481">
        <v>21.6</v>
      </c>
      <c r="P481" s="11">
        <v>0.27</v>
      </c>
    </row>
    <row r="482" spans="1:16" x14ac:dyDescent="0.25">
      <c r="A482" s="36" t="s">
        <v>228</v>
      </c>
      <c r="B482" s="2">
        <v>45615</v>
      </c>
      <c r="C482" s="36" t="s">
        <v>48</v>
      </c>
      <c r="D482">
        <v>2024</v>
      </c>
      <c r="E482" s="36" t="s">
        <v>598</v>
      </c>
      <c r="F482" s="36" t="s">
        <v>40</v>
      </c>
      <c r="G482" s="36" t="s">
        <v>610</v>
      </c>
      <c r="H482" s="36" t="s">
        <v>620</v>
      </c>
      <c r="I482" s="36" t="s">
        <v>614</v>
      </c>
      <c r="J482" s="36" t="s">
        <v>615</v>
      </c>
      <c r="K482">
        <v>11</v>
      </c>
      <c r="L482">
        <v>55000</v>
      </c>
      <c r="M482">
        <v>605000</v>
      </c>
      <c r="N482">
        <v>544500</v>
      </c>
      <c r="O482">
        <v>60500</v>
      </c>
      <c r="P482" s="11">
        <v>0.1</v>
      </c>
    </row>
    <row r="483" spans="1:16" x14ac:dyDescent="0.25">
      <c r="A483" s="36" t="s">
        <v>231</v>
      </c>
      <c r="B483" s="2">
        <v>45615</v>
      </c>
      <c r="C483" s="36" t="s">
        <v>55</v>
      </c>
      <c r="D483">
        <v>2024</v>
      </c>
      <c r="E483" s="36" t="s">
        <v>599</v>
      </c>
      <c r="F483" s="36" t="s">
        <v>39</v>
      </c>
      <c r="G483" s="36" t="s">
        <v>609</v>
      </c>
      <c r="H483" s="36" t="s">
        <v>613</v>
      </c>
      <c r="I483" s="36" t="s">
        <v>645</v>
      </c>
      <c r="J483" s="36" t="s">
        <v>618</v>
      </c>
      <c r="K483">
        <v>15</v>
      </c>
      <c r="L483">
        <v>50</v>
      </c>
      <c r="M483">
        <v>750</v>
      </c>
      <c r="N483">
        <v>457.5</v>
      </c>
      <c r="O483">
        <v>292.5</v>
      </c>
      <c r="P483" s="11">
        <v>0.39</v>
      </c>
    </row>
    <row r="484" spans="1:16" x14ac:dyDescent="0.25">
      <c r="A484" s="36" t="s">
        <v>414</v>
      </c>
      <c r="B484" s="2">
        <v>45616</v>
      </c>
      <c r="C484" s="36" t="s">
        <v>55</v>
      </c>
      <c r="D484">
        <v>2024</v>
      </c>
      <c r="E484" s="36" t="s">
        <v>594</v>
      </c>
      <c r="F484" s="36" t="s">
        <v>39</v>
      </c>
      <c r="G484" s="36" t="s">
        <v>610</v>
      </c>
      <c r="H484" s="36" t="s">
        <v>621</v>
      </c>
      <c r="I484" s="36" t="s">
        <v>645</v>
      </c>
      <c r="J484" s="36" t="s">
        <v>618</v>
      </c>
      <c r="K484">
        <v>8</v>
      </c>
      <c r="L484">
        <v>8000</v>
      </c>
      <c r="M484">
        <v>64000</v>
      </c>
      <c r="N484">
        <v>44160</v>
      </c>
      <c r="O484">
        <v>19840</v>
      </c>
      <c r="P484" s="11">
        <v>0.31</v>
      </c>
    </row>
    <row r="485" spans="1:16" x14ac:dyDescent="0.25">
      <c r="A485" s="36" t="s">
        <v>214</v>
      </c>
      <c r="B485" s="2">
        <v>45618</v>
      </c>
      <c r="C485" s="36" t="s">
        <v>80</v>
      </c>
      <c r="D485">
        <v>2024</v>
      </c>
      <c r="E485" s="36" t="s">
        <v>606</v>
      </c>
      <c r="F485" s="36" t="s">
        <v>40</v>
      </c>
      <c r="G485" s="36" t="s">
        <v>609</v>
      </c>
      <c r="H485" s="36" t="s">
        <v>629</v>
      </c>
      <c r="I485" s="36" t="s">
        <v>617</v>
      </c>
      <c r="J485" s="36" t="s">
        <v>615</v>
      </c>
      <c r="K485">
        <v>20</v>
      </c>
      <c r="L485">
        <v>15000</v>
      </c>
      <c r="M485">
        <v>300000</v>
      </c>
      <c r="N485">
        <v>207000</v>
      </c>
      <c r="O485">
        <v>93000</v>
      </c>
      <c r="P485" s="11">
        <v>0.31</v>
      </c>
    </row>
    <row r="486" spans="1:16" x14ac:dyDescent="0.25">
      <c r="A486" s="36" t="s">
        <v>404</v>
      </c>
      <c r="B486" s="2">
        <v>45618</v>
      </c>
      <c r="C486" s="36" t="s">
        <v>53</v>
      </c>
      <c r="D486">
        <v>2024</v>
      </c>
      <c r="E486" s="36" t="s">
        <v>598</v>
      </c>
      <c r="F486" s="36" t="s">
        <v>40</v>
      </c>
      <c r="G486" s="36" t="s">
        <v>610</v>
      </c>
      <c r="H486" s="36" t="s">
        <v>616</v>
      </c>
      <c r="I486" s="36" t="s">
        <v>619</v>
      </c>
      <c r="J486" s="36" t="s">
        <v>615</v>
      </c>
      <c r="K486">
        <v>7</v>
      </c>
      <c r="L486">
        <v>25000</v>
      </c>
      <c r="M486">
        <v>175000</v>
      </c>
      <c r="N486">
        <v>147000</v>
      </c>
      <c r="O486">
        <v>28000</v>
      </c>
      <c r="P486" s="11">
        <v>0.16</v>
      </c>
    </row>
    <row r="487" spans="1:16" x14ac:dyDescent="0.25">
      <c r="A487" s="36" t="s">
        <v>200</v>
      </c>
      <c r="B487" s="2">
        <v>45620</v>
      </c>
      <c r="C487" s="36" t="s">
        <v>48</v>
      </c>
      <c r="D487">
        <v>2024</v>
      </c>
      <c r="E487" s="36" t="s">
        <v>600</v>
      </c>
      <c r="F487" s="36" t="s">
        <v>39</v>
      </c>
      <c r="G487" s="36" t="s">
        <v>610</v>
      </c>
      <c r="H487" s="36" t="s">
        <v>616</v>
      </c>
      <c r="I487" s="36" t="s">
        <v>630</v>
      </c>
      <c r="J487" s="36" t="s">
        <v>615</v>
      </c>
      <c r="K487">
        <v>1</v>
      </c>
      <c r="L487">
        <v>8000</v>
      </c>
      <c r="M487">
        <v>8000</v>
      </c>
      <c r="N487">
        <v>5200</v>
      </c>
      <c r="O487">
        <v>2800</v>
      </c>
      <c r="P487" s="11">
        <v>0.35</v>
      </c>
    </row>
    <row r="488" spans="1:16" x14ac:dyDescent="0.25">
      <c r="A488" s="36" t="s">
        <v>571</v>
      </c>
      <c r="B488" s="2">
        <v>45620</v>
      </c>
      <c r="C488" s="36" t="s">
        <v>65</v>
      </c>
      <c r="D488">
        <v>2024</v>
      </c>
      <c r="E488" s="36" t="s">
        <v>596</v>
      </c>
      <c r="F488" s="36" t="s">
        <v>39</v>
      </c>
      <c r="G488" s="36" t="s">
        <v>611</v>
      </c>
      <c r="H488" s="36" t="s">
        <v>629</v>
      </c>
      <c r="I488" s="36" t="s">
        <v>627</v>
      </c>
      <c r="J488" s="36" t="s">
        <v>618</v>
      </c>
      <c r="K488">
        <v>19</v>
      </c>
      <c r="L488">
        <v>1200</v>
      </c>
      <c r="M488">
        <v>22800</v>
      </c>
      <c r="N488">
        <v>20520</v>
      </c>
      <c r="O488">
        <v>2280</v>
      </c>
      <c r="P488" s="11">
        <v>0.1</v>
      </c>
    </row>
    <row r="489" spans="1:16" x14ac:dyDescent="0.25">
      <c r="A489" s="36" t="s">
        <v>564</v>
      </c>
      <c r="B489" s="2">
        <v>45621</v>
      </c>
      <c r="C489" s="36" t="s">
        <v>65</v>
      </c>
      <c r="D489">
        <v>2024</v>
      </c>
      <c r="E489" s="36" t="s">
        <v>601</v>
      </c>
      <c r="F489" s="36" t="s">
        <v>41</v>
      </c>
      <c r="G489" s="36" t="s">
        <v>609</v>
      </c>
      <c r="H489" s="36" t="s">
        <v>622</v>
      </c>
      <c r="I489" s="36" t="s">
        <v>623</v>
      </c>
      <c r="J489" s="36" t="s">
        <v>618</v>
      </c>
      <c r="K489">
        <v>17</v>
      </c>
      <c r="L489">
        <v>7000</v>
      </c>
      <c r="M489">
        <v>119000</v>
      </c>
      <c r="N489">
        <v>82110</v>
      </c>
      <c r="O489">
        <v>36890</v>
      </c>
      <c r="P489" s="11">
        <v>0.31</v>
      </c>
    </row>
    <row r="490" spans="1:16" x14ac:dyDescent="0.25">
      <c r="A490" s="36" t="s">
        <v>581</v>
      </c>
      <c r="B490" s="2">
        <v>45622</v>
      </c>
      <c r="C490" s="36" t="s">
        <v>55</v>
      </c>
      <c r="D490">
        <v>2024</v>
      </c>
      <c r="E490" s="36" t="s">
        <v>605</v>
      </c>
      <c r="F490" s="36" t="s">
        <v>40</v>
      </c>
      <c r="G490" s="36" t="s">
        <v>611</v>
      </c>
      <c r="H490" s="36" t="s">
        <v>620</v>
      </c>
      <c r="I490" s="36" t="s">
        <v>645</v>
      </c>
      <c r="J490" s="36" t="s">
        <v>618</v>
      </c>
      <c r="K490">
        <v>18</v>
      </c>
      <c r="L490">
        <v>300</v>
      </c>
      <c r="M490">
        <v>5400</v>
      </c>
      <c r="N490">
        <v>4428</v>
      </c>
      <c r="O490">
        <v>972</v>
      </c>
      <c r="P490" s="11">
        <v>0.18</v>
      </c>
    </row>
    <row r="491" spans="1:16" x14ac:dyDescent="0.25">
      <c r="A491" s="36" t="s">
        <v>179</v>
      </c>
      <c r="B491" s="2">
        <v>45624</v>
      </c>
      <c r="C491" s="36" t="s">
        <v>57</v>
      </c>
      <c r="D491">
        <v>2024</v>
      </c>
      <c r="E491" s="36" t="s">
        <v>594</v>
      </c>
      <c r="F491" s="36" t="s">
        <v>39</v>
      </c>
      <c r="G491" s="36" t="s">
        <v>612</v>
      </c>
      <c r="H491" s="36" t="s">
        <v>628</v>
      </c>
      <c r="I491" s="36" t="s">
        <v>645</v>
      </c>
      <c r="J491" s="36" t="s">
        <v>618</v>
      </c>
      <c r="K491">
        <v>5</v>
      </c>
      <c r="L491">
        <v>50</v>
      </c>
      <c r="M491">
        <v>250</v>
      </c>
      <c r="N491">
        <v>197.5</v>
      </c>
      <c r="O491">
        <v>52.5</v>
      </c>
      <c r="P491" s="11">
        <v>0.21</v>
      </c>
    </row>
    <row r="492" spans="1:16" x14ac:dyDescent="0.25">
      <c r="A492" s="36" t="s">
        <v>247</v>
      </c>
      <c r="B492" s="2">
        <v>45624</v>
      </c>
      <c r="C492" s="36" t="s">
        <v>53</v>
      </c>
      <c r="D492">
        <v>2024</v>
      </c>
      <c r="E492" s="36" t="s">
        <v>598</v>
      </c>
      <c r="F492" s="36" t="s">
        <v>40</v>
      </c>
      <c r="G492" s="36" t="s">
        <v>608</v>
      </c>
      <c r="H492" s="36" t="s">
        <v>624</v>
      </c>
      <c r="I492" s="36" t="s">
        <v>623</v>
      </c>
      <c r="J492" s="36" t="s">
        <v>618</v>
      </c>
      <c r="K492">
        <v>20</v>
      </c>
      <c r="L492">
        <v>700</v>
      </c>
      <c r="M492">
        <v>14000</v>
      </c>
      <c r="N492">
        <v>11200</v>
      </c>
      <c r="O492">
        <v>2800</v>
      </c>
      <c r="P492" s="11">
        <v>0.2</v>
      </c>
    </row>
    <row r="493" spans="1:16" x14ac:dyDescent="0.25">
      <c r="A493" s="36" t="s">
        <v>158</v>
      </c>
      <c r="B493" s="2">
        <v>45625</v>
      </c>
      <c r="C493" s="36" t="s">
        <v>62</v>
      </c>
      <c r="D493">
        <v>2024</v>
      </c>
      <c r="E493" s="36" t="s">
        <v>599</v>
      </c>
      <c r="F493" s="36" t="s">
        <v>39</v>
      </c>
      <c r="G493" s="36" t="s">
        <v>610</v>
      </c>
      <c r="H493" s="36" t="s">
        <v>621</v>
      </c>
      <c r="I493" s="36" t="s">
        <v>645</v>
      </c>
      <c r="J493" s="36" t="s">
        <v>615</v>
      </c>
      <c r="K493">
        <v>17</v>
      </c>
      <c r="L493">
        <v>12000</v>
      </c>
      <c r="M493">
        <v>204000</v>
      </c>
      <c r="N493">
        <v>159120</v>
      </c>
      <c r="O493">
        <v>44880</v>
      </c>
      <c r="P493" s="11">
        <v>0.22</v>
      </c>
    </row>
    <row r="494" spans="1:16" x14ac:dyDescent="0.25">
      <c r="A494" s="36" t="s">
        <v>239</v>
      </c>
      <c r="B494" s="2">
        <v>45627</v>
      </c>
      <c r="C494" s="36" t="s">
        <v>83</v>
      </c>
      <c r="D494">
        <v>2024</v>
      </c>
      <c r="E494" s="36" t="s">
        <v>607</v>
      </c>
      <c r="F494" s="36" t="s">
        <v>42</v>
      </c>
      <c r="G494" s="36" t="s">
        <v>610</v>
      </c>
      <c r="H494" s="36" t="s">
        <v>629</v>
      </c>
      <c r="I494" s="36" t="s">
        <v>645</v>
      </c>
      <c r="J494" s="36" t="s">
        <v>618</v>
      </c>
      <c r="K494">
        <v>20</v>
      </c>
      <c r="L494">
        <v>9000</v>
      </c>
      <c r="M494">
        <v>180000</v>
      </c>
      <c r="N494">
        <v>122400</v>
      </c>
      <c r="O494">
        <v>57600</v>
      </c>
      <c r="P494" s="11">
        <v>0.32</v>
      </c>
    </row>
    <row r="495" spans="1:16" x14ac:dyDescent="0.25">
      <c r="A495" s="36" t="s">
        <v>420</v>
      </c>
      <c r="B495" s="2">
        <v>45627</v>
      </c>
      <c r="C495" s="36" t="s">
        <v>55</v>
      </c>
      <c r="D495">
        <v>2024</v>
      </c>
      <c r="E495" s="36" t="s">
        <v>594</v>
      </c>
      <c r="F495" s="36" t="s">
        <v>39</v>
      </c>
      <c r="G495" s="36" t="s">
        <v>610</v>
      </c>
      <c r="H495" s="36" t="s">
        <v>622</v>
      </c>
      <c r="I495" s="36" t="s">
        <v>619</v>
      </c>
      <c r="J495" s="36" t="s">
        <v>618</v>
      </c>
      <c r="K495">
        <v>17</v>
      </c>
      <c r="L495">
        <v>700</v>
      </c>
      <c r="M495">
        <v>11900</v>
      </c>
      <c r="N495">
        <v>9877</v>
      </c>
      <c r="O495">
        <v>2023</v>
      </c>
      <c r="P495" s="11">
        <v>0.17</v>
      </c>
    </row>
    <row r="496" spans="1:16" x14ac:dyDescent="0.25">
      <c r="A496" s="36" t="s">
        <v>458</v>
      </c>
      <c r="B496" s="2">
        <v>45627</v>
      </c>
      <c r="C496" s="36" t="s">
        <v>44</v>
      </c>
      <c r="D496">
        <v>2024</v>
      </c>
      <c r="E496" s="36" t="s">
        <v>604</v>
      </c>
      <c r="F496" s="36" t="s">
        <v>41</v>
      </c>
      <c r="G496" s="36" t="s">
        <v>608</v>
      </c>
      <c r="H496" s="36" t="s">
        <v>629</v>
      </c>
      <c r="I496" s="36" t="s">
        <v>627</v>
      </c>
      <c r="J496" s="36" t="s">
        <v>618</v>
      </c>
      <c r="K496">
        <v>18</v>
      </c>
      <c r="L496">
        <v>15000</v>
      </c>
      <c r="M496">
        <v>270000</v>
      </c>
      <c r="N496">
        <v>216000</v>
      </c>
      <c r="O496">
        <v>54000</v>
      </c>
      <c r="P496" s="11">
        <v>0.2</v>
      </c>
    </row>
    <row r="497" spans="1:16" x14ac:dyDescent="0.25">
      <c r="A497" s="36" t="s">
        <v>491</v>
      </c>
      <c r="B497" s="2">
        <v>45627</v>
      </c>
      <c r="C497" s="36" t="s">
        <v>48</v>
      </c>
      <c r="D497">
        <v>2024</v>
      </c>
      <c r="E497" s="36" t="s">
        <v>593</v>
      </c>
      <c r="F497" s="36" t="s">
        <v>41</v>
      </c>
      <c r="G497" s="36" t="s">
        <v>610</v>
      </c>
      <c r="H497" s="36" t="s">
        <v>626</v>
      </c>
      <c r="I497" s="36" t="s">
        <v>627</v>
      </c>
      <c r="J497" s="36" t="s">
        <v>615</v>
      </c>
      <c r="K497">
        <v>4</v>
      </c>
      <c r="L497">
        <v>45000</v>
      </c>
      <c r="M497">
        <v>180000</v>
      </c>
      <c r="N497">
        <v>156600</v>
      </c>
      <c r="O497">
        <v>23400</v>
      </c>
      <c r="P497" s="11">
        <v>0.13</v>
      </c>
    </row>
    <row r="498" spans="1:16" x14ac:dyDescent="0.25">
      <c r="A498" s="36" t="s">
        <v>241</v>
      </c>
      <c r="B498" s="2">
        <v>45628</v>
      </c>
      <c r="C498" s="36" t="s">
        <v>46</v>
      </c>
      <c r="D498">
        <v>2024</v>
      </c>
      <c r="E498" s="36" t="s">
        <v>592</v>
      </c>
      <c r="F498" s="36" t="s">
        <v>40</v>
      </c>
      <c r="G498" s="36" t="s">
        <v>612</v>
      </c>
      <c r="H498" s="36" t="s">
        <v>628</v>
      </c>
      <c r="I498" s="36" t="s">
        <v>623</v>
      </c>
      <c r="J498" s="36" t="s">
        <v>618</v>
      </c>
      <c r="K498">
        <v>17</v>
      </c>
      <c r="L498">
        <v>15000</v>
      </c>
      <c r="M498">
        <v>255000</v>
      </c>
      <c r="N498">
        <v>229500</v>
      </c>
      <c r="O498">
        <v>25500</v>
      </c>
      <c r="P498" s="11">
        <v>0.1</v>
      </c>
    </row>
    <row r="499" spans="1:16" x14ac:dyDescent="0.25">
      <c r="A499" s="36" t="s">
        <v>410</v>
      </c>
      <c r="B499" s="2">
        <v>45628</v>
      </c>
      <c r="C499" s="36" t="s">
        <v>83</v>
      </c>
      <c r="D499">
        <v>2024</v>
      </c>
      <c r="E499" s="36" t="s">
        <v>605</v>
      </c>
      <c r="F499" s="36" t="s">
        <v>40</v>
      </c>
      <c r="G499" s="36" t="s">
        <v>609</v>
      </c>
      <c r="H499" s="36" t="s">
        <v>629</v>
      </c>
      <c r="I499" s="36" t="s">
        <v>645</v>
      </c>
      <c r="J499" s="36" t="s">
        <v>618</v>
      </c>
      <c r="K499">
        <v>10</v>
      </c>
      <c r="L499">
        <v>20</v>
      </c>
      <c r="M499">
        <v>200</v>
      </c>
      <c r="N499">
        <v>176</v>
      </c>
      <c r="O499">
        <v>24</v>
      </c>
      <c r="P499" s="11">
        <v>0.12</v>
      </c>
    </row>
    <row r="500" spans="1:16" x14ac:dyDescent="0.25">
      <c r="A500" s="36" t="s">
        <v>434</v>
      </c>
      <c r="B500" s="2">
        <v>45628</v>
      </c>
      <c r="C500" s="36" t="s">
        <v>55</v>
      </c>
      <c r="D500">
        <v>2024</v>
      </c>
      <c r="E500" s="36" t="s">
        <v>597</v>
      </c>
      <c r="F500" s="36" t="s">
        <v>41</v>
      </c>
      <c r="G500" s="36" t="s">
        <v>612</v>
      </c>
      <c r="H500" s="36" t="s">
        <v>626</v>
      </c>
      <c r="I500" s="36" t="s">
        <v>614</v>
      </c>
      <c r="J500" s="36" t="s">
        <v>615</v>
      </c>
      <c r="K500">
        <v>16</v>
      </c>
      <c r="L500">
        <v>8000</v>
      </c>
      <c r="M500">
        <v>128000</v>
      </c>
      <c r="N500">
        <v>76800</v>
      </c>
      <c r="O500">
        <v>51200</v>
      </c>
      <c r="P500" s="11">
        <v>0.4</v>
      </c>
    </row>
    <row r="501" spans="1:16" x14ac:dyDescent="0.25">
      <c r="A501" s="36" t="s">
        <v>140</v>
      </c>
      <c r="B501" s="2">
        <v>45629</v>
      </c>
      <c r="C501" s="36" t="s">
        <v>65</v>
      </c>
      <c r="D501">
        <v>2024</v>
      </c>
      <c r="E501" s="36" t="s">
        <v>603</v>
      </c>
      <c r="F501" s="36" t="s">
        <v>42</v>
      </c>
      <c r="G501" s="36" t="s">
        <v>611</v>
      </c>
      <c r="H501" s="36" t="s">
        <v>629</v>
      </c>
      <c r="I501" s="36" t="s">
        <v>619</v>
      </c>
      <c r="J501" s="36" t="s">
        <v>618</v>
      </c>
      <c r="K501">
        <v>17</v>
      </c>
      <c r="L501">
        <v>150</v>
      </c>
      <c r="M501">
        <v>2550</v>
      </c>
      <c r="N501">
        <v>1606.5</v>
      </c>
      <c r="O501">
        <v>943.5</v>
      </c>
      <c r="P501" s="11">
        <v>0.37</v>
      </c>
    </row>
    <row r="502" spans="1:16" x14ac:dyDescent="0.25">
      <c r="A502" s="36" t="s">
        <v>296</v>
      </c>
      <c r="B502" s="2">
        <v>45629</v>
      </c>
      <c r="C502" s="36" t="s">
        <v>48</v>
      </c>
      <c r="D502">
        <v>2024</v>
      </c>
      <c r="E502" s="36" t="s">
        <v>593</v>
      </c>
      <c r="F502" s="36" t="s">
        <v>41</v>
      </c>
      <c r="G502" s="36" t="s">
        <v>611</v>
      </c>
      <c r="H502" s="36" t="s">
        <v>621</v>
      </c>
      <c r="I502" s="36" t="s">
        <v>645</v>
      </c>
      <c r="J502" s="36" t="s">
        <v>615</v>
      </c>
      <c r="K502">
        <v>16</v>
      </c>
      <c r="L502">
        <v>25000</v>
      </c>
      <c r="M502">
        <v>400000</v>
      </c>
      <c r="N502">
        <v>360000</v>
      </c>
      <c r="O502">
        <v>40000</v>
      </c>
      <c r="P502" s="11">
        <v>0.1</v>
      </c>
    </row>
    <row r="503" spans="1:16" x14ac:dyDescent="0.25">
      <c r="A503" s="36" t="s">
        <v>176</v>
      </c>
      <c r="B503" s="2">
        <v>45630</v>
      </c>
      <c r="C503" s="36" t="s">
        <v>48</v>
      </c>
      <c r="D503">
        <v>2024</v>
      </c>
      <c r="E503" s="36" t="s">
        <v>594</v>
      </c>
      <c r="F503" s="36" t="s">
        <v>39</v>
      </c>
      <c r="G503" s="36" t="s">
        <v>612</v>
      </c>
      <c r="H503" s="36" t="s">
        <v>629</v>
      </c>
      <c r="I503" s="36" t="s">
        <v>630</v>
      </c>
      <c r="J503" s="36" t="s">
        <v>615</v>
      </c>
      <c r="K503">
        <v>5</v>
      </c>
      <c r="L503">
        <v>150</v>
      </c>
      <c r="M503">
        <v>750</v>
      </c>
      <c r="N503">
        <v>622.5</v>
      </c>
      <c r="O503">
        <v>127.5</v>
      </c>
      <c r="P503" s="11">
        <v>0.17</v>
      </c>
    </row>
    <row r="504" spans="1:16" x14ac:dyDescent="0.25">
      <c r="A504" s="36" t="s">
        <v>120</v>
      </c>
      <c r="B504" s="2">
        <v>45631</v>
      </c>
      <c r="C504" s="36" t="s">
        <v>83</v>
      </c>
      <c r="D504">
        <v>2024</v>
      </c>
      <c r="E504" s="36" t="s">
        <v>599</v>
      </c>
      <c r="F504" s="36" t="s">
        <v>39</v>
      </c>
      <c r="G504" s="36" t="s">
        <v>611</v>
      </c>
      <c r="H504" s="36" t="s">
        <v>625</v>
      </c>
      <c r="I504" s="36" t="s">
        <v>645</v>
      </c>
      <c r="J504" s="36" t="s">
        <v>618</v>
      </c>
      <c r="K504">
        <v>1</v>
      </c>
      <c r="L504">
        <v>9000</v>
      </c>
      <c r="M504">
        <v>9000</v>
      </c>
      <c r="N504">
        <v>6300</v>
      </c>
      <c r="O504">
        <v>2700</v>
      </c>
      <c r="P504" s="11">
        <v>0.3</v>
      </c>
    </row>
    <row r="505" spans="1:16" x14ac:dyDescent="0.25">
      <c r="A505" s="36" t="s">
        <v>283</v>
      </c>
      <c r="B505" s="2">
        <v>45631</v>
      </c>
      <c r="C505" s="36" t="s">
        <v>50</v>
      </c>
      <c r="D505">
        <v>2024</v>
      </c>
      <c r="E505" s="36" t="s">
        <v>597</v>
      </c>
      <c r="F505" s="36" t="s">
        <v>41</v>
      </c>
      <c r="G505" s="36" t="s">
        <v>610</v>
      </c>
      <c r="H505" s="36" t="s">
        <v>621</v>
      </c>
      <c r="I505" s="36" t="s">
        <v>630</v>
      </c>
      <c r="J505" s="36" t="s">
        <v>615</v>
      </c>
      <c r="K505">
        <v>14</v>
      </c>
      <c r="L505">
        <v>300</v>
      </c>
      <c r="M505">
        <v>4200</v>
      </c>
      <c r="N505">
        <v>3738</v>
      </c>
      <c r="O505">
        <v>462</v>
      </c>
      <c r="P505" s="11">
        <v>0.11</v>
      </c>
    </row>
    <row r="506" spans="1:16" x14ac:dyDescent="0.25">
      <c r="A506" s="36" t="s">
        <v>527</v>
      </c>
      <c r="B506" s="2">
        <v>45631</v>
      </c>
      <c r="C506" s="36" t="s">
        <v>83</v>
      </c>
      <c r="D506">
        <v>2024</v>
      </c>
      <c r="E506" s="36" t="s">
        <v>605</v>
      </c>
      <c r="F506" s="36" t="s">
        <v>40</v>
      </c>
      <c r="G506" s="36" t="s">
        <v>608</v>
      </c>
      <c r="H506" s="36" t="s">
        <v>616</v>
      </c>
      <c r="I506" s="36" t="s">
        <v>627</v>
      </c>
      <c r="J506" s="36" t="s">
        <v>618</v>
      </c>
      <c r="K506">
        <v>2</v>
      </c>
      <c r="L506">
        <v>3500</v>
      </c>
      <c r="M506">
        <v>7000</v>
      </c>
      <c r="N506">
        <v>5600</v>
      </c>
      <c r="O506">
        <v>1400</v>
      </c>
      <c r="P506" s="11">
        <v>0.2</v>
      </c>
    </row>
    <row r="507" spans="1:16" x14ac:dyDescent="0.25">
      <c r="A507" s="36" t="s">
        <v>446</v>
      </c>
      <c r="B507" s="2">
        <v>45632</v>
      </c>
      <c r="C507" s="36" t="s">
        <v>55</v>
      </c>
      <c r="D507">
        <v>2024</v>
      </c>
      <c r="E507" s="36" t="s">
        <v>599</v>
      </c>
      <c r="F507" s="36" t="s">
        <v>39</v>
      </c>
      <c r="G507" s="36" t="s">
        <v>610</v>
      </c>
      <c r="H507" s="36" t="s">
        <v>626</v>
      </c>
      <c r="I507" s="36" t="s">
        <v>623</v>
      </c>
      <c r="J507" s="36" t="s">
        <v>618</v>
      </c>
      <c r="K507">
        <v>12</v>
      </c>
      <c r="L507">
        <v>3500</v>
      </c>
      <c r="M507">
        <v>42000</v>
      </c>
      <c r="N507">
        <v>30660</v>
      </c>
      <c r="O507">
        <v>11340</v>
      </c>
      <c r="P507" s="11">
        <v>0.27</v>
      </c>
    </row>
    <row r="508" spans="1:16" x14ac:dyDescent="0.25">
      <c r="A508" s="36" t="s">
        <v>388</v>
      </c>
      <c r="B508" s="2">
        <v>45633</v>
      </c>
      <c r="C508" s="36" t="s">
        <v>53</v>
      </c>
      <c r="D508">
        <v>2024</v>
      </c>
      <c r="E508" s="36" t="s">
        <v>597</v>
      </c>
      <c r="F508" s="36" t="s">
        <v>41</v>
      </c>
      <c r="G508" s="36" t="s">
        <v>609</v>
      </c>
      <c r="H508" s="36" t="s">
        <v>624</v>
      </c>
      <c r="I508" s="36" t="s">
        <v>623</v>
      </c>
      <c r="J508" s="36" t="s">
        <v>618</v>
      </c>
      <c r="K508">
        <v>6</v>
      </c>
      <c r="L508">
        <v>3500</v>
      </c>
      <c r="M508">
        <v>21000</v>
      </c>
      <c r="N508">
        <v>12810</v>
      </c>
      <c r="O508">
        <v>8190</v>
      </c>
      <c r="P508" s="11">
        <v>0.39</v>
      </c>
    </row>
    <row r="509" spans="1:16" x14ac:dyDescent="0.25">
      <c r="A509" s="36" t="s">
        <v>435</v>
      </c>
      <c r="B509" s="2">
        <v>45633</v>
      </c>
      <c r="C509" s="36" t="s">
        <v>65</v>
      </c>
      <c r="D509">
        <v>2024</v>
      </c>
      <c r="E509" s="36" t="s">
        <v>604</v>
      </c>
      <c r="F509" s="36" t="s">
        <v>41</v>
      </c>
      <c r="G509" s="36" t="s">
        <v>609</v>
      </c>
      <c r="H509" s="36" t="s">
        <v>621</v>
      </c>
      <c r="I509" s="36" t="s">
        <v>623</v>
      </c>
      <c r="J509" s="36" t="s">
        <v>618</v>
      </c>
      <c r="K509">
        <v>7</v>
      </c>
      <c r="L509">
        <v>700</v>
      </c>
      <c r="M509">
        <v>4900</v>
      </c>
      <c r="N509">
        <v>3577</v>
      </c>
      <c r="O509">
        <v>1323</v>
      </c>
      <c r="P509" s="11">
        <v>0.27</v>
      </c>
    </row>
    <row r="510" spans="1:16" x14ac:dyDescent="0.25">
      <c r="A510" s="36" t="s">
        <v>431</v>
      </c>
      <c r="B510" s="2">
        <v>45635</v>
      </c>
      <c r="C510" s="36" t="s">
        <v>57</v>
      </c>
      <c r="D510">
        <v>2024</v>
      </c>
      <c r="E510" s="36" t="s">
        <v>598</v>
      </c>
      <c r="F510" s="36" t="s">
        <v>40</v>
      </c>
      <c r="G510" s="36" t="s">
        <v>609</v>
      </c>
      <c r="H510" s="36" t="s">
        <v>628</v>
      </c>
      <c r="I510" s="36" t="s">
        <v>645</v>
      </c>
      <c r="J510" s="36" t="s">
        <v>615</v>
      </c>
      <c r="K510">
        <v>11</v>
      </c>
      <c r="L510">
        <v>15000</v>
      </c>
      <c r="M510">
        <v>165000</v>
      </c>
      <c r="N510">
        <v>141900</v>
      </c>
      <c r="O510">
        <v>23100</v>
      </c>
      <c r="P510" s="11">
        <v>0.14000000000000001</v>
      </c>
    </row>
    <row r="511" spans="1:16" x14ac:dyDescent="0.25">
      <c r="A511" s="36" t="s">
        <v>113</v>
      </c>
      <c r="B511" s="2">
        <v>45637</v>
      </c>
      <c r="C511" s="36" t="s">
        <v>83</v>
      </c>
      <c r="D511">
        <v>2024</v>
      </c>
      <c r="E511" s="36" t="s">
        <v>602</v>
      </c>
      <c r="F511" s="36" t="s">
        <v>42</v>
      </c>
      <c r="G511" s="36" t="s">
        <v>609</v>
      </c>
      <c r="H511" s="36" t="s">
        <v>621</v>
      </c>
      <c r="I511" s="36" t="s">
        <v>645</v>
      </c>
      <c r="J511" s="36" t="s">
        <v>618</v>
      </c>
      <c r="K511">
        <v>1</v>
      </c>
      <c r="L511">
        <v>1200</v>
      </c>
      <c r="M511">
        <v>1200</v>
      </c>
      <c r="N511">
        <v>924</v>
      </c>
      <c r="O511">
        <v>276</v>
      </c>
      <c r="P511" s="11">
        <v>0.23</v>
      </c>
    </row>
    <row r="512" spans="1:16" x14ac:dyDescent="0.25">
      <c r="A512" s="36" t="s">
        <v>251</v>
      </c>
      <c r="B512" s="2">
        <v>45638</v>
      </c>
      <c r="C512" s="36" t="s">
        <v>65</v>
      </c>
      <c r="D512">
        <v>2024</v>
      </c>
      <c r="E512" s="36" t="s">
        <v>596</v>
      </c>
      <c r="F512" s="36" t="s">
        <v>39</v>
      </c>
      <c r="G512" s="36" t="s">
        <v>610</v>
      </c>
      <c r="H512" s="36" t="s">
        <v>622</v>
      </c>
      <c r="I512" s="36" t="s">
        <v>645</v>
      </c>
      <c r="J512" s="36" t="s">
        <v>618</v>
      </c>
      <c r="K512">
        <v>10</v>
      </c>
      <c r="L512">
        <v>45000</v>
      </c>
      <c r="M512">
        <v>450000</v>
      </c>
      <c r="N512">
        <v>324000</v>
      </c>
      <c r="O512">
        <v>126000</v>
      </c>
      <c r="P512" s="11">
        <v>0.28000000000000003</v>
      </c>
    </row>
    <row r="513" spans="1:16" x14ac:dyDescent="0.25">
      <c r="A513" s="36" t="s">
        <v>563</v>
      </c>
      <c r="B513" s="2">
        <v>45638</v>
      </c>
      <c r="C513" s="36" t="s">
        <v>62</v>
      </c>
      <c r="D513">
        <v>2024</v>
      </c>
      <c r="E513" s="36" t="s">
        <v>594</v>
      </c>
      <c r="F513" s="36" t="s">
        <v>39</v>
      </c>
      <c r="G513" s="36" t="s">
        <v>610</v>
      </c>
      <c r="H513" s="36" t="s">
        <v>628</v>
      </c>
      <c r="I513" s="36" t="s">
        <v>617</v>
      </c>
      <c r="J513" s="36" t="s">
        <v>618</v>
      </c>
      <c r="K513">
        <v>8</v>
      </c>
      <c r="L513">
        <v>8000</v>
      </c>
      <c r="M513">
        <v>64000</v>
      </c>
      <c r="N513">
        <v>40960</v>
      </c>
      <c r="O513">
        <v>23040</v>
      </c>
      <c r="P513" s="11">
        <v>0.36</v>
      </c>
    </row>
    <row r="514" spans="1:16" x14ac:dyDescent="0.25">
      <c r="A514" s="36" t="s">
        <v>519</v>
      </c>
      <c r="B514" s="2">
        <v>45639</v>
      </c>
      <c r="C514" s="36" t="s">
        <v>65</v>
      </c>
      <c r="D514">
        <v>2024</v>
      </c>
      <c r="E514" s="36" t="s">
        <v>607</v>
      </c>
      <c r="F514" s="36" t="s">
        <v>42</v>
      </c>
      <c r="G514" s="36" t="s">
        <v>609</v>
      </c>
      <c r="H514" s="36" t="s">
        <v>629</v>
      </c>
      <c r="I514" s="36" t="s">
        <v>623</v>
      </c>
      <c r="J514" s="36" t="s">
        <v>615</v>
      </c>
      <c r="K514">
        <v>7</v>
      </c>
      <c r="L514">
        <v>1200</v>
      </c>
      <c r="M514">
        <v>8400</v>
      </c>
      <c r="N514">
        <v>6972</v>
      </c>
      <c r="O514">
        <v>1428</v>
      </c>
      <c r="P514" s="11">
        <v>0.17</v>
      </c>
    </row>
    <row r="515" spans="1:16" x14ac:dyDescent="0.25">
      <c r="A515" s="36" t="s">
        <v>452</v>
      </c>
      <c r="B515" s="2">
        <v>45640</v>
      </c>
      <c r="C515" s="36" t="s">
        <v>59</v>
      </c>
      <c r="D515">
        <v>2024</v>
      </c>
      <c r="E515" s="36" t="s">
        <v>597</v>
      </c>
      <c r="F515" s="36" t="s">
        <v>41</v>
      </c>
      <c r="G515" s="36" t="s">
        <v>612</v>
      </c>
      <c r="H515" s="36" t="s">
        <v>622</v>
      </c>
      <c r="I515" s="36" t="s">
        <v>645</v>
      </c>
      <c r="J515" s="36" t="s">
        <v>618</v>
      </c>
      <c r="K515">
        <v>8</v>
      </c>
      <c r="L515">
        <v>20</v>
      </c>
      <c r="M515">
        <v>160</v>
      </c>
      <c r="N515">
        <v>115.2</v>
      </c>
      <c r="O515">
        <v>44.8</v>
      </c>
      <c r="P515" s="11">
        <v>0.27999999999999997</v>
      </c>
    </row>
    <row r="516" spans="1:16" x14ac:dyDescent="0.25">
      <c r="A516" s="36" t="s">
        <v>279</v>
      </c>
      <c r="B516" s="2">
        <v>45641</v>
      </c>
      <c r="C516" s="36" t="s">
        <v>53</v>
      </c>
      <c r="D516">
        <v>2024</v>
      </c>
      <c r="E516" s="36" t="s">
        <v>600</v>
      </c>
      <c r="F516" s="36" t="s">
        <v>39</v>
      </c>
      <c r="G516" s="36" t="s">
        <v>610</v>
      </c>
      <c r="H516" s="36" t="s">
        <v>628</v>
      </c>
      <c r="I516" s="36" t="s">
        <v>645</v>
      </c>
      <c r="J516" s="36" t="s">
        <v>615</v>
      </c>
      <c r="K516">
        <v>2</v>
      </c>
      <c r="L516">
        <v>20</v>
      </c>
      <c r="M516">
        <v>40</v>
      </c>
      <c r="N516">
        <v>31.6</v>
      </c>
      <c r="O516">
        <v>8.3999999999999986</v>
      </c>
      <c r="P516" s="11">
        <v>0.20999999999999996</v>
      </c>
    </row>
    <row r="517" spans="1:16" x14ac:dyDescent="0.25">
      <c r="A517" s="36" t="s">
        <v>350</v>
      </c>
      <c r="B517" s="2">
        <v>45641</v>
      </c>
      <c r="C517" s="36" t="s">
        <v>57</v>
      </c>
      <c r="D517">
        <v>2024</v>
      </c>
      <c r="E517" s="36" t="s">
        <v>594</v>
      </c>
      <c r="F517" s="36" t="s">
        <v>39</v>
      </c>
      <c r="G517" s="36" t="s">
        <v>609</v>
      </c>
      <c r="H517" s="36" t="s">
        <v>624</v>
      </c>
      <c r="I517" s="36" t="s">
        <v>617</v>
      </c>
      <c r="J517" s="36" t="s">
        <v>618</v>
      </c>
      <c r="K517">
        <v>13</v>
      </c>
      <c r="L517">
        <v>8000</v>
      </c>
      <c r="M517">
        <v>104000</v>
      </c>
      <c r="N517">
        <v>82160</v>
      </c>
      <c r="O517">
        <v>21840</v>
      </c>
      <c r="P517" s="11">
        <v>0.21</v>
      </c>
    </row>
    <row r="518" spans="1:16" x14ac:dyDescent="0.25">
      <c r="A518" s="36" t="s">
        <v>79</v>
      </c>
      <c r="B518" s="2">
        <v>45642</v>
      </c>
      <c r="C518" s="36" t="s">
        <v>80</v>
      </c>
      <c r="D518">
        <v>2024</v>
      </c>
      <c r="E518" s="36" t="s">
        <v>606</v>
      </c>
      <c r="F518" s="36" t="s">
        <v>40</v>
      </c>
      <c r="G518" s="36" t="s">
        <v>612</v>
      </c>
      <c r="H518" s="36" t="s">
        <v>613</v>
      </c>
      <c r="I518" s="36" t="s">
        <v>645</v>
      </c>
      <c r="J518" s="36" t="s">
        <v>615</v>
      </c>
      <c r="K518">
        <v>4</v>
      </c>
      <c r="L518">
        <v>1200</v>
      </c>
      <c r="M518">
        <v>4800</v>
      </c>
      <c r="N518">
        <v>3264</v>
      </c>
      <c r="O518">
        <v>1536</v>
      </c>
      <c r="P518" s="11">
        <v>0.32</v>
      </c>
    </row>
    <row r="519" spans="1:16" x14ac:dyDescent="0.25">
      <c r="A519" s="36" t="s">
        <v>538</v>
      </c>
      <c r="B519" s="2">
        <v>45642</v>
      </c>
      <c r="C519" s="36" t="s">
        <v>57</v>
      </c>
      <c r="D519">
        <v>2024</v>
      </c>
      <c r="E519" s="36" t="s">
        <v>607</v>
      </c>
      <c r="F519" s="36" t="s">
        <v>42</v>
      </c>
      <c r="G519" s="36" t="s">
        <v>611</v>
      </c>
      <c r="H519" s="36" t="s">
        <v>620</v>
      </c>
      <c r="I519" s="36" t="s">
        <v>614</v>
      </c>
      <c r="J519" s="36" t="s">
        <v>615</v>
      </c>
      <c r="K519">
        <v>12</v>
      </c>
      <c r="L519">
        <v>55000</v>
      </c>
      <c r="M519">
        <v>660000</v>
      </c>
      <c r="N519">
        <v>448800</v>
      </c>
      <c r="O519">
        <v>211200</v>
      </c>
      <c r="P519" s="11">
        <v>0.32</v>
      </c>
    </row>
    <row r="520" spans="1:16" x14ac:dyDescent="0.25">
      <c r="A520" s="36" t="s">
        <v>332</v>
      </c>
      <c r="B520" s="2">
        <v>45643</v>
      </c>
      <c r="C520" s="36" t="s">
        <v>48</v>
      </c>
      <c r="D520">
        <v>2024</v>
      </c>
      <c r="E520" s="36" t="s">
        <v>599</v>
      </c>
      <c r="F520" s="36" t="s">
        <v>39</v>
      </c>
      <c r="G520" s="36" t="s">
        <v>609</v>
      </c>
      <c r="H520" s="36" t="s">
        <v>622</v>
      </c>
      <c r="I520" s="36" t="s">
        <v>630</v>
      </c>
      <c r="J520" s="36" t="s">
        <v>618</v>
      </c>
      <c r="K520">
        <v>19</v>
      </c>
      <c r="L520">
        <v>300</v>
      </c>
      <c r="M520">
        <v>5700</v>
      </c>
      <c r="N520">
        <v>4332</v>
      </c>
      <c r="O520">
        <v>1368</v>
      </c>
      <c r="P520" s="11">
        <v>0.24</v>
      </c>
    </row>
    <row r="521" spans="1:16" x14ac:dyDescent="0.25">
      <c r="A521" s="36" t="s">
        <v>340</v>
      </c>
      <c r="B521" s="2">
        <v>45643</v>
      </c>
      <c r="C521" s="36" t="s">
        <v>46</v>
      </c>
      <c r="D521">
        <v>2024</v>
      </c>
      <c r="E521" s="36" t="s">
        <v>604</v>
      </c>
      <c r="F521" s="36" t="s">
        <v>41</v>
      </c>
      <c r="G521" s="36" t="s">
        <v>609</v>
      </c>
      <c r="H521" s="36" t="s">
        <v>613</v>
      </c>
      <c r="I521" s="36" t="s">
        <v>627</v>
      </c>
      <c r="J521" s="36" t="s">
        <v>618</v>
      </c>
      <c r="K521">
        <v>6</v>
      </c>
      <c r="L521">
        <v>55000</v>
      </c>
      <c r="M521">
        <v>330000</v>
      </c>
      <c r="N521">
        <v>270600</v>
      </c>
      <c r="O521">
        <v>59400</v>
      </c>
      <c r="P521" s="11">
        <v>0.18</v>
      </c>
    </row>
    <row r="522" spans="1:16" x14ac:dyDescent="0.25">
      <c r="A522" s="36" t="s">
        <v>384</v>
      </c>
      <c r="B522" s="2">
        <v>45643</v>
      </c>
      <c r="C522" s="36" t="s">
        <v>65</v>
      </c>
      <c r="D522">
        <v>2024</v>
      </c>
      <c r="E522" s="36" t="s">
        <v>596</v>
      </c>
      <c r="F522" s="36" t="s">
        <v>39</v>
      </c>
      <c r="G522" s="36" t="s">
        <v>610</v>
      </c>
      <c r="H522" s="36" t="s">
        <v>624</v>
      </c>
      <c r="I522" s="36" t="s">
        <v>645</v>
      </c>
      <c r="J522" s="36" t="s">
        <v>615</v>
      </c>
      <c r="K522">
        <v>9</v>
      </c>
      <c r="L522">
        <v>4000</v>
      </c>
      <c r="M522">
        <v>36000</v>
      </c>
      <c r="N522">
        <v>28800</v>
      </c>
      <c r="O522">
        <v>7200</v>
      </c>
      <c r="P522" s="11">
        <v>0.2</v>
      </c>
    </row>
    <row r="523" spans="1:16" x14ac:dyDescent="0.25">
      <c r="A523" s="36" t="s">
        <v>528</v>
      </c>
      <c r="B523" s="2">
        <v>45643</v>
      </c>
      <c r="C523" s="36" t="s">
        <v>62</v>
      </c>
      <c r="D523">
        <v>2024</v>
      </c>
      <c r="E523" s="36" t="s">
        <v>593</v>
      </c>
      <c r="F523" s="36" t="s">
        <v>41</v>
      </c>
      <c r="G523" s="36" t="s">
        <v>611</v>
      </c>
      <c r="H523" s="36" t="s">
        <v>616</v>
      </c>
      <c r="I523" s="36" t="s">
        <v>645</v>
      </c>
      <c r="J523" s="36" t="s">
        <v>618</v>
      </c>
      <c r="K523">
        <v>15</v>
      </c>
      <c r="L523">
        <v>12000</v>
      </c>
      <c r="M523">
        <v>180000</v>
      </c>
      <c r="N523">
        <v>115200</v>
      </c>
      <c r="O523">
        <v>64800</v>
      </c>
      <c r="P523" s="11">
        <v>0.36</v>
      </c>
    </row>
    <row r="524" spans="1:16" x14ac:dyDescent="0.25">
      <c r="A524" s="36" t="s">
        <v>144</v>
      </c>
      <c r="B524" s="2">
        <v>45645</v>
      </c>
      <c r="C524" s="36" t="s">
        <v>57</v>
      </c>
      <c r="D524">
        <v>2024</v>
      </c>
      <c r="E524" s="36" t="s">
        <v>604</v>
      </c>
      <c r="F524" s="36" t="s">
        <v>41</v>
      </c>
      <c r="G524" s="36" t="s">
        <v>612</v>
      </c>
      <c r="H524" s="36" t="s">
        <v>622</v>
      </c>
      <c r="I524" s="36" t="s">
        <v>645</v>
      </c>
      <c r="J524" s="36" t="s">
        <v>618</v>
      </c>
      <c r="K524">
        <v>6</v>
      </c>
      <c r="L524">
        <v>300</v>
      </c>
      <c r="M524">
        <v>1800</v>
      </c>
      <c r="N524">
        <v>1152</v>
      </c>
      <c r="O524">
        <v>648</v>
      </c>
      <c r="P524" s="11">
        <v>0.36</v>
      </c>
    </row>
    <row r="525" spans="1:16" x14ac:dyDescent="0.25">
      <c r="A525" s="36" t="s">
        <v>567</v>
      </c>
      <c r="B525" s="2">
        <v>45645</v>
      </c>
      <c r="C525" s="36" t="s">
        <v>65</v>
      </c>
      <c r="D525">
        <v>2024</v>
      </c>
      <c r="E525" s="36" t="s">
        <v>603</v>
      </c>
      <c r="F525" s="36" t="s">
        <v>42</v>
      </c>
      <c r="G525" s="36" t="s">
        <v>611</v>
      </c>
      <c r="H525" s="36" t="s">
        <v>613</v>
      </c>
      <c r="I525" s="36" t="s">
        <v>614</v>
      </c>
      <c r="J525" s="36" t="s">
        <v>615</v>
      </c>
      <c r="K525">
        <v>2</v>
      </c>
      <c r="L525">
        <v>9000</v>
      </c>
      <c r="M525">
        <v>18000</v>
      </c>
      <c r="N525">
        <v>14400</v>
      </c>
      <c r="O525">
        <v>3600</v>
      </c>
      <c r="P525" s="11">
        <v>0.2</v>
      </c>
    </row>
    <row r="526" spans="1:16" x14ac:dyDescent="0.25">
      <c r="A526" s="36" t="s">
        <v>294</v>
      </c>
      <c r="B526" s="2">
        <v>45646</v>
      </c>
      <c r="C526" s="36" t="s">
        <v>50</v>
      </c>
      <c r="D526">
        <v>2024</v>
      </c>
      <c r="E526" s="36" t="s">
        <v>607</v>
      </c>
      <c r="F526" s="36" t="s">
        <v>42</v>
      </c>
      <c r="G526" s="36" t="s">
        <v>611</v>
      </c>
      <c r="H526" s="36" t="s">
        <v>620</v>
      </c>
      <c r="I526" s="36" t="s">
        <v>617</v>
      </c>
      <c r="J526" s="36" t="s">
        <v>615</v>
      </c>
      <c r="K526">
        <v>9</v>
      </c>
      <c r="L526">
        <v>3500</v>
      </c>
      <c r="M526">
        <v>31500</v>
      </c>
      <c r="N526">
        <v>24570</v>
      </c>
      <c r="O526">
        <v>6930</v>
      </c>
      <c r="P526" s="11">
        <v>0.22</v>
      </c>
    </row>
    <row r="527" spans="1:16" x14ac:dyDescent="0.25">
      <c r="A527" s="36" t="s">
        <v>171</v>
      </c>
      <c r="B527" s="2">
        <v>45649</v>
      </c>
      <c r="C527" s="36" t="s">
        <v>59</v>
      </c>
      <c r="D527">
        <v>2024</v>
      </c>
      <c r="E527" s="36" t="s">
        <v>600</v>
      </c>
      <c r="F527" s="36" t="s">
        <v>39</v>
      </c>
      <c r="G527" s="36" t="s">
        <v>609</v>
      </c>
      <c r="H527" s="36" t="s">
        <v>625</v>
      </c>
      <c r="I527" s="36" t="s">
        <v>630</v>
      </c>
      <c r="J527" s="36" t="s">
        <v>615</v>
      </c>
      <c r="K527">
        <v>2</v>
      </c>
      <c r="L527">
        <v>50</v>
      </c>
      <c r="M527">
        <v>100</v>
      </c>
      <c r="N527">
        <v>69</v>
      </c>
      <c r="O527">
        <v>31</v>
      </c>
      <c r="P527" s="11">
        <v>0.31</v>
      </c>
    </row>
    <row r="528" spans="1:16" x14ac:dyDescent="0.25">
      <c r="A528" s="36" t="s">
        <v>398</v>
      </c>
      <c r="B528" s="2">
        <v>45650</v>
      </c>
      <c r="C528" s="36" t="s">
        <v>44</v>
      </c>
      <c r="D528">
        <v>2024</v>
      </c>
      <c r="E528" s="36" t="s">
        <v>596</v>
      </c>
      <c r="F528" s="36" t="s">
        <v>39</v>
      </c>
      <c r="G528" s="36" t="s">
        <v>609</v>
      </c>
      <c r="H528" s="36" t="s">
        <v>613</v>
      </c>
      <c r="I528" s="36" t="s">
        <v>630</v>
      </c>
      <c r="J528" s="36" t="s">
        <v>618</v>
      </c>
      <c r="K528">
        <v>5</v>
      </c>
      <c r="L528">
        <v>55000</v>
      </c>
      <c r="M528">
        <v>275000</v>
      </c>
      <c r="N528">
        <v>203500</v>
      </c>
      <c r="O528">
        <v>71500</v>
      </c>
      <c r="P528" s="11">
        <v>0.26</v>
      </c>
    </row>
    <row r="529" spans="1:16" x14ac:dyDescent="0.25">
      <c r="A529" s="36" t="s">
        <v>433</v>
      </c>
      <c r="B529" s="2">
        <v>45650</v>
      </c>
      <c r="C529" s="36" t="s">
        <v>59</v>
      </c>
      <c r="D529">
        <v>2024</v>
      </c>
      <c r="E529" s="36" t="s">
        <v>593</v>
      </c>
      <c r="F529" s="36" t="s">
        <v>41</v>
      </c>
      <c r="G529" s="36" t="s">
        <v>609</v>
      </c>
      <c r="H529" s="36" t="s">
        <v>624</v>
      </c>
      <c r="I529" s="36" t="s">
        <v>617</v>
      </c>
      <c r="J529" s="36" t="s">
        <v>618</v>
      </c>
      <c r="K529">
        <v>3</v>
      </c>
      <c r="L529">
        <v>45000</v>
      </c>
      <c r="M529">
        <v>135000</v>
      </c>
      <c r="N529">
        <v>97200</v>
      </c>
      <c r="O529">
        <v>37800</v>
      </c>
      <c r="P529" s="11">
        <v>0.28000000000000003</v>
      </c>
    </row>
    <row r="530" spans="1:16" x14ac:dyDescent="0.25">
      <c r="A530" s="36" t="s">
        <v>222</v>
      </c>
      <c r="B530" s="2">
        <v>45651</v>
      </c>
      <c r="C530" s="36" t="s">
        <v>80</v>
      </c>
      <c r="D530">
        <v>2024</v>
      </c>
      <c r="E530" s="36" t="s">
        <v>593</v>
      </c>
      <c r="F530" s="36" t="s">
        <v>41</v>
      </c>
      <c r="G530" s="36" t="s">
        <v>609</v>
      </c>
      <c r="H530" s="36" t="s">
        <v>625</v>
      </c>
      <c r="I530" s="36" t="s">
        <v>630</v>
      </c>
      <c r="J530" s="36" t="s">
        <v>615</v>
      </c>
      <c r="K530">
        <v>3</v>
      </c>
      <c r="L530">
        <v>4000</v>
      </c>
      <c r="M530">
        <v>12000</v>
      </c>
      <c r="N530">
        <v>8760</v>
      </c>
      <c r="O530">
        <v>3240</v>
      </c>
      <c r="P530" s="11">
        <v>0.27</v>
      </c>
    </row>
    <row r="531" spans="1:16" x14ac:dyDescent="0.25">
      <c r="A531" s="36" t="s">
        <v>383</v>
      </c>
      <c r="B531" s="2">
        <v>45651</v>
      </c>
      <c r="C531" s="36" t="s">
        <v>48</v>
      </c>
      <c r="D531">
        <v>2024</v>
      </c>
      <c r="E531" s="36" t="s">
        <v>596</v>
      </c>
      <c r="F531" s="36" t="s">
        <v>39</v>
      </c>
      <c r="G531" s="36" t="s">
        <v>609</v>
      </c>
      <c r="H531" s="36" t="s">
        <v>620</v>
      </c>
      <c r="I531" s="36" t="s">
        <v>627</v>
      </c>
      <c r="J531" s="36" t="s">
        <v>618</v>
      </c>
      <c r="K531">
        <v>11</v>
      </c>
      <c r="L531">
        <v>1200</v>
      </c>
      <c r="M531">
        <v>13200</v>
      </c>
      <c r="N531">
        <v>7920</v>
      </c>
      <c r="O531">
        <v>5280</v>
      </c>
      <c r="P531" s="11">
        <v>0.4</v>
      </c>
    </row>
    <row r="532" spans="1:16" x14ac:dyDescent="0.25">
      <c r="A532" s="36" t="s">
        <v>60</v>
      </c>
      <c r="B532" s="2">
        <v>45654</v>
      </c>
      <c r="C532" s="36" t="s">
        <v>55</v>
      </c>
      <c r="D532">
        <v>2024</v>
      </c>
      <c r="E532" s="36" t="s">
        <v>597</v>
      </c>
      <c r="F532" s="36" t="s">
        <v>41</v>
      </c>
      <c r="G532" s="36" t="s">
        <v>611</v>
      </c>
      <c r="H532" s="36" t="s">
        <v>616</v>
      </c>
      <c r="I532" s="36" t="s">
        <v>617</v>
      </c>
      <c r="J532" s="36" t="s">
        <v>618</v>
      </c>
      <c r="K532">
        <v>13</v>
      </c>
      <c r="L532">
        <v>55000</v>
      </c>
      <c r="M532">
        <v>715000</v>
      </c>
      <c r="N532">
        <v>429000</v>
      </c>
      <c r="O532">
        <v>286000</v>
      </c>
      <c r="P532" s="11">
        <v>0.4</v>
      </c>
    </row>
    <row r="533" spans="1:16" x14ac:dyDescent="0.25">
      <c r="A533" s="36" t="s">
        <v>391</v>
      </c>
      <c r="B533" s="2">
        <v>45654</v>
      </c>
      <c r="C533" s="36" t="s">
        <v>83</v>
      </c>
      <c r="D533">
        <v>2024</v>
      </c>
      <c r="E533" s="36" t="s">
        <v>594</v>
      </c>
      <c r="F533" s="36" t="s">
        <v>39</v>
      </c>
      <c r="G533" s="36" t="s">
        <v>610</v>
      </c>
      <c r="H533" s="36" t="s">
        <v>616</v>
      </c>
      <c r="I533" s="36" t="s">
        <v>627</v>
      </c>
      <c r="J533" s="36" t="s">
        <v>615</v>
      </c>
      <c r="K533">
        <v>12</v>
      </c>
      <c r="L533">
        <v>20</v>
      </c>
      <c r="M533">
        <v>240</v>
      </c>
      <c r="N533">
        <v>199.2</v>
      </c>
      <c r="O533">
        <v>40.800000000000011</v>
      </c>
      <c r="P533" s="11">
        <v>0.17000000000000004</v>
      </c>
    </row>
    <row r="534" spans="1:16" x14ac:dyDescent="0.25">
      <c r="A534" s="36" t="s">
        <v>399</v>
      </c>
      <c r="B534" s="2">
        <v>45655</v>
      </c>
      <c r="C534" s="36" t="s">
        <v>83</v>
      </c>
      <c r="D534">
        <v>2024</v>
      </c>
      <c r="E534" s="36" t="s">
        <v>596</v>
      </c>
      <c r="F534" s="36" t="s">
        <v>39</v>
      </c>
      <c r="G534" s="36" t="s">
        <v>609</v>
      </c>
      <c r="H534" s="36" t="s">
        <v>628</v>
      </c>
      <c r="I534" s="36" t="s">
        <v>619</v>
      </c>
      <c r="J534" s="36" t="s">
        <v>615</v>
      </c>
      <c r="K534">
        <v>2</v>
      </c>
      <c r="L534">
        <v>7000</v>
      </c>
      <c r="M534">
        <v>14000</v>
      </c>
      <c r="N534">
        <v>9380</v>
      </c>
      <c r="O534">
        <v>4620</v>
      </c>
      <c r="P534" s="11">
        <v>0.33</v>
      </c>
    </row>
    <row r="535" spans="1:16" x14ac:dyDescent="0.25">
      <c r="A535" s="36" t="s">
        <v>328</v>
      </c>
      <c r="B535" s="2">
        <v>45656</v>
      </c>
      <c r="C535" s="36" t="s">
        <v>65</v>
      </c>
      <c r="D535">
        <v>2024</v>
      </c>
      <c r="E535" s="36" t="s">
        <v>594</v>
      </c>
      <c r="F535" s="36" t="s">
        <v>39</v>
      </c>
      <c r="G535" s="36" t="s">
        <v>608</v>
      </c>
      <c r="H535" s="36" t="s">
        <v>613</v>
      </c>
      <c r="I535" s="36" t="s">
        <v>627</v>
      </c>
      <c r="J535" s="36" t="s">
        <v>618</v>
      </c>
      <c r="K535">
        <v>2</v>
      </c>
      <c r="L535">
        <v>9000</v>
      </c>
      <c r="M535">
        <v>18000</v>
      </c>
      <c r="N535">
        <v>12420</v>
      </c>
      <c r="O535">
        <v>5580</v>
      </c>
      <c r="P535" s="11">
        <v>0.31</v>
      </c>
    </row>
    <row r="536" spans="1:16" x14ac:dyDescent="0.25">
      <c r="A536" s="36" t="s">
        <v>472</v>
      </c>
      <c r="B536" s="2">
        <v>45656</v>
      </c>
      <c r="C536" s="36" t="s">
        <v>80</v>
      </c>
      <c r="D536">
        <v>2024</v>
      </c>
      <c r="E536" s="36" t="s">
        <v>594</v>
      </c>
      <c r="F536" s="36" t="s">
        <v>39</v>
      </c>
      <c r="G536" s="36" t="s">
        <v>612</v>
      </c>
      <c r="H536" s="36" t="s">
        <v>621</v>
      </c>
      <c r="I536" s="36" t="s">
        <v>630</v>
      </c>
      <c r="J536" s="36" t="s">
        <v>618</v>
      </c>
      <c r="K536">
        <v>19</v>
      </c>
      <c r="L536">
        <v>7000</v>
      </c>
      <c r="M536">
        <v>133000</v>
      </c>
      <c r="N536">
        <v>107730</v>
      </c>
      <c r="O536">
        <v>25270</v>
      </c>
      <c r="P536" s="11">
        <v>0.19</v>
      </c>
    </row>
    <row r="537" spans="1:16" x14ac:dyDescent="0.25">
      <c r="A537" s="36" t="s">
        <v>479</v>
      </c>
      <c r="B537" s="2">
        <v>45656</v>
      </c>
      <c r="C537" s="36" t="s">
        <v>57</v>
      </c>
      <c r="D537">
        <v>2024</v>
      </c>
      <c r="E537" s="36" t="s">
        <v>605</v>
      </c>
      <c r="F537" s="36" t="s">
        <v>40</v>
      </c>
      <c r="G537" s="36" t="s">
        <v>610</v>
      </c>
      <c r="H537" s="36" t="s">
        <v>629</v>
      </c>
      <c r="I537" s="36" t="s">
        <v>645</v>
      </c>
      <c r="J537" s="36" t="s">
        <v>615</v>
      </c>
      <c r="K537">
        <v>10</v>
      </c>
      <c r="L537">
        <v>45000</v>
      </c>
      <c r="M537">
        <v>450000</v>
      </c>
      <c r="N537">
        <v>373500</v>
      </c>
      <c r="O537">
        <v>76500</v>
      </c>
      <c r="P537" s="11">
        <v>0.17</v>
      </c>
    </row>
    <row r="538" spans="1:16" x14ac:dyDescent="0.25">
      <c r="A538" s="36" t="s">
        <v>547</v>
      </c>
      <c r="B538" s="2">
        <v>45656</v>
      </c>
      <c r="C538" s="36" t="s">
        <v>83</v>
      </c>
      <c r="D538">
        <v>2024</v>
      </c>
      <c r="E538" s="36" t="s">
        <v>597</v>
      </c>
      <c r="F538" s="36" t="s">
        <v>41</v>
      </c>
      <c r="G538" s="36" t="s">
        <v>611</v>
      </c>
      <c r="H538" s="36" t="s">
        <v>624</v>
      </c>
      <c r="I538" s="36" t="s">
        <v>645</v>
      </c>
      <c r="J538" s="36" t="s">
        <v>618</v>
      </c>
      <c r="K538">
        <v>12</v>
      </c>
      <c r="L538">
        <v>4000</v>
      </c>
      <c r="M538">
        <v>48000</v>
      </c>
      <c r="N538">
        <v>34560</v>
      </c>
      <c r="O538">
        <v>13440</v>
      </c>
      <c r="P538" s="11">
        <v>0.28000000000000003</v>
      </c>
    </row>
    <row r="539" spans="1:16" x14ac:dyDescent="0.25">
      <c r="A539" s="36" t="s">
        <v>348</v>
      </c>
      <c r="B539" s="2">
        <v>45660</v>
      </c>
      <c r="C539" s="36" t="s">
        <v>59</v>
      </c>
      <c r="D539">
        <v>2025</v>
      </c>
      <c r="E539" s="36" t="s">
        <v>604</v>
      </c>
      <c r="F539" s="36" t="s">
        <v>41</v>
      </c>
      <c r="G539" s="36" t="s">
        <v>611</v>
      </c>
      <c r="H539" s="36" t="s">
        <v>620</v>
      </c>
      <c r="I539" s="36" t="s">
        <v>645</v>
      </c>
      <c r="J539" s="36" t="s">
        <v>618</v>
      </c>
      <c r="K539">
        <v>18</v>
      </c>
      <c r="L539">
        <v>12000</v>
      </c>
      <c r="M539">
        <v>216000</v>
      </c>
      <c r="N539">
        <v>170640</v>
      </c>
      <c r="O539">
        <v>45360</v>
      </c>
      <c r="P539" s="11">
        <v>0.21</v>
      </c>
    </row>
    <row r="540" spans="1:16" x14ac:dyDescent="0.25">
      <c r="A540" s="36" t="s">
        <v>584</v>
      </c>
      <c r="B540" s="2">
        <v>45662</v>
      </c>
      <c r="C540" s="36" t="s">
        <v>59</v>
      </c>
      <c r="D540">
        <v>2025</v>
      </c>
      <c r="E540" s="36" t="s">
        <v>594</v>
      </c>
      <c r="F540" s="36" t="s">
        <v>39</v>
      </c>
      <c r="G540" s="36" t="s">
        <v>612</v>
      </c>
      <c r="H540" s="36" t="s">
        <v>629</v>
      </c>
      <c r="I540" s="36" t="s">
        <v>630</v>
      </c>
      <c r="J540" s="36" t="s">
        <v>615</v>
      </c>
      <c r="K540">
        <v>4</v>
      </c>
      <c r="L540">
        <v>20</v>
      </c>
      <c r="M540">
        <v>80</v>
      </c>
      <c r="N540">
        <v>62.4</v>
      </c>
      <c r="O540">
        <v>17.600000000000001</v>
      </c>
      <c r="P540" s="11">
        <v>0.22000000000000003</v>
      </c>
    </row>
    <row r="541" spans="1:16" x14ac:dyDescent="0.25">
      <c r="A541" s="36" t="s">
        <v>189</v>
      </c>
      <c r="B541" s="2">
        <v>45663</v>
      </c>
      <c r="C541" s="36" t="s">
        <v>59</v>
      </c>
      <c r="D541">
        <v>2025</v>
      </c>
      <c r="E541" s="36" t="s">
        <v>598</v>
      </c>
      <c r="F541" s="36" t="s">
        <v>40</v>
      </c>
      <c r="G541" s="36" t="s">
        <v>608</v>
      </c>
      <c r="H541" s="36" t="s">
        <v>624</v>
      </c>
      <c r="I541" s="36" t="s">
        <v>623</v>
      </c>
      <c r="J541" s="36" t="s">
        <v>618</v>
      </c>
      <c r="K541">
        <v>15</v>
      </c>
      <c r="L541">
        <v>700</v>
      </c>
      <c r="M541">
        <v>10500</v>
      </c>
      <c r="N541">
        <v>6510</v>
      </c>
      <c r="O541">
        <v>3990</v>
      </c>
      <c r="P541" s="11">
        <v>0.38</v>
      </c>
    </row>
    <row r="542" spans="1:16" x14ac:dyDescent="0.25">
      <c r="A542" s="36" t="s">
        <v>255</v>
      </c>
      <c r="B542" s="2">
        <v>45663</v>
      </c>
      <c r="C542" s="36" t="s">
        <v>59</v>
      </c>
      <c r="D542">
        <v>2025</v>
      </c>
      <c r="E542" s="36" t="s">
        <v>597</v>
      </c>
      <c r="F542" s="36" t="s">
        <v>41</v>
      </c>
      <c r="G542" s="36" t="s">
        <v>608</v>
      </c>
      <c r="H542" s="36" t="s">
        <v>626</v>
      </c>
      <c r="I542" s="36" t="s">
        <v>627</v>
      </c>
      <c r="J542" s="36" t="s">
        <v>615</v>
      </c>
      <c r="K542">
        <v>8</v>
      </c>
      <c r="L542">
        <v>7000</v>
      </c>
      <c r="M542">
        <v>56000</v>
      </c>
      <c r="N542">
        <v>39760</v>
      </c>
      <c r="O542">
        <v>16240</v>
      </c>
      <c r="P542" s="11">
        <v>0.28999999999999998</v>
      </c>
    </row>
    <row r="543" spans="1:16" x14ac:dyDescent="0.25">
      <c r="A543" s="36" t="s">
        <v>75</v>
      </c>
      <c r="B543" s="2">
        <v>45664</v>
      </c>
      <c r="C543" s="36" t="s">
        <v>59</v>
      </c>
      <c r="D543">
        <v>2025</v>
      </c>
      <c r="E543" s="36" t="s">
        <v>603</v>
      </c>
      <c r="F543" s="36" t="s">
        <v>42</v>
      </c>
      <c r="G543" s="36" t="s">
        <v>609</v>
      </c>
      <c r="H543" s="36" t="s">
        <v>628</v>
      </c>
      <c r="I543" s="36" t="s">
        <v>623</v>
      </c>
      <c r="J543" s="36" t="s">
        <v>615</v>
      </c>
      <c r="K543">
        <v>9</v>
      </c>
      <c r="L543">
        <v>12000</v>
      </c>
      <c r="M543">
        <v>108000</v>
      </c>
      <c r="N543">
        <v>64800</v>
      </c>
      <c r="O543">
        <v>43200</v>
      </c>
      <c r="P543" s="11">
        <v>0.4</v>
      </c>
    </row>
    <row r="544" spans="1:16" x14ac:dyDescent="0.25">
      <c r="A544" s="36" t="s">
        <v>197</v>
      </c>
      <c r="B544" s="2">
        <v>45664</v>
      </c>
      <c r="C544" s="36" t="s">
        <v>59</v>
      </c>
      <c r="D544">
        <v>2025</v>
      </c>
      <c r="E544" s="36" t="s">
        <v>603</v>
      </c>
      <c r="F544" s="36" t="s">
        <v>42</v>
      </c>
      <c r="G544" s="36" t="s">
        <v>609</v>
      </c>
      <c r="H544" s="36" t="s">
        <v>625</v>
      </c>
      <c r="I544" s="36" t="s">
        <v>614</v>
      </c>
      <c r="J544" s="36" t="s">
        <v>618</v>
      </c>
      <c r="K544">
        <v>17</v>
      </c>
      <c r="L544">
        <v>12000</v>
      </c>
      <c r="M544">
        <v>204000</v>
      </c>
      <c r="N544">
        <v>177480</v>
      </c>
      <c r="O544">
        <v>26520</v>
      </c>
      <c r="P544" s="11">
        <v>0.13</v>
      </c>
    </row>
    <row r="545" spans="1:16" x14ac:dyDescent="0.25">
      <c r="A545" s="36" t="s">
        <v>237</v>
      </c>
      <c r="B545" s="2">
        <v>45665</v>
      </c>
      <c r="C545" s="36" t="s">
        <v>59</v>
      </c>
      <c r="D545">
        <v>2025</v>
      </c>
      <c r="E545" s="36" t="s">
        <v>596</v>
      </c>
      <c r="F545" s="36" t="s">
        <v>39</v>
      </c>
      <c r="G545" s="36" t="s">
        <v>610</v>
      </c>
      <c r="H545" s="36" t="s">
        <v>625</v>
      </c>
      <c r="I545" s="36" t="s">
        <v>645</v>
      </c>
      <c r="J545" s="36" t="s">
        <v>618</v>
      </c>
      <c r="K545">
        <v>1</v>
      </c>
      <c r="L545">
        <v>15000</v>
      </c>
      <c r="M545">
        <v>15000</v>
      </c>
      <c r="N545">
        <v>11700</v>
      </c>
      <c r="O545">
        <v>3300</v>
      </c>
      <c r="P545" s="11">
        <v>0.22</v>
      </c>
    </row>
    <row r="546" spans="1:16" x14ac:dyDescent="0.25">
      <c r="A546" s="36" t="s">
        <v>171</v>
      </c>
      <c r="B546" s="2">
        <v>45666</v>
      </c>
      <c r="C546" s="36" t="s">
        <v>59</v>
      </c>
      <c r="D546">
        <v>2025</v>
      </c>
      <c r="E546" s="36" t="s">
        <v>600</v>
      </c>
      <c r="F546" s="36" t="s">
        <v>39</v>
      </c>
      <c r="G546" s="36" t="s">
        <v>609</v>
      </c>
      <c r="H546" s="36" t="s">
        <v>625</v>
      </c>
      <c r="I546" s="36" t="s">
        <v>630</v>
      </c>
      <c r="J546" s="36" t="s">
        <v>615</v>
      </c>
      <c r="K546">
        <v>2</v>
      </c>
      <c r="L546">
        <v>50</v>
      </c>
      <c r="M546">
        <v>100</v>
      </c>
      <c r="N546">
        <v>69</v>
      </c>
      <c r="O546">
        <v>31</v>
      </c>
      <c r="P546" s="11">
        <v>0.31</v>
      </c>
    </row>
    <row r="547" spans="1:16" x14ac:dyDescent="0.25">
      <c r="A547" s="36" t="s">
        <v>487</v>
      </c>
      <c r="B547" s="2">
        <v>45666</v>
      </c>
      <c r="C547" s="36" t="s">
        <v>59</v>
      </c>
      <c r="D547">
        <v>2025</v>
      </c>
      <c r="E547" s="36" t="s">
        <v>594</v>
      </c>
      <c r="F547" s="36" t="s">
        <v>39</v>
      </c>
      <c r="G547" s="36" t="s">
        <v>612</v>
      </c>
      <c r="H547" s="36" t="s">
        <v>616</v>
      </c>
      <c r="I547" s="36" t="s">
        <v>619</v>
      </c>
      <c r="J547" s="36" t="s">
        <v>618</v>
      </c>
      <c r="K547">
        <v>2</v>
      </c>
      <c r="L547">
        <v>700</v>
      </c>
      <c r="M547">
        <v>1400</v>
      </c>
      <c r="N547">
        <v>854</v>
      </c>
      <c r="O547">
        <v>546</v>
      </c>
      <c r="P547" s="11">
        <v>0.39</v>
      </c>
    </row>
    <row r="548" spans="1:16" x14ac:dyDescent="0.25">
      <c r="A548" s="36" t="s">
        <v>156</v>
      </c>
      <c r="B548" s="2">
        <v>45667</v>
      </c>
      <c r="C548" s="36" t="s">
        <v>59</v>
      </c>
      <c r="D548">
        <v>2025</v>
      </c>
      <c r="E548" s="36" t="s">
        <v>597</v>
      </c>
      <c r="F548" s="36" t="s">
        <v>41</v>
      </c>
      <c r="G548" s="36" t="s">
        <v>609</v>
      </c>
      <c r="H548" s="36" t="s">
        <v>629</v>
      </c>
      <c r="I548" s="36" t="s">
        <v>630</v>
      </c>
      <c r="J548" s="36" t="s">
        <v>618</v>
      </c>
      <c r="K548">
        <v>11</v>
      </c>
      <c r="L548">
        <v>50</v>
      </c>
      <c r="M548">
        <v>550</v>
      </c>
      <c r="N548">
        <v>478.5</v>
      </c>
      <c r="O548">
        <v>71.5</v>
      </c>
      <c r="P548" s="11">
        <v>0.13</v>
      </c>
    </row>
    <row r="549" spans="1:16" x14ac:dyDescent="0.25">
      <c r="A549" s="36" t="s">
        <v>364</v>
      </c>
      <c r="B549" s="2">
        <v>45667</v>
      </c>
      <c r="C549" s="36" t="s">
        <v>59</v>
      </c>
      <c r="D549">
        <v>2025</v>
      </c>
      <c r="E549" s="36" t="s">
        <v>607</v>
      </c>
      <c r="F549" s="36" t="s">
        <v>42</v>
      </c>
      <c r="G549" s="36" t="s">
        <v>612</v>
      </c>
      <c r="H549" s="36" t="s">
        <v>616</v>
      </c>
      <c r="I549" s="36" t="s">
        <v>630</v>
      </c>
      <c r="J549" s="36" t="s">
        <v>618</v>
      </c>
      <c r="K549">
        <v>8</v>
      </c>
      <c r="L549">
        <v>12000</v>
      </c>
      <c r="M549">
        <v>96000</v>
      </c>
      <c r="N549">
        <v>78720</v>
      </c>
      <c r="O549">
        <v>17280</v>
      </c>
      <c r="P549" s="11">
        <v>0.18</v>
      </c>
    </row>
    <row r="550" spans="1:16" x14ac:dyDescent="0.25">
      <c r="A550" s="36" t="s">
        <v>465</v>
      </c>
      <c r="B550" s="2">
        <v>45667</v>
      </c>
      <c r="C550" s="36" t="s">
        <v>59</v>
      </c>
      <c r="D550">
        <v>2025</v>
      </c>
      <c r="E550" s="36" t="s">
        <v>598</v>
      </c>
      <c r="F550" s="36" t="s">
        <v>40</v>
      </c>
      <c r="G550" s="36" t="s">
        <v>612</v>
      </c>
      <c r="H550" s="36" t="s">
        <v>620</v>
      </c>
      <c r="I550" s="36" t="s">
        <v>627</v>
      </c>
      <c r="J550" s="36" t="s">
        <v>615</v>
      </c>
      <c r="K550">
        <v>9</v>
      </c>
      <c r="L550">
        <v>50</v>
      </c>
      <c r="M550">
        <v>450</v>
      </c>
      <c r="N550">
        <v>319.5</v>
      </c>
      <c r="O550">
        <v>130.5</v>
      </c>
      <c r="P550" s="11">
        <v>0.28999999999999998</v>
      </c>
    </row>
    <row r="551" spans="1:16" x14ac:dyDescent="0.25">
      <c r="A551" s="36" t="s">
        <v>285</v>
      </c>
      <c r="B551" s="2">
        <v>45668</v>
      </c>
      <c r="C551" s="36" t="s">
        <v>59</v>
      </c>
      <c r="D551">
        <v>2025</v>
      </c>
      <c r="E551" s="36" t="s">
        <v>602</v>
      </c>
      <c r="F551" s="36" t="s">
        <v>42</v>
      </c>
      <c r="G551" s="36" t="s">
        <v>608</v>
      </c>
      <c r="H551" s="36" t="s">
        <v>628</v>
      </c>
      <c r="I551" s="36" t="s">
        <v>627</v>
      </c>
      <c r="J551" s="36" t="s">
        <v>615</v>
      </c>
      <c r="K551">
        <v>7</v>
      </c>
      <c r="L551">
        <v>300</v>
      </c>
      <c r="M551">
        <v>2100</v>
      </c>
      <c r="N551">
        <v>1491</v>
      </c>
      <c r="O551">
        <v>609</v>
      </c>
      <c r="P551" s="11">
        <v>0.28999999999999998</v>
      </c>
    </row>
    <row r="552" spans="1:16" x14ac:dyDescent="0.25">
      <c r="A552" s="36" t="s">
        <v>137</v>
      </c>
      <c r="B552" s="2">
        <v>45670</v>
      </c>
      <c r="C552" s="36" t="s">
        <v>59</v>
      </c>
      <c r="D552">
        <v>2025</v>
      </c>
      <c r="E552" s="36" t="s">
        <v>606</v>
      </c>
      <c r="F552" s="36" t="s">
        <v>40</v>
      </c>
      <c r="G552" s="36" t="s">
        <v>612</v>
      </c>
      <c r="H552" s="36" t="s">
        <v>622</v>
      </c>
      <c r="I552" s="36" t="s">
        <v>617</v>
      </c>
      <c r="J552" s="36" t="s">
        <v>615</v>
      </c>
      <c r="K552">
        <v>18</v>
      </c>
      <c r="L552">
        <v>4000</v>
      </c>
      <c r="M552">
        <v>72000</v>
      </c>
      <c r="N552">
        <v>59040</v>
      </c>
      <c r="O552">
        <v>12960</v>
      </c>
      <c r="P552" s="11">
        <v>0.18</v>
      </c>
    </row>
    <row r="553" spans="1:16" x14ac:dyDescent="0.25">
      <c r="A553" s="36" t="s">
        <v>249</v>
      </c>
      <c r="B553" s="2">
        <v>45670</v>
      </c>
      <c r="C553" s="36" t="s">
        <v>59</v>
      </c>
      <c r="D553">
        <v>2025</v>
      </c>
      <c r="E553" s="36" t="s">
        <v>594</v>
      </c>
      <c r="F553" s="36" t="s">
        <v>39</v>
      </c>
      <c r="G553" s="36" t="s">
        <v>612</v>
      </c>
      <c r="H553" s="36" t="s">
        <v>620</v>
      </c>
      <c r="I553" s="36" t="s">
        <v>630</v>
      </c>
      <c r="J553" s="36" t="s">
        <v>618</v>
      </c>
      <c r="K553">
        <v>16</v>
      </c>
      <c r="L553">
        <v>7000</v>
      </c>
      <c r="M553">
        <v>112000</v>
      </c>
      <c r="N553">
        <v>82880</v>
      </c>
      <c r="O553">
        <v>29120</v>
      </c>
      <c r="P553" s="11">
        <v>0.26</v>
      </c>
    </row>
    <row r="554" spans="1:16" x14ac:dyDescent="0.25">
      <c r="A554" s="36" t="s">
        <v>290</v>
      </c>
      <c r="B554" s="2">
        <v>45670</v>
      </c>
      <c r="C554" s="36" t="s">
        <v>59</v>
      </c>
      <c r="D554">
        <v>2025</v>
      </c>
      <c r="E554" s="36" t="s">
        <v>599</v>
      </c>
      <c r="F554" s="36" t="s">
        <v>39</v>
      </c>
      <c r="G554" s="36" t="s">
        <v>611</v>
      </c>
      <c r="H554" s="36" t="s">
        <v>629</v>
      </c>
      <c r="I554" s="36" t="s">
        <v>631</v>
      </c>
      <c r="J554" s="36" t="s">
        <v>615</v>
      </c>
      <c r="K554">
        <v>17</v>
      </c>
      <c r="L554">
        <v>45000</v>
      </c>
      <c r="M554">
        <v>765000</v>
      </c>
      <c r="N554">
        <v>527850</v>
      </c>
      <c r="O554">
        <v>237150</v>
      </c>
      <c r="P554" s="11">
        <v>0.31</v>
      </c>
    </row>
    <row r="555" spans="1:16" x14ac:dyDescent="0.25">
      <c r="A555" s="36" t="s">
        <v>184</v>
      </c>
      <c r="B555" s="2">
        <v>45672</v>
      </c>
      <c r="C555" s="36" t="s">
        <v>59</v>
      </c>
      <c r="D555">
        <v>2025</v>
      </c>
      <c r="E555" s="36" t="s">
        <v>596</v>
      </c>
      <c r="F555" s="36" t="s">
        <v>39</v>
      </c>
      <c r="G555" s="36" t="s">
        <v>611</v>
      </c>
      <c r="H555" s="36" t="s">
        <v>621</v>
      </c>
      <c r="I555" s="36" t="s">
        <v>623</v>
      </c>
      <c r="J555" s="36" t="s">
        <v>618</v>
      </c>
      <c r="K555">
        <v>1</v>
      </c>
      <c r="L555">
        <v>12000</v>
      </c>
      <c r="M555">
        <v>12000</v>
      </c>
      <c r="N555">
        <v>10320</v>
      </c>
      <c r="O555">
        <v>1680</v>
      </c>
      <c r="P555" s="11">
        <v>0.14000000000000001</v>
      </c>
    </row>
    <row r="556" spans="1:16" x14ac:dyDescent="0.25">
      <c r="A556" s="36" t="s">
        <v>415</v>
      </c>
      <c r="B556" s="2">
        <v>45672</v>
      </c>
      <c r="C556" s="36" t="s">
        <v>59</v>
      </c>
      <c r="D556">
        <v>2025</v>
      </c>
      <c r="E556" s="36" t="s">
        <v>604</v>
      </c>
      <c r="F556" s="36" t="s">
        <v>41</v>
      </c>
      <c r="G556" s="36" t="s">
        <v>610</v>
      </c>
      <c r="H556" s="36" t="s">
        <v>622</v>
      </c>
      <c r="I556" s="36" t="s">
        <v>627</v>
      </c>
      <c r="J556" s="36" t="s">
        <v>618</v>
      </c>
      <c r="K556">
        <v>5</v>
      </c>
      <c r="L556">
        <v>50</v>
      </c>
      <c r="M556">
        <v>250</v>
      </c>
      <c r="N556">
        <v>187.5</v>
      </c>
      <c r="O556">
        <v>62.5</v>
      </c>
      <c r="P556" s="11">
        <v>0.25</v>
      </c>
    </row>
    <row r="557" spans="1:16" x14ac:dyDescent="0.25">
      <c r="A557" s="36" t="s">
        <v>417</v>
      </c>
      <c r="B557" s="2">
        <v>45672</v>
      </c>
      <c r="C557" s="36" t="s">
        <v>59</v>
      </c>
      <c r="D557">
        <v>2025</v>
      </c>
      <c r="E557" s="36" t="s">
        <v>593</v>
      </c>
      <c r="F557" s="36" t="s">
        <v>41</v>
      </c>
      <c r="G557" s="36" t="s">
        <v>612</v>
      </c>
      <c r="H557" s="36" t="s">
        <v>629</v>
      </c>
      <c r="I557" s="36" t="s">
        <v>645</v>
      </c>
      <c r="J557" s="36" t="s">
        <v>618</v>
      </c>
      <c r="K557">
        <v>1</v>
      </c>
      <c r="L557">
        <v>1200</v>
      </c>
      <c r="M557">
        <v>1200</v>
      </c>
      <c r="N557">
        <v>924</v>
      </c>
      <c r="O557">
        <v>276</v>
      </c>
      <c r="P557" s="11">
        <v>0.23</v>
      </c>
    </row>
    <row r="558" spans="1:16" x14ac:dyDescent="0.25">
      <c r="A558" s="36" t="s">
        <v>438</v>
      </c>
      <c r="B558" s="2">
        <v>45672</v>
      </c>
      <c r="C558" s="36" t="s">
        <v>59</v>
      </c>
      <c r="D558">
        <v>2025</v>
      </c>
      <c r="E558" s="36" t="s">
        <v>607</v>
      </c>
      <c r="F558" s="36" t="s">
        <v>42</v>
      </c>
      <c r="G558" s="36" t="s">
        <v>608</v>
      </c>
      <c r="H558" s="36" t="s">
        <v>616</v>
      </c>
      <c r="I558" s="36" t="s">
        <v>617</v>
      </c>
      <c r="J558" s="36" t="s">
        <v>615</v>
      </c>
      <c r="K558">
        <v>5</v>
      </c>
      <c r="L558">
        <v>20</v>
      </c>
      <c r="M558">
        <v>100</v>
      </c>
      <c r="N558">
        <v>90</v>
      </c>
      <c r="O558">
        <v>10</v>
      </c>
      <c r="P558" s="11">
        <v>0.1</v>
      </c>
    </row>
    <row r="559" spans="1:16" x14ac:dyDescent="0.25">
      <c r="A559" s="36" t="s">
        <v>534</v>
      </c>
      <c r="B559" s="2">
        <v>45672</v>
      </c>
      <c r="C559" s="36" t="s">
        <v>59</v>
      </c>
      <c r="D559">
        <v>2025</v>
      </c>
      <c r="E559" s="36" t="s">
        <v>595</v>
      </c>
      <c r="F559" s="36" t="s">
        <v>39</v>
      </c>
      <c r="G559" s="36" t="s">
        <v>609</v>
      </c>
      <c r="H559" s="36" t="s">
        <v>629</v>
      </c>
      <c r="I559" s="36" t="s">
        <v>645</v>
      </c>
      <c r="J559" s="36" t="s">
        <v>615</v>
      </c>
      <c r="K559">
        <v>3</v>
      </c>
      <c r="L559">
        <v>7000</v>
      </c>
      <c r="M559">
        <v>21000</v>
      </c>
      <c r="N559">
        <v>15750</v>
      </c>
      <c r="O559">
        <v>5250</v>
      </c>
      <c r="P559" s="11">
        <v>0.25</v>
      </c>
    </row>
    <row r="560" spans="1:16" x14ac:dyDescent="0.25">
      <c r="A560" s="36" t="s">
        <v>175</v>
      </c>
      <c r="B560" s="2">
        <v>45673</v>
      </c>
      <c r="C560" s="36" t="s">
        <v>59</v>
      </c>
      <c r="D560">
        <v>2025</v>
      </c>
      <c r="E560" s="36" t="s">
        <v>603</v>
      </c>
      <c r="F560" s="36" t="s">
        <v>42</v>
      </c>
      <c r="G560" s="36" t="s">
        <v>608</v>
      </c>
      <c r="H560" s="36" t="s">
        <v>625</v>
      </c>
      <c r="I560" s="36" t="s">
        <v>630</v>
      </c>
      <c r="J560" s="36" t="s">
        <v>618</v>
      </c>
      <c r="K560">
        <v>3</v>
      </c>
      <c r="L560">
        <v>7000</v>
      </c>
      <c r="M560">
        <v>21000</v>
      </c>
      <c r="N560">
        <v>18690</v>
      </c>
      <c r="O560">
        <v>2310</v>
      </c>
      <c r="P560" s="11">
        <v>0.11</v>
      </c>
    </row>
    <row r="561" spans="1:16" x14ac:dyDescent="0.25">
      <c r="A561" s="36" t="s">
        <v>261</v>
      </c>
      <c r="B561" s="2">
        <v>45673</v>
      </c>
      <c r="C561" s="36" t="s">
        <v>59</v>
      </c>
      <c r="D561">
        <v>2025</v>
      </c>
      <c r="E561" s="36" t="s">
        <v>603</v>
      </c>
      <c r="F561" s="36" t="s">
        <v>42</v>
      </c>
      <c r="G561" s="36" t="s">
        <v>609</v>
      </c>
      <c r="H561" s="36" t="s">
        <v>620</v>
      </c>
      <c r="I561" s="36" t="s">
        <v>627</v>
      </c>
      <c r="J561" s="36" t="s">
        <v>615</v>
      </c>
      <c r="K561">
        <v>11</v>
      </c>
      <c r="L561">
        <v>3500</v>
      </c>
      <c r="M561">
        <v>38500</v>
      </c>
      <c r="N561">
        <v>28490</v>
      </c>
      <c r="O561">
        <v>10010</v>
      </c>
      <c r="P561" s="11">
        <v>0.26</v>
      </c>
    </row>
    <row r="562" spans="1:16" x14ac:dyDescent="0.25">
      <c r="A562" s="36" t="s">
        <v>440</v>
      </c>
      <c r="B562" s="2">
        <v>45673</v>
      </c>
      <c r="C562" s="36" t="s">
        <v>59</v>
      </c>
      <c r="D562">
        <v>2025</v>
      </c>
      <c r="E562" s="36" t="s">
        <v>593</v>
      </c>
      <c r="F562" s="36" t="s">
        <v>41</v>
      </c>
      <c r="G562" s="36" t="s">
        <v>610</v>
      </c>
      <c r="H562" s="36" t="s">
        <v>628</v>
      </c>
      <c r="I562" s="36" t="s">
        <v>617</v>
      </c>
      <c r="J562" s="36" t="s">
        <v>618</v>
      </c>
      <c r="K562">
        <v>3</v>
      </c>
      <c r="L562">
        <v>20</v>
      </c>
      <c r="M562">
        <v>60</v>
      </c>
      <c r="N562">
        <v>45</v>
      </c>
      <c r="O562">
        <v>15</v>
      </c>
      <c r="P562" s="11">
        <v>0.25</v>
      </c>
    </row>
    <row r="563" spans="1:16" x14ac:dyDescent="0.25">
      <c r="A563" s="36" t="s">
        <v>509</v>
      </c>
      <c r="B563" s="2">
        <v>45673</v>
      </c>
      <c r="C563" s="36" t="s">
        <v>59</v>
      </c>
      <c r="D563">
        <v>2025</v>
      </c>
      <c r="E563" s="36" t="s">
        <v>605</v>
      </c>
      <c r="F563" s="36" t="s">
        <v>40</v>
      </c>
      <c r="G563" s="36" t="s">
        <v>610</v>
      </c>
      <c r="H563" s="36" t="s">
        <v>621</v>
      </c>
      <c r="I563" s="36" t="s">
        <v>627</v>
      </c>
      <c r="J563" s="36" t="s">
        <v>618</v>
      </c>
      <c r="K563">
        <v>12</v>
      </c>
      <c r="L563">
        <v>25000</v>
      </c>
      <c r="M563">
        <v>300000</v>
      </c>
      <c r="N563">
        <v>213000</v>
      </c>
      <c r="O563">
        <v>87000</v>
      </c>
      <c r="P563" s="11">
        <v>0.28999999999999998</v>
      </c>
    </row>
    <row r="564" spans="1:16" x14ac:dyDescent="0.25">
      <c r="A564" s="36" t="s">
        <v>58</v>
      </c>
      <c r="B564" s="2">
        <v>45675</v>
      </c>
      <c r="C564" s="36" t="s">
        <v>59</v>
      </c>
      <c r="D564">
        <v>2025</v>
      </c>
      <c r="E564" s="36" t="s">
        <v>597</v>
      </c>
      <c r="F564" s="36" t="s">
        <v>41</v>
      </c>
      <c r="G564" s="36" t="s">
        <v>611</v>
      </c>
      <c r="H564" s="36" t="s">
        <v>624</v>
      </c>
      <c r="I564" s="36" t="s">
        <v>623</v>
      </c>
      <c r="J564" s="36" t="s">
        <v>615</v>
      </c>
      <c r="K564">
        <v>3</v>
      </c>
      <c r="L564">
        <v>25000</v>
      </c>
      <c r="M564">
        <v>75000</v>
      </c>
      <c r="N564">
        <v>56250</v>
      </c>
      <c r="O564">
        <v>18750</v>
      </c>
      <c r="P564" s="11">
        <v>0.25</v>
      </c>
    </row>
    <row r="565" spans="1:16" x14ac:dyDescent="0.25">
      <c r="A565" s="36" t="s">
        <v>87</v>
      </c>
      <c r="B565" s="2">
        <v>45675</v>
      </c>
      <c r="C565" s="36" t="s">
        <v>59</v>
      </c>
      <c r="D565">
        <v>2025</v>
      </c>
      <c r="E565" s="36" t="s">
        <v>605</v>
      </c>
      <c r="F565" s="36" t="s">
        <v>40</v>
      </c>
      <c r="G565" s="36" t="s">
        <v>610</v>
      </c>
      <c r="H565" s="36" t="s">
        <v>613</v>
      </c>
      <c r="I565" s="36" t="s">
        <v>645</v>
      </c>
      <c r="J565" s="36" t="s">
        <v>618</v>
      </c>
      <c r="K565">
        <v>6</v>
      </c>
      <c r="L565">
        <v>20</v>
      </c>
      <c r="M565">
        <v>120</v>
      </c>
      <c r="N565">
        <v>87.6</v>
      </c>
      <c r="O565">
        <v>32.400000000000006</v>
      </c>
      <c r="P565" s="11">
        <v>0.27000000000000007</v>
      </c>
    </row>
    <row r="566" spans="1:16" x14ac:dyDescent="0.25">
      <c r="A566" s="36" t="s">
        <v>428</v>
      </c>
      <c r="B566" s="2">
        <v>45675</v>
      </c>
      <c r="C566" s="36" t="s">
        <v>59</v>
      </c>
      <c r="D566">
        <v>2025</v>
      </c>
      <c r="E566" s="36" t="s">
        <v>604</v>
      </c>
      <c r="F566" s="36" t="s">
        <v>41</v>
      </c>
      <c r="G566" s="36" t="s">
        <v>610</v>
      </c>
      <c r="H566" s="36" t="s">
        <v>626</v>
      </c>
      <c r="I566" s="36" t="s">
        <v>617</v>
      </c>
      <c r="J566" s="36" t="s">
        <v>615</v>
      </c>
      <c r="K566">
        <v>10</v>
      </c>
      <c r="L566">
        <v>15000</v>
      </c>
      <c r="M566">
        <v>150000</v>
      </c>
      <c r="N566">
        <v>130500</v>
      </c>
      <c r="O566">
        <v>19500</v>
      </c>
      <c r="P566" s="11">
        <v>0.13</v>
      </c>
    </row>
    <row r="567" spans="1:16" x14ac:dyDescent="0.25">
      <c r="A567" s="36" t="s">
        <v>70</v>
      </c>
      <c r="B567" s="2">
        <v>45677</v>
      </c>
      <c r="C567" s="36" t="s">
        <v>59</v>
      </c>
      <c r="D567">
        <v>2025</v>
      </c>
      <c r="E567" s="36" t="s">
        <v>600</v>
      </c>
      <c r="F567" s="36" t="s">
        <v>39</v>
      </c>
      <c r="G567" s="36" t="s">
        <v>611</v>
      </c>
      <c r="H567" s="36" t="s">
        <v>621</v>
      </c>
      <c r="I567" s="36" t="s">
        <v>614</v>
      </c>
      <c r="J567" s="36" t="s">
        <v>615</v>
      </c>
      <c r="K567">
        <v>6</v>
      </c>
      <c r="L567">
        <v>9000</v>
      </c>
      <c r="M567">
        <v>54000</v>
      </c>
      <c r="N567">
        <v>33480</v>
      </c>
      <c r="O567">
        <v>20520</v>
      </c>
      <c r="P567" s="11">
        <v>0.38</v>
      </c>
    </row>
    <row r="568" spans="1:16" x14ac:dyDescent="0.25">
      <c r="A568" s="36" t="s">
        <v>433</v>
      </c>
      <c r="B568" s="2">
        <v>45677</v>
      </c>
      <c r="C568" s="36" t="s">
        <v>59</v>
      </c>
      <c r="D568">
        <v>2025</v>
      </c>
      <c r="E568" s="36" t="s">
        <v>593</v>
      </c>
      <c r="F568" s="36" t="s">
        <v>41</v>
      </c>
      <c r="G568" s="36" t="s">
        <v>609</v>
      </c>
      <c r="H568" s="36" t="s">
        <v>624</v>
      </c>
      <c r="I568" s="36" t="s">
        <v>617</v>
      </c>
      <c r="J568" s="36" t="s">
        <v>618</v>
      </c>
      <c r="K568">
        <v>3</v>
      </c>
      <c r="L568">
        <v>45000</v>
      </c>
      <c r="M568">
        <v>135000</v>
      </c>
      <c r="N568">
        <v>97200</v>
      </c>
      <c r="O568">
        <v>37800</v>
      </c>
      <c r="P568" s="11">
        <v>0.28000000000000003</v>
      </c>
    </row>
    <row r="569" spans="1:16" x14ac:dyDescent="0.25">
      <c r="A569" s="36" t="s">
        <v>452</v>
      </c>
      <c r="B569" s="2">
        <v>45680</v>
      </c>
      <c r="C569" s="36" t="s">
        <v>59</v>
      </c>
      <c r="D569">
        <v>2025</v>
      </c>
      <c r="E569" s="36" t="s">
        <v>597</v>
      </c>
      <c r="F569" s="36" t="s">
        <v>41</v>
      </c>
      <c r="G569" s="36" t="s">
        <v>612</v>
      </c>
      <c r="H569" s="36" t="s">
        <v>622</v>
      </c>
      <c r="I569" s="36" t="s">
        <v>645</v>
      </c>
      <c r="J569" s="36" t="s">
        <v>618</v>
      </c>
      <c r="K569">
        <v>8</v>
      </c>
      <c r="L569">
        <v>20</v>
      </c>
      <c r="M569">
        <v>160</v>
      </c>
      <c r="N569">
        <v>115.2</v>
      </c>
      <c r="O569">
        <v>44.8</v>
      </c>
      <c r="P569" s="11">
        <v>0.27999999999999997</v>
      </c>
    </row>
    <row r="570" spans="1:16" x14ac:dyDescent="0.25">
      <c r="A570" s="36" t="s">
        <v>107</v>
      </c>
      <c r="B570" s="2">
        <v>45681</v>
      </c>
      <c r="C570" s="36" t="s">
        <v>59</v>
      </c>
      <c r="D570">
        <v>2025</v>
      </c>
      <c r="E570" s="36" t="s">
        <v>603</v>
      </c>
      <c r="F570" s="36" t="s">
        <v>42</v>
      </c>
      <c r="G570" s="36" t="s">
        <v>611</v>
      </c>
      <c r="H570" s="36" t="s">
        <v>629</v>
      </c>
      <c r="I570" s="36" t="s">
        <v>619</v>
      </c>
      <c r="J570" s="36" t="s">
        <v>615</v>
      </c>
      <c r="K570">
        <v>16</v>
      </c>
      <c r="L570">
        <v>20</v>
      </c>
      <c r="M570">
        <v>320</v>
      </c>
      <c r="N570">
        <v>224</v>
      </c>
      <c r="O570">
        <v>96</v>
      </c>
      <c r="P570" s="11">
        <v>0.3</v>
      </c>
    </row>
    <row r="571" spans="1:16" x14ac:dyDescent="0.25">
      <c r="A571" s="36" t="s">
        <v>468</v>
      </c>
      <c r="B571" s="2">
        <v>45681</v>
      </c>
      <c r="C571" s="36" t="s">
        <v>59</v>
      </c>
      <c r="D571">
        <v>2025</v>
      </c>
      <c r="E571" s="36" t="s">
        <v>607</v>
      </c>
      <c r="F571" s="36" t="s">
        <v>42</v>
      </c>
      <c r="G571" s="36" t="s">
        <v>608</v>
      </c>
      <c r="H571" s="36" t="s">
        <v>621</v>
      </c>
      <c r="I571" s="36" t="s">
        <v>630</v>
      </c>
      <c r="J571" s="36" t="s">
        <v>618</v>
      </c>
      <c r="K571">
        <v>3</v>
      </c>
      <c r="L571">
        <v>20</v>
      </c>
      <c r="M571">
        <v>60</v>
      </c>
      <c r="N571">
        <v>49.8</v>
      </c>
      <c r="O571">
        <v>10.200000000000003</v>
      </c>
      <c r="P571" s="11">
        <v>0.17000000000000004</v>
      </c>
    </row>
    <row r="572" spans="1:16" x14ac:dyDescent="0.25">
      <c r="A572" s="36" t="s">
        <v>377</v>
      </c>
      <c r="B572" s="2">
        <v>45682</v>
      </c>
      <c r="C572" s="36" t="s">
        <v>59</v>
      </c>
      <c r="D572">
        <v>2025</v>
      </c>
      <c r="E572" s="36" t="s">
        <v>603</v>
      </c>
      <c r="F572" s="36" t="s">
        <v>42</v>
      </c>
      <c r="G572" s="36" t="s">
        <v>608</v>
      </c>
      <c r="H572" s="36" t="s">
        <v>622</v>
      </c>
      <c r="I572" s="36" t="s">
        <v>617</v>
      </c>
      <c r="J572" s="36" t="s">
        <v>615</v>
      </c>
      <c r="K572">
        <v>14</v>
      </c>
      <c r="L572">
        <v>700</v>
      </c>
      <c r="M572">
        <v>9800</v>
      </c>
      <c r="N572">
        <v>6076</v>
      </c>
      <c r="O572">
        <v>3724</v>
      </c>
      <c r="P572" s="11">
        <v>0.38</v>
      </c>
    </row>
    <row r="573" spans="1:16" x14ac:dyDescent="0.25">
      <c r="A573" s="36" t="s">
        <v>154</v>
      </c>
      <c r="B573" s="2">
        <v>45683</v>
      </c>
      <c r="C573" s="36" t="s">
        <v>59</v>
      </c>
      <c r="D573">
        <v>2025</v>
      </c>
      <c r="E573" s="36" t="s">
        <v>603</v>
      </c>
      <c r="F573" s="36" t="s">
        <v>42</v>
      </c>
      <c r="G573" s="36" t="s">
        <v>612</v>
      </c>
      <c r="H573" s="36" t="s">
        <v>620</v>
      </c>
      <c r="I573" s="36" t="s">
        <v>623</v>
      </c>
      <c r="J573" s="36" t="s">
        <v>618</v>
      </c>
      <c r="K573">
        <v>15</v>
      </c>
      <c r="L573">
        <v>55000</v>
      </c>
      <c r="M573">
        <v>825000</v>
      </c>
      <c r="N573">
        <v>701250</v>
      </c>
      <c r="O573">
        <v>123750</v>
      </c>
      <c r="P573" s="11">
        <v>0.15</v>
      </c>
    </row>
    <row r="574" spans="1:16" x14ac:dyDescent="0.25">
      <c r="A574" s="36" t="s">
        <v>186</v>
      </c>
      <c r="B574" s="2">
        <v>45684</v>
      </c>
      <c r="C574" s="36" t="s">
        <v>59</v>
      </c>
      <c r="D574">
        <v>2025</v>
      </c>
      <c r="E574" s="36" t="s">
        <v>605</v>
      </c>
      <c r="F574" s="36" t="s">
        <v>40</v>
      </c>
      <c r="G574" s="36" t="s">
        <v>611</v>
      </c>
      <c r="H574" s="36" t="s">
        <v>621</v>
      </c>
      <c r="I574" s="36" t="s">
        <v>645</v>
      </c>
      <c r="J574" s="36" t="s">
        <v>618</v>
      </c>
      <c r="K574">
        <v>4</v>
      </c>
      <c r="L574">
        <v>9000</v>
      </c>
      <c r="M574">
        <v>36000</v>
      </c>
      <c r="N574">
        <v>32400</v>
      </c>
      <c r="O574">
        <v>3600</v>
      </c>
      <c r="P574" s="11">
        <v>0.1</v>
      </c>
    </row>
    <row r="575" spans="1:16" x14ac:dyDescent="0.25">
      <c r="A575" s="36" t="s">
        <v>358</v>
      </c>
      <c r="B575" s="2">
        <v>45684</v>
      </c>
      <c r="C575" s="36" t="s">
        <v>59</v>
      </c>
      <c r="D575">
        <v>2025</v>
      </c>
      <c r="E575" s="36" t="s">
        <v>595</v>
      </c>
      <c r="F575" s="36" t="s">
        <v>39</v>
      </c>
      <c r="G575" s="36" t="s">
        <v>609</v>
      </c>
      <c r="H575" s="36" t="s">
        <v>621</v>
      </c>
      <c r="I575" s="36" t="s">
        <v>627</v>
      </c>
      <c r="J575" s="36" t="s">
        <v>615</v>
      </c>
      <c r="K575">
        <v>9</v>
      </c>
      <c r="L575">
        <v>4000</v>
      </c>
      <c r="M575">
        <v>36000</v>
      </c>
      <c r="N575">
        <v>30240</v>
      </c>
      <c r="O575">
        <v>5760</v>
      </c>
      <c r="P575" s="11">
        <v>0.16</v>
      </c>
    </row>
    <row r="576" spans="1:16" x14ac:dyDescent="0.25">
      <c r="A576" s="36" t="s">
        <v>474</v>
      </c>
      <c r="B576" s="2">
        <v>45684</v>
      </c>
      <c r="C576" s="36" t="s">
        <v>59</v>
      </c>
      <c r="D576">
        <v>2025</v>
      </c>
      <c r="E576" s="36" t="s">
        <v>602</v>
      </c>
      <c r="F576" s="36" t="s">
        <v>42</v>
      </c>
      <c r="G576" s="36" t="s">
        <v>612</v>
      </c>
      <c r="H576" s="36" t="s">
        <v>624</v>
      </c>
      <c r="I576" s="36" t="s">
        <v>617</v>
      </c>
      <c r="J576" s="36" t="s">
        <v>615</v>
      </c>
      <c r="K576">
        <v>8</v>
      </c>
      <c r="L576">
        <v>150</v>
      </c>
      <c r="M576">
        <v>1200</v>
      </c>
      <c r="N576">
        <v>744</v>
      </c>
      <c r="O576">
        <v>456</v>
      </c>
      <c r="P576" s="11">
        <v>0.38</v>
      </c>
    </row>
    <row r="577" spans="1:16" x14ac:dyDescent="0.25">
      <c r="A577" s="36" t="s">
        <v>169</v>
      </c>
      <c r="B577" s="2">
        <v>45685</v>
      </c>
      <c r="C577" s="36" t="s">
        <v>59</v>
      </c>
      <c r="D577">
        <v>2025</v>
      </c>
      <c r="E577" s="36" t="s">
        <v>595</v>
      </c>
      <c r="F577" s="36" t="s">
        <v>39</v>
      </c>
      <c r="G577" s="36" t="s">
        <v>609</v>
      </c>
      <c r="H577" s="36" t="s">
        <v>613</v>
      </c>
      <c r="I577" s="36" t="s">
        <v>630</v>
      </c>
      <c r="J577" s="36" t="s">
        <v>615</v>
      </c>
      <c r="K577">
        <v>9</v>
      </c>
      <c r="L577">
        <v>55000</v>
      </c>
      <c r="M577">
        <v>495000</v>
      </c>
      <c r="N577">
        <v>326700</v>
      </c>
      <c r="O577">
        <v>168300</v>
      </c>
      <c r="P577" s="11">
        <v>0.34</v>
      </c>
    </row>
    <row r="578" spans="1:16" x14ac:dyDescent="0.25">
      <c r="A578" s="36" t="s">
        <v>277</v>
      </c>
      <c r="B578" s="2">
        <v>45689</v>
      </c>
      <c r="C578" s="36" t="s">
        <v>55</v>
      </c>
      <c r="D578">
        <v>2025</v>
      </c>
      <c r="E578" s="36" t="s">
        <v>605</v>
      </c>
      <c r="F578" s="36" t="s">
        <v>40</v>
      </c>
      <c r="G578" s="36" t="s">
        <v>608</v>
      </c>
      <c r="H578" s="36" t="s">
        <v>622</v>
      </c>
      <c r="I578" s="36" t="s">
        <v>623</v>
      </c>
      <c r="J578" s="36" t="s">
        <v>615</v>
      </c>
      <c r="K578">
        <v>13</v>
      </c>
      <c r="L578">
        <v>7000</v>
      </c>
      <c r="M578">
        <v>91000</v>
      </c>
      <c r="N578">
        <v>69160</v>
      </c>
      <c r="O578">
        <v>21840</v>
      </c>
      <c r="P578" s="11">
        <v>0.24</v>
      </c>
    </row>
    <row r="579" spans="1:16" x14ac:dyDescent="0.25">
      <c r="A579" s="36" t="s">
        <v>531</v>
      </c>
      <c r="B579" s="2">
        <v>45689</v>
      </c>
      <c r="C579" s="36" t="s">
        <v>55</v>
      </c>
      <c r="D579">
        <v>2025</v>
      </c>
      <c r="E579" s="36" t="s">
        <v>603</v>
      </c>
      <c r="F579" s="36" t="s">
        <v>42</v>
      </c>
      <c r="G579" s="36" t="s">
        <v>612</v>
      </c>
      <c r="H579" s="36" t="s">
        <v>613</v>
      </c>
      <c r="I579" s="36" t="s">
        <v>614</v>
      </c>
      <c r="J579" s="36" t="s">
        <v>615</v>
      </c>
      <c r="K579">
        <v>9</v>
      </c>
      <c r="L579">
        <v>700</v>
      </c>
      <c r="M579">
        <v>6300</v>
      </c>
      <c r="N579">
        <v>5103</v>
      </c>
      <c r="O579">
        <v>1197</v>
      </c>
      <c r="P579" s="11">
        <v>0.19</v>
      </c>
    </row>
    <row r="580" spans="1:16" x14ac:dyDescent="0.25">
      <c r="A580" s="36" t="s">
        <v>269</v>
      </c>
      <c r="B580" s="2">
        <v>45690</v>
      </c>
      <c r="C580" s="36" t="s">
        <v>55</v>
      </c>
      <c r="D580">
        <v>2025</v>
      </c>
      <c r="E580" s="36" t="s">
        <v>598</v>
      </c>
      <c r="F580" s="36" t="s">
        <v>40</v>
      </c>
      <c r="G580" s="36" t="s">
        <v>608</v>
      </c>
      <c r="H580" s="36" t="s">
        <v>620</v>
      </c>
      <c r="I580" s="36" t="s">
        <v>627</v>
      </c>
      <c r="J580" s="36" t="s">
        <v>618</v>
      </c>
      <c r="K580">
        <v>6</v>
      </c>
      <c r="L580">
        <v>1200</v>
      </c>
      <c r="M580">
        <v>7200</v>
      </c>
      <c r="N580">
        <v>5328</v>
      </c>
      <c r="O580">
        <v>1872</v>
      </c>
      <c r="P580" s="11">
        <v>0.26</v>
      </c>
    </row>
    <row r="581" spans="1:16" x14ac:dyDescent="0.25">
      <c r="A581" s="36" t="s">
        <v>293</v>
      </c>
      <c r="B581" s="2">
        <v>45690</v>
      </c>
      <c r="C581" s="36" t="s">
        <v>55</v>
      </c>
      <c r="D581">
        <v>2025</v>
      </c>
      <c r="E581" s="36" t="s">
        <v>604</v>
      </c>
      <c r="F581" s="36" t="s">
        <v>41</v>
      </c>
      <c r="G581" s="36" t="s">
        <v>610</v>
      </c>
      <c r="H581" s="36" t="s">
        <v>629</v>
      </c>
      <c r="I581" s="36" t="s">
        <v>617</v>
      </c>
      <c r="J581" s="36" t="s">
        <v>618</v>
      </c>
      <c r="K581">
        <v>3</v>
      </c>
      <c r="L581">
        <v>45000</v>
      </c>
      <c r="M581">
        <v>135000</v>
      </c>
      <c r="N581">
        <v>91800</v>
      </c>
      <c r="O581">
        <v>43200</v>
      </c>
      <c r="P581" s="11">
        <v>0.32</v>
      </c>
    </row>
    <row r="582" spans="1:16" x14ac:dyDescent="0.25">
      <c r="A582" s="36" t="s">
        <v>456</v>
      </c>
      <c r="B582" s="2">
        <v>45690</v>
      </c>
      <c r="C582" s="36" t="s">
        <v>55</v>
      </c>
      <c r="D582">
        <v>2025</v>
      </c>
      <c r="E582" s="36" t="s">
        <v>596</v>
      </c>
      <c r="F582" s="36" t="s">
        <v>39</v>
      </c>
      <c r="G582" s="36" t="s">
        <v>610</v>
      </c>
      <c r="H582" s="36" t="s">
        <v>629</v>
      </c>
      <c r="I582" s="36" t="s">
        <v>623</v>
      </c>
      <c r="J582" s="36" t="s">
        <v>615</v>
      </c>
      <c r="K582">
        <v>13</v>
      </c>
      <c r="L582">
        <v>55000</v>
      </c>
      <c r="M582">
        <v>715000</v>
      </c>
      <c r="N582">
        <v>579150</v>
      </c>
      <c r="O582">
        <v>135850</v>
      </c>
      <c r="P582" s="11">
        <v>0.19</v>
      </c>
    </row>
    <row r="583" spans="1:16" x14ac:dyDescent="0.25">
      <c r="A583" s="36" t="s">
        <v>300</v>
      </c>
      <c r="B583" s="2">
        <v>45691</v>
      </c>
      <c r="C583" s="36" t="s">
        <v>55</v>
      </c>
      <c r="D583">
        <v>2025</v>
      </c>
      <c r="E583" s="36" t="s">
        <v>601</v>
      </c>
      <c r="F583" s="36" t="s">
        <v>41</v>
      </c>
      <c r="G583" s="36" t="s">
        <v>611</v>
      </c>
      <c r="H583" s="36" t="s">
        <v>625</v>
      </c>
      <c r="I583" s="36" t="s">
        <v>645</v>
      </c>
      <c r="J583" s="36" t="s">
        <v>618</v>
      </c>
      <c r="K583">
        <v>19</v>
      </c>
      <c r="L583">
        <v>1200</v>
      </c>
      <c r="M583">
        <v>22800</v>
      </c>
      <c r="N583">
        <v>16644</v>
      </c>
      <c r="O583">
        <v>6156</v>
      </c>
      <c r="P583" s="11">
        <v>0.27</v>
      </c>
    </row>
    <row r="584" spans="1:16" x14ac:dyDescent="0.25">
      <c r="A584" s="36" t="s">
        <v>162</v>
      </c>
      <c r="B584" s="2">
        <v>45692</v>
      </c>
      <c r="C584" s="36" t="s">
        <v>55</v>
      </c>
      <c r="D584">
        <v>2025</v>
      </c>
      <c r="E584" s="36" t="s">
        <v>593</v>
      </c>
      <c r="F584" s="36" t="s">
        <v>41</v>
      </c>
      <c r="G584" s="36" t="s">
        <v>609</v>
      </c>
      <c r="H584" s="36" t="s">
        <v>626</v>
      </c>
      <c r="I584" s="36" t="s">
        <v>623</v>
      </c>
      <c r="J584" s="36" t="s">
        <v>618</v>
      </c>
      <c r="K584">
        <v>18</v>
      </c>
      <c r="L584">
        <v>4000</v>
      </c>
      <c r="M584">
        <v>72000</v>
      </c>
      <c r="N584">
        <v>54720</v>
      </c>
      <c r="O584">
        <v>17280</v>
      </c>
      <c r="P584" s="11">
        <v>0.24</v>
      </c>
    </row>
    <row r="585" spans="1:16" x14ac:dyDescent="0.25">
      <c r="A585" s="36" t="s">
        <v>295</v>
      </c>
      <c r="B585" s="2">
        <v>45693</v>
      </c>
      <c r="C585" s="36" t="s">
        <v>55</v>
      </c>
      <c r="D585">
        <v>2025</v>
      </c>
      <c r="E585" s="36" t="s">
        <v>599</v>
      </c>
      <c r="F585" s="36" t="s">
        <v>39</v>
      </c>
      <c r="G585" s="36" t="s">
        <v>609</v>
      </c>
      <c r="H585" s="36" t="s">
        <v>624</v>
      </c>
      <c r="I585" s="36" t="s">
        <v>619</v>
      </c>
      <c r="J585" s="36" t="s">
        <v>618</v>
      </c>
      <c r="K585">
        <v>8</v>
      </c>
      <c r="L585">
        <v>12000</v>
      </c>
      <c r="M585">
        <v>96000</v>
      </c>
      <c r="N585">
        <v>79680</v>
      </c>
      <c r="O585">
        <v>16320</v>
      </c>
      <c r="P585" s="11">
        <v>0.17</v>
      </c>
    </row>
    <row r="586" spans="1:16" x14ac:dyDescent="0.25">
      <c r="A586" s="36" t="s">
        <v>466</v>
      </c>
      <c r="B586" s="2">
        <v>45693</v>
      </c>
      <c r="C586" s="36" t="s">
        <v>55</v>
      </c>
      <c r="D586">
        <v>2025</v>
      </c>
      <c r="E586" s="36" t="s">
        <v>595</v>
      </c>
      <c r="F586" s="36" t="s">
        <v>39</v>
      </c>
      <c r="G586" s="36" t="s">
        <v>609</v>
      </c>
      <c r="H586" s="36" t="s">
        <v>626</v>
      </c>
      <c r="I586" s="36" t="s">
        <v>617</v>
      </c>
      <c r="J586" s="36" t="s">
        <v>618</v>
      </c>
      <c r="K586">
        <v>1</v>
      </c>
      <c r="L586">
        <v>25000</v>
      </c>
      <c r="M586">
        <v>25000</v>
      </c>
      <c r="N586">
        <v>15500</v>
      </c>
      <c r="O586">
        <v>9500</v>
      </c>
      <c r="P586" s="11">
        <v>0.38</v>
      </c>
    </row>
    <row r="587" spans="1:16" x14ac:dyDescent="0.25">
      <c r="A587" s="36" t="s">
        <v>536</v>
      </c>
      <c r="B587" s="2">
        <v>45693</v>
      </c>
      <c r="C587" s="36" t="s">
        <v>55</v>
      </c>
      <c r="D587">
        <v>2025</v>
      </c>
      <c r="E587" s="36" t="s">
        <v>599</v>
      </c>
      <c r="F587" s="36" t="s">
        <v>39</v>
      </c>
      <c r="G587" s="36" t="s">
        <v>609</v>
      </c>
      <c r="H587" s="36" t="s">
        <v>628</v>
      </c>
      <c r="I587" s="36" t="s">
        <v>631</v>
      </c>
      <c r="J587" s="36" t="s">
        <v>615</v>
      </c>
      <c r="K587">
        <v>20</v>
      </c>
      <c r="L587">
        <v>4000</v>
      </c>
      <c r="M587">
        <v>80000</v>
      </c>
      <c r="N587">
        <v>66400</v>
      </c>
      <c r="O587">
        <v>13600</v>
      </c>
      <c r="P587" s="11">
        <v>0.17</v>
      </c>
    </row>
    <row r="588" spans="1:16" x14ac:dyDescent="0.25">
      <c r="A588" s="36" t="s">
        <v>54</v>
      </c>
      <c r="B588" s="2">
        <v>45694</v>
      </c>
      <c r="C588" s="36" t="s">
        <v>55</v>
      </c>
      <c r="D588">
        <v>2025</v>
      </c>
      <c r="E588" s="36" t="s">
        <v>597</v>
      </c>
      <c r="F588" s="36" t="s">
        <v>41</v>
      </c>
      <c r="G588" s="36" t="s">
        <v>608</v>
      </c>
      <c r="H588" s="36" t="s">
        <v>622</v>
      </c>
      <c r="I588" s="36" t="s">
        <v>623</v>
      </c>
      <c r="J588" s="36" t="s">
        <v>618</v>
      </c>
      <c r="K588">
        <v>20</v>
      </c>
      <c r="L588">
        <v>20</v>
      </c>
      <c r="M588">
        <v>400</v>
      </c>
      <c r="N588">
        <v>328</v>
      </c>
      <c r="O588">
        <v>72</v>
      </c>
      <c r="P588" s="11">
        <v>0.18</v>
      </c>
    </row>
    <row r="589" spans="1:16" x14ac:dyDescent="0.25">
      <c r="A589" s="36" t="s">
        <v>299</v>
      </c>
      <c r="B589" s="2">
        <v>45695</v>
      </c>
      <c r="C589" s="36" t="s">
        <v>55</v>
      </c>
      <c r="D589">
        <v>2025</v>
      </c>
      <c r="E589" s="36" t="s">
        <v>607</v>
      </c>
      <c r="F589" s="36" t="s">
        <v>42</v>
      </c>
      <c r="G589" s="36" t="s">
        <v>608</v>
      </c>
      <c r="H589" s="36" t="s">
        <v>616</v>
      </c>
      <c r="I589" s="36" t="s">
        <v>630</v>
      </c>
      <c r="J589" s="36" t="s">
        <v>615</v>
      </c>
      <c r="K589">
        <v>13</v>
      </c>
      <c r="L589">
        <v>1200</v>
      </c>
      <c r="M589">
        <v>15600</v>
      </c>
      <c r="N589">
        <v>12324</v>
      </c>
      <c r="O589">
        <v>3276</v>
      </c>
      <c r="P589" s="11">
        <v>0.21</v>
      </c>
    </row>
    <row r="590" spans="1:16" x14ac:dyDescent="0.25">
      <c r="A590" s="36" t="s">
        <v>434</v>
      </c>
      <c r="B590" s="2">
        <v>45696</v>
      </c>
      <c r="C590" s="36" t="s">
        <v>55</v>
      </c>
      <c r="D590">
        <v>2025</v>
      </c>
      <c r="E590" s="36" t="s">
        <v>597</v>
      </c>
      <c r="F590" s="36" t="s">
        <v>41</v>
      </c>
      <c r="G590" s="36" t="s">
        <v>612</v>
      </c>
      <c r="H590" s="36" t="s">
        <v>626</v>
      </c>
      <c r="I590" s="36" t="s">
        <v>614</v>
      </c>
      <c r="J590" s="36" t="s">
        <v>615</v>
      </c>
      <c r="K590">
        <v>16</v>
      </c>
      <c r="L590">
        <v>8000</v>
      </c>
      <c r="M590">
        <v>128000</v>
      </c>
      <c r="N590">
        <v>76800</v>
      </c>
      <c r="O590">
        <v>51200</v>
      </c>
      <c r="P590" s="11">
        <v>0.4</v>
      </c>
    </row>
    <row r="591" spans="1:16" x14ac:dyDescent="0.25">
      <c r="A591" s="36" t="s">
        <v>234</v>
      </c>
      <c r="B591" s="2">
        <v>45698</v>
      </c>
      <c r="C591" s="36" t="s">
        <v>55</v>
      </c>
      <c r="D591">
        <v>2025</v>
      </c>
      <c r="E591" s="36" t="s">
        <v>593</v>
      </c>
      <c r="F591" s="36" t="s">
        <v>41</v>
      </c>
      <c r="G591" s="36" t="s">
        <v>611</v>
      </c>
      <c r="H591" s="36" t="s">
        <v>628</v>
      </c>
      <c r="I591" s="36" t="s">
        <v>623</v>
      </c>
      <c r="J591" s="36" t="s">
        <v>615</v>
      </c>
      <c r="K591">
        <v>9</v>
      </c>
      <c r="L591">
        <v>150</v>
      </c>
      <c r="M591">
        <v>1350</v>
      </c>
      <c r="N591">
        <v>958.5</v>
      </c>
      <c r="O591">
        <v>391.5</v>
      </c>
      <c r="P591" s="11">
        <v>0.28999999999999998</v>
      </c>
    </row>
    <row r="592" spans="1:16" x14ac:dyDescent="0.25">
      <c r="A592" s="36" t="s">
        <v>414</v>
      </c>
      <c r="B592" s="2">
        <v>45698</v>
      </c>
      <c r="C592" s="36" t="s">
        <v>55</v>
      </c>
      <c r="D592">
        <v>2025</v>
      </c>
      <c r="E592" s="36" t="s">
        <v>594</v>
      </c>
      <c r="F592" s="36" t="s">
        <v>39</v>
      </c>
      <c r="G592" s="36" t="s">
        <v>610</v>
      </c>
      <c r="H592" s="36" t="s">
        <v>621</v>
      </c>
      <c r="I592" s="36" t="s">
        <v>631</v>
      </c>
      <c r="J592" s="36" t="s">
        <v>618</v>
      </c>
      <c r="K592">
        <v>8</v>
      </c>
      <c r="L592">
        <v>8000</v>
      </c>
      <c r="M592">
        <v>64000</v>
      </c>
      <c r="N592">
        <v>44160</v>
      </c>
      <c r="O592">
        <v>19840</v>
      </c>
      <c r="P592" s="11">
        <v>0.31</v>
      </c>
    </row>
    <row r="593" spans="1:16" x14ac:dyDescent="0.25">
      <c r="A593" s="36" t="s">
        <v>446</v>
      </c>
      <c r="B593" s="2">
        <v>45698</v>
      </c>
      <c r="C593" s="36" t="s">
        <v>55</v>
      </c>
      <c r="D593">
        <v>2025</v>
      </c>
      <c r="E593" s="36" t="s">
        <v>599</v>
      </c>
      <c r="F593" s="36" t="s">
        <v>39</v>
      </c>
      <c r="G593" s="36" t="s">
        <v>610</v>
      </c>
      <c r="H593" s="36" t="s">
        <v>626</v>
      </c>
      <c r="I593" s="36" t="s">
        <v>623</v>
      </c>
      <c r="J593" s="36" t="s">
        <v>618</v>
      </c>
      <c r="K593">
        <v>12</v>
      </c>
      <c r="L593">
        <v>3500</v>
      </c>
      <c r="M593">
        <v>42000</v>
      </c>
      <c r="N593">
        <v>30660</v>
      </c>
      <c r="O593">
        <v>11340</v>
      </c>
      <c r="P593" s="11">
        <v>0.27</v>
      </c>
    </row>
    <row r="594" spans="1:16" x14ac:dyDescent="0.25">
      <c r="A594" s="36" t="s">
        <v>188</v>
      </c>
      <c r="B594" s="2">
        <v>45699</v>
      </c>
      <c r="C594" s="36" t="s">
        <v>55</v>
      </c>
      <c r="D594">
        <v>2025</v>
      </c>
      <c r="E594" s="36" t="s">
        <v>597</v>
      </c>
      <c r="F594" s="36" t="s">
        <v>41</v>
      </c>
      <c r="G594" s="36" t="s">
        <v>612</v>
      </c>
      <c r="H594" s="36" t="s">
        <v>620</v>
      </c>
      <c r="I594" s="36" t="s">
        <v>614</v>
      </c>
      <c r="J594" s="36" t="s">
        <v>618</v>
      </c>
      <c r="K594">
        <v>2</v>
      </c>
      <c r="L594">
        <v>9000</v>
      </c>
      <c r="M594">
        <v>18000</v>
      </c>
      <c r="N594">
        <v>11340</v>
      </c>
      <c r="O594">
        <v>6660</v>
      </c>
      <c r="P594" s="11">
        <v>0.37</v>
      </c>
    </row>
    <row r="595" spans="1:16" x14ac:dyDescent="0.25">
      <c r="A595" s="36" t="s">
        <v>308</v>
      </c>
      <c r="B595" s="2">
        <v>45700</v>
      </c>
      <c r="C595" s="36" t="s">
        <v>55</v>
      </c>
      <c r="D595">
        <v>2025</v>
      </c>
      <c r="E595" s="36" t="s">
        <v>597</v>
      </c>
      <c r="F595" s="36" t="s">
        <v>41</v>
      </c>
      <c r="G595" s="36" t="s">
        <v>609</v>
      </c>
      <c r="H595" s="36" t="s">
        <v>629</v>
      </c>
      <c r="I595" s="36" t="s">
        <v>623</v>
      </c>
      <c r="J595" s="36" t="s">
        <v>615</v>
      </c>
      <c r="K595">
        <v>18</v>
      </c>
      <c r="L595">
        <v>55000</v>
      </c>
      <c r="M595">
        <v>990000</v>
      </c>
      <c r="N595">
        <v>792000</v>
      </c>
      <c r="O595">
        <v>198000</v>
      </c>
      <c r="P595" s="11">
        <v>0.2</v>
      </c>
    </row>
    <row r="596" spans="1:16" x14ac:dyDescent="0.25">
      <c r="A596" s="36" t="s">
        <v>344</v>
      </c>
      <c r="B596" s="2">
        <v>45700</v>
      </c>
      <c r="C596" s="36" t="s">
        <v>55</v>
      </c>
      <c r="D596">
        <v>2025</v>
      </c>
      <c r="E596" s="36" t="s">
        <v>603</v>
      </c>
      <c r="F596" s="36" t="s">
        <v>42</v>
      </c>
      <c r="G596" s="36" t="s">
        <v>611</v>
      </c>
      <c r="H596" s="36" t="s">
        <v>613</v>
      </c>
      <c r="I596" s="36" t="s">
        <v>631</v>
      </c>
      <c r="J596" s="36" t="s">
        <v>615</v>
      </c>
      <c r="K596">
        <v>6</v>
      </c>
      <c r="L596">
        <v>12000</v>
      </c>
      <c r="M596">
        <v>72000</v>
      </c>
      <c r="N596">
        <v>64080</v>
      </c>
      <c r="O596">
        <v>7920</v>
      </c>
      <c r="P596" s="11">
        <v>0.11</v>
      </c>
    </row>
    <row r="597" spans="1:16" x14ac:dyDescent="0.25">
      <c r="A597" s="36" t="s">
        <v>172</v>
      </c>
      <c r="B597" s="2">
        <v>45701</v>
      </c>
      <c r="C597" s="36" t="s">
        <v>55</v>
      </c>
      <c r="D597">
        <v>2025</v>
      </c>
      <c r="E597" s="36" t="s">
        <v>605</v>
      </c>
      <c r="F597" s="36" t="s">
        <v>40</v>
      </c>
      <c r="G597" s="36" t="s">
        <v>612</v>
      </c>
      <c r="H597" s="36" t="s">
        <v>626</v>
      </c>
      <c r="I597" s="36" t="s">
        <v>630</v>
      </c>
      <c r="J597" s="36" t="s">
        <v>615</v>
      </c>
      <c r="K597">
        <v>2</v>
      </c>
      <c r="L597">
        <v>3500</v>
      </c>
      <c r="M597">
        <v>7000</v>
      </c>
      <c r="N597">
        <v>4340</v>
      </c>
      <c r="O597">
        <v>2660</v>
      </c>
      <c r="P597" s="11">
        <v>0.38</v>
      </c>
    </row>
    <row r="598" spans="1:16" x14ac:dyDescent="0.25">
      <c r="A598" s="36" t="s">
        <v>270</v>
      </c>
      <c r="B598" s="2">
        <v>45701</v>
      </c>
      <c r="C598" s="36" t="s">
        <v>55</v>
      </c>
      <c r="D598">
        <v>2025</v>
      </c>
      <c r="E598" s="36" t="s">
        <v>603</v>
      </c>
      <c r="F598" s="36" t="s">
        <v>42</v>
      </c>
      <c r="G598" s="36" t="s">
        <v>612</v>
      </c>
      <c r="H598" s="36" t="s">
        <v>621</v>
      </c>
      <c r="I598" s="36" t="s">
        <v>614</v>
      </c>
      <c r="J598" s="36" t="s">
        <v>618</v>
      </c>
      <c r="K598">
        <v>11</v>
      </c>
      <c r="L598">
        <v>8000</v>
      </c>
      <c r="M598">
        <v>88000</v>
      </c>
      <c r="N598">
        <v>76560</v>
      </c>
      <c r="O598">
        <v>11440</v>
      </c>
      <c r="P598" s="11">
        <v>0.13</v>
      </c>
    </row>
    <row r="599" spans="1:16" x14ac:dyDescent="0.25">
      <c r="A599" s="36" t="s">
        <v>396</v>
      </c>
      <c r="B599" s="2">
        <v>45702</v>
      </c>
      <c r="C599" s="36" t="s">
        <v>55</v>
      </c>
      <c r="D599">
        <v>2025</v>
      </c>
      <c r="E599" s="36" t="s">
        <v>606</v>
      </c>
      <c r="F599" s="36" t="s">
        <v>40</v>
      </c>
      <c r="G599" s="36" t="s">
        <v>610</v>
      </c>
      <c r="H599" s="36" t="s">
        <v>620</v>
      </c>
      <c r="I599" s="36" t="s">
        <v>623</v>
      </c>
      <c r="J599" s="36" t="s">
        <v>618</v>
      </c>
      <c r="K599">
        <v>10</v>
      </c>
      <c r="L599">
        <v>300</v>
      </c>
      <c r="M599">
        <v>3000</v>
      </c>
      <c r="N599">
        <v>2250</v>
      </c>
      <c r="O599">
        <v>750</v>
      </c>
      <c r="P599" s="11">
        <v>0.25</v>
      </c>
    </row>
    <row r="600" spans="1:16" x14ac:dyDescent="0.25">
      <c r="A600" s="36" t="s">
        <v>420</v>
      </c>
      <c r="B600" s="2">
        <v>45702</v>
      </c>
      <c r="C600" s="36" t="s">
        <v>55</v>
      </c>
      <c r="D600">
        <v>2025</v>
      </c>
      <c r="E600" s="36" t="s">
        <v>594</v>
      </c>
      <c r="F600" s="36" t="s">
        <v>39</v>
      </c>
      <c r="G600" s="36" t="s">
        <v>610</v>
      </c>
      <c r="H600" s="36" t="s">
        <v>622</v>
      </c>
      <c r="I600" s="36" t="s">
        <v>619</v>
      </c>
      <c r="J600" s="36" t="s">
        <v>618</v>
      </c>
      <c r="K600">
        <v>17</v>
      </c>
      <c r="L600">
        <v>700</v>
      </c>
      <c r="M600">
        <v>11900</v>
      </c>
      <c r="N600">
        <v>9877</v>
      </c>
      <c r="O600">
        <v>2023</v>
      </c>
      <c r="P600" s="11">
        <v>0.17</v>
      </c>
    </row>
    <row r="601" spans="1:16" x14ac:dyDescent="0.25">
      <c r="A601" s="36" t="s">
        <v>349</v>
      </c>
      <c r="B601" s="2">
        <v>45704</v>
      </c>
      <c r="C601" s="36" t="s">
        <v>55</v>
      </c>
      <c r="D601">
        <v>2025</v>
      </c>
      <c r="E601" s="36" t="s">
        <v>596</v>
      </c>
      <c r="F601" s="36" t="s">
        <v>39</v>
      </c>
      <c r="G601" s="36" t="s">
        <v>612</v>
      </c>
      <c r="H601" s="36" t="s">
        <v>620</v>
      </c>
      <c r="I601" s="36" t="s">
        <v>645</v>
      </c>
      <c r="J601" s="36" t="s">
        <v>615</v>
      </c>
      <c r="K601">
        <v>9</v>
      </c>
      <c r="L601">
        <v>50</v>
      </c>
      <c r="M601">
        <v>450</v>
      </c>
      <c r="N601">
        <v>279</v>
      </c>
      <c r="O601">
        <v>171</v>
      </c>
      <c r="P601" s="11">
        <v>0.38</v>
      </c>
    </row>
    <row r="602" spans="1:16" x14ac:dyDescent="0.25">
      <c r="A602" s="36" t="s">
        <v>554</v>
      </c>
      <c r="B602" s="2">
        <v>45704</v>
      </c>
      <c r="C602" s="36" t="s">
        <v>55</v>
      </c>
      <c r="D602">
        <v>2025</v>
      </c>
      <c r="E602" s="36" t="s">
        <v>598</v>
      </c>
      <c r="F602" s="36" t="s">
        <v>40</v>
      </c>
      <c r="G602" s="36" t="s">
        <v>611</v>
      </c>
      <c r="H602" s="36" t="s">
        <v>625</v>
      </c>
      <c r="I602" s="36" t="s">
        <v>617</v>
      </c>
      <c r="J602" s="36" t="s">
        <v>618</v>
      </c>
      <c r="K602">
        <v>1</v>
      </c>
      <c r="L602">
        <v>3500</v>
      </c>
      <c r="M602">
        <v>3500</v>
      </c>
      <c r="N602">
        <v>2380</v>
      </c>
      <c r="O602">
        <v>1120</v>
      </c>
      <c r="P602" s="11">
        <v>0.32</v>
      </c>
    </row>
    <row r="603" spans="1:16" x14ac:dyDescent="0.25">
      <c r="A603" s="36" t="s">
        <v>231</v>
      </c>
      <c r="B603" s="2">
        <v>45705</v>
      </c>
      <c r="C603" s="36" t="s">
        <v>55</v>
      </c>
      <c r="D603">
        <v>2025</v>
      </c>
      <c r="E603" s="36" t="s">
        <v>599</v>
      </c>
      <c r="F603" s="36" t="s">
        <v>39</v>
      </c>
      <c r="G603" s="36" t="s">
        <v>609</v>
      </c>
      <c r="H603" s="36" t="s">
        <v>613</v>
      </c>
      <c r="I603" s="36" t="s">
        <v>645</v>
      </c>
      <c r="J603" s="36" t="s">
        <v>618</v>
      </c>
      <c r="K603">
        <v>15</v>
      </c>
      <c r="L603">
        <v>50</v>
      </c>
      <c r="M603">
        <v>750</v>
      </c>
      <c r="N603">
        <v>457.5</v>
      </c>
      <c r="O603">
        <v>292.5</v>
      </c>
      <c r="P603" s="11">
        <v>0.39</v>
      </c>
    </row>
    <row r="604" spans="1:16" x14ac:dyDescent="0.25">
      <c r="A604" s="36" t="s">
        <v>430</v>
      </c>
      <c r="B604" s="2">
        <v>45705</v>
      </c>
      <c r="C604" s="36" t="s">
        <v>55</v>
      </c>
      <c r="D604">
        <v>2025</v>
      </c>
      <c r="E604" s="36" t="s">
        <v>601</v>
      </c>
      <c r="F604" s="36" t="s">
        <v>41</v>
      </c>
      <c r="G604" s="36" t="s">
        <v>610</v>
      </c>
      <c r="H604" s="36" t="s">
        <v>621</v>
      </c>
      <c r="I604" s="36" t="s">
        <v>645</v>
      </c>
      <c r="J604" s="36" t="s">
        <v>615</v>
      </c>
      <c r="K604">
        <v>9</v>
      </c>
      <c r="L604">
        <v>300</v>
      </c>
      <c r="M604">
        <v>2700</v>
      </c>
      <c r="N604">
        <v>2133</v>
      </c>
      <c r="O604">
        <v>567</v>
      </c>
      <c r="P604" s="11">
        <v>0.21</v>
      </c>
    </row>
    <row r="605" spans="1:16" x14ac:dyDescent="0.25">
      <c r="A605" s="36" t="s">
        <v>583</v>
      </c>
      <c r="B605" s="2">
        <v>45705</v>
      </c>
      <c r="C605" s="36" t="s">
        <v>55</v>
      </c>
      <c r="D605">
        <v>2025</v>
      </c>
      <c r="E605" s="36" t="s">
        <v>607</v>
      </c>
      <c r="F605" s="36" t="s">
        <v>42</v>
      </c>
      <c r="G605" s="36" t="s">
        <v>608</v>
      </c>
      <c r="H605" s="36" t="s">
        <v>613</v>
      </c>
      <c r="I605" s="36" t="s">
        <v>630</v>
      </c>
      <c r="J605" s="36" t="s">
        <v>615</v>
      </c>
      <c r="K605">
        <v>2</v>
      </c>
      <c r="L605">
        <v>45000</v>
      </c>
      <c r="M605">
        <v>90000</v>
      </c>
      <c r="N605">
        <v>56700</v>
      </c>
      <c r="O605">
        <v>33300</v>
      </c>
      <c r="P605" s="11">
        <v>0.37</v>
      </c>
    </row>
    <row r="606" spans="1:16" x14ac:dyDescent="0.25">
      <c r="A606" s="36" t="s">
        <v>71</v>
      </c>
      <c r="B606" s="2">
        <v>45706</v>
      </c>
      <c r="C606" s="36" t="s">
        <v>55</v>
      </c>
      <c r="D606">
        <v>2025</v>
      </c>
      <c r="E606" s="36" t="s">
        <v>603</v>
      </c>
      <c r="F606" s="36" t="s">
        <v>42</v>
      </c>
      <c r="G606" s="36" t="s">
        <v>609</v>
      </c>
      <c r="H606" s="36" t="s">
        <v>620</v>
      </c>
      <c r="I606" s="36" t="s">
        <v>617</v>
      </c>
      <c r="J606" s="36" t="s">
        <v>615</v>
      </c>
      <c r="K606">
        <v>8</v>
      </c>
      <c r="L606">
        <v>1200</v>
      </c>
      <c r="M606">
        <v>9600</v>
      </c>
      <c r="N606">
        <v>7488</v>
      </c>
      <c r="O606">
        <v>2112</v>
      </c>
      <c r="P606" s="11">
        <v>0.22</v>
      </c>
    </row>
    <row r="607" spans="1:16" x14ac:dyDescent="0.25">
      <c r="A607" s="36" t="s">
        <v>450</v>
      </c>
      <c r="B607" s="2">
        <v>45706</v>
      </c>
      <c r="C607" s="36" t="s">
        <v>55</v>
      </c>
      <c r="D607">
        <v>2025</v>
      </c>
      <c r="E607" s="36" t="s">
        <v>597</v>
      </c>
      <c r="F607" s="36" t="s">
        <v>41</v>
      </c>
      <c r="G607" s="36" t="s">
        <v>608</v>
      </c>
      <c r="H607" s="36" t="s">
        <v>624</v>
      </c>
      <c r="I607" s="36" t="s">
        <v>614</v>
      </c>
      <c r="J607" s="36" t="s">
        <v>618</v>
      </c>
      <c r="K607">
        <v>9</v>
      </c>
      <c r="L607">
        <v>20</v>
      </c>
      <c r="M607">
        <v>180</v>
      </c>
      <c r="N607">
        <v>109.8</v>
      </c>
      <c r="O607">
        <v>70.2</v>
      </c>
      <c r="P607" s="11">
        <v>0.39</v>
      </c>
    </row>
    <row r="608" spans="1:16" x14ac:dyDescent="0.25">
      <c r="A608" s="36" t="s">
        <v>532</v>
      </c>
      <c r="B608" s="2">
        <v>45706</v>
      </c>
      <c r="C608" s="36" t="s">
        <v>55</v>
      </c>
      <c r="D608">
        <v>2025</v>
      </c>
      <c r="E608" s="36" t="s">
        <v>601</v>
      </c>
      <c r="F608" s="36" t="s">
        <v>41</v>
      </c>
      <c r="G608" s="36" t="s">
        <v>612</v>
      </c>
      <c r="H608" s="36" t="s">
        <v>628</v>
      </c>
      <c r="I608" s="36" t="s">
        <v>619</v>
      </c>
      <c r="J608" s="36" t="s">
        <v>618</v>
      </c>
      <c r="K608">
        <v>5</v>
      </c>
      <c r="L608">
        <v>4000</v>
      </c>
      <c r="M608">
        <v>20000</v>
      </c>
      <c r="N608">
        <v>13600</v>
      </c>
      <c r="O608">
        <v>6400</v>
      </c>
      <c r="P608" s="11">
        <v>0.32</v>
      </c>
    </row>
    <row r="609" spans="1:16" x14ac:dyDescent="0.25">
      <c r="A609" s="36" t="s">
        <v>60</v>
      </c>
      <c r="B609" s="2">
        <v>45707</v>
      </c>
      <c r="C609" s="36" t="s">
        <v>55</v>
      </c>
      <c r="D609">
        <v>2025</v>
      </c>
      <c r="E609" s="36" t="s">
        <v>597</v>
      </c>
      <c r="F609" s="36" t="s">
        <v>41</v>
      </c>
      <c r="G609" s="36" t="s">
        <v>611</v>
      </c>
      <c r="H609" s="36" t="s">
        <v>616</v>
      </c>
      <c r="I609" s="36" t="s">
        <v>617</v>
      </c>
      <c r="J609" s="36" t="s">
        <v>618</v>
      </c>
      <c r="K609">
        <v>13</v>
      </c>
      <c r="L609">
        <v>55000</v>
      </c>
      <c r="M609">
        <v>715000</v>
      </c>
      <c r="N609">
        <v>429000</v>
      </c>
      <c r="O609">
        <v>286000</v>
      </c>
      <c r="P609" s="11">
        <v>0.4</v>
      </c>
    </row>
    <row r="610" spans="1:16" x14ac:dyDescent="0.25">
      <c r="A610" s="36" t="s">
        <v>489</v>
      </c>
      <c r="B610" s="2">
        <v>45707</v>
      </c>
      <c r="C610" s="36" t="s">
        <v>55</v>
      </c>
      <c r="D610">
        <v>2025</v>
      </c>
      <c r="E610" s="36" t="s">
        <v>606</v>
      </c>
      <c r="F610" s="36" t="s">
        <v>40</v>
      </c>
      <c r="G610" s="36" t="s">
        <v>612</v>
      </c>
      <c r="H610" s="36" t="s">
        <v>625</v>
      </c>
      <c r="I610" s="36" t="s">
        <v>645</v>
      </c>
      <c r="J610" s="36" t="s">
        <v>618</v>
      </c>
      <c r="K610">
        <v>3</v>
      </c>
      <c r="L610">
        <v>55000</v>
      </c>
      <c r="M610">
        <v>165000</v>
      </c>
      <c r="N610">
        <v>117150</v>
      </c>
      <c r="O610">
        <v>47850</v>
      </c>
      <c r="P610" s="11">
        <v>0.28999999999999998</v>
      </c>
    </row>
    <row r="611" spans="1:16" x14ac:dyDescent="0.25">
      <c r="A611" s="36" t="s">
        <v>94</v>
      </c>
      <c r="B611" s="2">
        <v>45708</v>
      </c>
      <c r="C611" s="36" t="s">
        <v>55</v>
      </c>
      <c r="D611">
        <v>2025</v>
      </c>
      <c r="E611" s="36" t="s">
        <v>594</v>
      </c>
      <c r="F611" s="36" t="s">
        <v>39</v>
      </c>
      <c r="G611" s="36" t="s">
        <v>611</v>
      </c>
      <c r="H611" s="36" t="s">
        <v>622</v>
      </c>
      <c r="I611" s="36" t="s">
        <v>617</v>
      </c>
      <c r="J611" s="36" t="s">
        <v>615</v>
      </c>
      <c r="K611">
        <v>11</v>
      </c>
      <c r="L611">
        <v>3500</v>
      </c>
      <c r="M611">
        <v>38500</v>
      </c>
      <c r="N611">
        <v>24255</v>
      </c>
      <c r="O611">
        <v>14245</v>
      </c>
      <c r="P611" s="11">
        <v>0.37</v>
      </c>
    </row>
    <row r="612" spans="1:16" x14ac:dyDescent="0.25">
      <c r="A612" s="36" t="s">
        <v>581</v>
      </c>
      <c r="B612" s="2">
        <v>45708</v>
      </c>
      <c r="C612" s="36" t="s">
        <v>55</v>
      </c>
      <c r="D612">
        <v>2025</v>
      </c>
      <c r="E612" s="36" t="s">
        <v>605</v>
      </c>
      <c r="F612" s="36" t="s">
        <v>40</v>
      </c>
      <c r="G612" s="36" t="s">
        <v>611</v>
      </c>
      <c r="H612" s="36" t="s">
        <v>620</v>
      </c>
      <c r="I612" s="36" t="s">
        <v>631</v>
      </c>
      <c r="J612" s="36" t="s">
        <v>618</v>
      </c>
      <c r="K612">
        <v>18</v>
      </c>
      <c r="L612">
        <v>300</v>
      </c>
      <c r="M612">
        <v>5400</v>
      </c>
      <c r="N612">
        <v>4428</v>
      </c>
      <c r="O612">
        <v>972</v>
      </c>
      <c r="P612" s="11">
        <v>0.18</v>
      </c>
    </row>
    <row r="613" spans="1:16" x14ac:dyDescent="0.25">
      <c r="A613" s="36" t="s">
        <v>101</v>
      </c>
      <c r="B613" s="2">
        <v>45709</v>
      </c>
      <c r="C613" s="36" t="s">
        <v>55</v>
      </c>
      <c r="D613">
        <v>2025</v>
      </c>
      <c r="E613" s="36" t="s">
        <v>593</v>
      </c>
      <c r="F613" s="36" t="s">
        <v>41</v>
      </c>
      <c r="G613" s="36" t="s">
        <v>610</v>
      </c>
      <c r="H613" s="36" t="s">
        <v>613</v>
      </c>
      <c r="I613" s="36" t="s">
        <v>623</v>
      </c>
      <c r="J613" s="36" t="s">
        <v>615</v>
      </c>
      <c r="K613">
        <v>10</v>
      </c>
      <c r="L613">
        <v>15000</v>
      </c>
      <c r="M613">
        <v>150000</v>
      </c>
      <c r="N613">
        <v>108000</v>
      </c>
      <c r="O613">
        <v>42000</v>
      </c>
      <c r="P613" s="11">
        <v>0.28000000000000003</v>
      </c>
    </row>
    <row r="614" spans="1:16" x14ac:dyDescent="0.25">
      <c r="A614" s="36" t="s">
        <v>454</v>
      </c>
      <c r="B614" s="2">
        <v>45710</v>
      </c>
      <c r="C614" s="36" t="s">
        <v>55</v>
      </c>
      <c r="D614">
        <v>2025</v>
      </c>
      <c r="E614" s="36" t="s">
        <v>597</v>
      </c>
      <c r="F614" s="36" t="s">
        <v>41</v>
      </c>
      <c r="G614" s="36" t="s">
        <v>608</v>
      </c>
      <c r="H614" s="36" t="s">
        <v>625</v>
      </c>
      <c r="I614" s="36" t="s">
        <v>627</v>
      </c>
      <c r="J614" s="36" t="s">
        <v>615</v>
      </c>
      <c r="K614">
        <v>4</v>
      </c>
      <c r="L614">
        <v>9000</v>
      </c>
      <c r="M614">
        <v>36000</v>
      </c>
      <c r="N614">
        <v>29160</v>
      </c>
      <c r="O614">
        <v>6840</v>
      </c>
      <c r="P614" s="11">
        <v>0.19</v>
      </c>
    </row>
    <row r="615" spans="1:16" x14ac:dyDescent="0.25">
      <c r="A615" s="36" t="s">
        <v>233</v>
      </c>
      <c r="B615" s="2">
        <v>45711</v>
      </c>
      <c r="C615" s="36" t="s">
        <v>55</v>
      </c>
      <c r="D615">
        <v>2025</v>
      </c>
      <c r="E615" s="36" t="s">
        <v>597</v>
      </c>
      <c r="F615" s="36" t="s">
        <v>41</v>
      </c>
      <c r="G615" s="36" t="s">
        <v>610</v>
      </c>
      <c r="H615" s="36" t="s">
        <v>625</v>
      </c>
      <c r="I615" s="36" t="s">
        <v>631</v>
      </c>
      <c r="J615" s="36" t="s">
        <v>615</v>
      </c>
      <c r="K615">
        <v>13</v>
      </c>
      <c r="L615">
        <v>50</v>
      </c>
      <c r="M615">
        <v>650</v>
      </c>
      <c r="N615">
        <v>455</v>
      </c>
      <c r="O615">
        <v>195</v>
      </c>
      <c r="P615" s="11">
        <v>0.3</v>
      </c>
    </row>
    <row r="616" spans="1:16" x14ac:dyDescent="0.25">
      <c r="A616" s="36" t="s">
        <v>141</v>
      </c>
      <c r="B616" s="2">
        <v>45712</v>
      </c>
      <c r="C616" s="36" t="s">
        <v>55</v>
      </c>
      <c r="D616">
        <v>2025</v>
      </c>
      <c r="E616" s="36" t="s">
        <v>602</v>
      </c>
      <c r="F616" s="36" t="s">
        <v>42</v>
      </c>
      <c r="G616" s="36" t="s">
        <v>612</v>
      </c>
      <c r="H616" s="36" t="s">
        <v>613</v>
      </c>
      <c r="I616" s="36" t="s">
        <v>623</v>
      </c>
      <c r="J616" s="36" t="s">
        <v>615</v>
      </c>
      <c r="K616">
        <v>4</v>
      </c>
      <c r="L616">
        <v>20</v>
      </c>
      <c r="M616">
        <v>80</v>
      </c>
      <c r="N616">
        <v>58.4</v>
      </c>
      <c r="O616">
        <v>21.6</v>
      </c>
      <c r="P616" s="11">
        <v>0.27</v>
      </c>
    </row>
    <row r="617" spans="1:16" x14ac:dyDescent="0.25">
      <c r="A617" s="36" t="s">
        <v>316</v>
      </c>
      <c r="B617" s="2">
        <v>45712</v>
      </c>
      <c r="C617" s="36" t="s">
        <v>55</v>
      </c>
      <c r="D617">
        <v>2025</v>
      </c>
      <c r="E617" s="36" t="s">
        <v>607</v>
      </c>
      <c r="F617" s="36" t="s">
        <v>42</v>
      </c>
      <c r="G617" s="36" t="s">
        <v>608</v>
      </c>
      <c r="H617" s="36" t="s">
        <v>616</v>
      </c>
      <c r="I617" s="36" t="s">
        <v>630</v>
      </c>
      <c r="J617" s="36" t="s">
        <v>615</v>
      </c>
      <c r="K617">
        <v>3</v>
      </c>
      <c r="L617">
        <v>55000</v>
      </c>
      <c r="M617">
        <v>165000</v>
      </c>
      <c r="N617">
        <v>140250</v>
      </c>
      <c r="O617">
        <v>24750</v>
      </c>
      <c r="P617" s="11">
        <v>0.15</v>
      </c>
    </row>
    <row r="618" spans="1:16" x14ac:dyDescent="0.25">
      <c r="A618" s="36" t="s">
        <v>89</v>
      </c>
      <c r="B618" s="2">
        <v>45713</v>
      </c>
      <c r="C618" s="36" t="s">
        <v>55</v>
      </c>
      <c r="D618">
        <v>2025</v>
      </c>
      <c r="E618" s="36" t="s">
        <v>599</v>
      </c>
      <c r="F618" s="36" t="s">
        <v>39</v>
      </c>
      <c r="G618" s="36" t="s">
        <v>610</v>
      </c>
      <c r="H618" s="36" t="s">
        <v>624</v>
      </c>
      <c r="I618" s="36" t="s">
        <v>614</v>
      </c>
      <c r="J618" s="36" t="s">
        <v>618</v>
      </c>
      <c r="K618">
        <v>10</v>
      </c>
      <c r="L618">
        <v>9000</v>
      </c>
      <c r="M618">
        <v>90000</v>
      </c>
      <c r="N618">
        <v>57600</v>
      </c>
      <c r="O618">
        <v>32400</v>
      </c>
      <c r="P618" s="11">
        <v>0.36</v>
      </c>
    </row>
    <row r="619" spans="1:16" x14ac:dyDescent="0.25">
      <c r="A619" s="36" t="s">
        <v>268</v>
      </c>
      <c r="B619" s="2">
        <v>45713</v>
      </c>
      <c r="C619" s="36" t="s">
        <v>55</v>
      </c>
      <c r="D619">
        <v>2025</v>
      </c>
      <c r="E619" s="36" t="s">
        <v>606</v>
      </c>
      <c r="F619" s="36" t="s">
        <v>40</v>
      </c>
      <c r="G619" s="36" t="s">
        <v>612</v>
      </c>
      <c r="H619" s="36" t="s">
        <v>622</v>
      </c>
      <c r="I619" s="36" t="s">
        <v>627</v>
      </c>
      <c r="J619" s="36" t="s">
        <v>618</v>
      </c>
      <c r="K619">
        <v>3</v>
      </c>
      <c r="L619">
        <v>45000</v>
      </c>
      <c r="M619">
        <v>135000</v>
      </c>
      <c r="N619">
        <v>101250</v>
      </c>
      <c r="O619">
        <v>33750</v>
      </c>
      <c r="P619" s="11">
        <v>0.25</v>
      </c>
    </row>
    <row r="620" spans="1:16" x14ac:dyDescent="0.25">
      <c r="A620" s="36" t="s">
        <v>419</v>
      </c>
      <c r="B620" s="2">
        <v>45713</v>
      </c>
      <c r="C620" s="36" t="s">
        <v>55</v>
      </c>
      <c r="D620">
        <v>2025</v>
      </c>
      <c r="E620" s="36" t="s">
        <v>605</v>
      </c>
      <c r="F620" s="36" t="s">
        <v>40</v>
      </c>
      <c r="G620" s="36" t="s">
        <v>610</v>
      </c>
      <c r="H620" s="36" t="s">
        <v>629</v>
      </c>
      <c r="I620" s="36" t="s">
        <v>645</v>
      </c>
      <c r="J620" s="36" t="s">
        <v>615</v>
      </c>
      <c r="K620">
        <v>4</v>
      </c>
      <c r="L620">
        <v>8000</v>
      </c>
      <c r="M620">
        <v>32000</v>
      </c>
      <c r="N620">
        <v>20160</v>
      </c>
      <c r="O620">
        <v>11840</v>
      </c>
      <c r="P620" s="11">
        <v>0.37</v>
      </c>
    </row>
    <row r="621" spans="1:16" x14ac:dyDescent="0.25">
      <c r="A621" s="36" t="s">
        <v>508</v>
      </c>
      <c r="B621" s="2">
        <v>45713</v>
      </c>
      <c r="C621" s="36" t="s">
        <v>55</v>
      </c>
      <c r="D621">
        <v>2025</v>
      </c>
      <c r="E621" s="36" t="s">
        <v>606</v>
      </c>
      <c r="F621" s="36" t="s">
        <v>40</v>
      </c>
      <c r="G621" s="36" t="s">
        <v>609</v>
      </c>
      <c r="H621" s="36" t="s">
        <v>624</v>
      </c>
      <c r="I621" s="36" t="s">
        <v>630</v>
      </c>
      <c r="J621" s="36" t="s">
        <v>615</v>
      </c>
      <c r="K621">
        <v>16</v>
      </c>
      <c r="L621">
        <v>150</v>
      </c>
      <c r="M621">
        <v>2400</v>
      </c>
      <c r="N621">
        <v>1704</v>
      </c>
      <c r="O621">
        <v>696</v>
      </c>
      <c r="P621" s="11">
        <v>0.28999999999999998</v>
      </c>
    </row>
    <row r="622" spans="1:16" x14ac:dyDescent="0.25">
      <c r="A622" s="36" t="s">
        <v>168</v>
      </c>
      <c r="B622" s="2">
        <v>45714</v>
      </c>
      <c r="C622" s="36" t="s">
        <v>55</v>
      </c>
      <c r="D622">
        <v>2025</v>
      </c>
      <c r="E622" s="36" t="s">
        <v>607</v>
      </c>
      <c r="F622" s="36" t="s">
        <v>42</v>
      </c>
      <c r="G622" s="36" t="s">
        <v>609</v>
      </c>
      <c r="H622" s="36" t="s">
        <v>620</v>
      </c>
      <c r="I622" s="36" t="s">
        <v>623</v>
      </c>
      <c r="J622" s="36" t="s">
        <v>618</v>
      </c>
      <c r="K622">
        <v>20</v>
      </c>
      <c r="L622">
        <v>9000</v>
      </c>
      <c r="M622">
        <v>180000</v>
      </c>
      <c r="N622">
        <v>147600</v>
      </c>
      <c r="O622">
        <v>32400</v>
      </c>
      <c r="P622" s="11">
        <v>0.18</v>
      </c>
    </row>
    <row r="623" spans="1:16" x14ac:dyDescent="0.25">
      <c r="A623" s="36" t="s">
        <v>361</v>
      </c>
      <c r="B623" s="2">
        <v>45714</v>
      </c>
      <c r="C623" s="36" t="s">
        <v>55</v>
      </c>
      <c r="D623">
        <v>2025</v>
      </c>
      <c r="E623" s="36" t="s">
        <v>602</v>
      </c>
      <c r="F623" s="36" t="s">
        <v>42</v>
      </c>
      <c r="G623" s="36" t="s">
        <v>608</v>
      </c>
      <c r="H623" s="36" t="s">
        <v>621</v>
      </c>
      <c r="I623" s="36" t="s">
        <v>645</v>
      </c>
      <c r="J623" s="36" t="s">
        <v>615</v>
      </c>
      <c r="K623">
        <v>11</v>
      </c>
      <c r="L623">
        <v>45000</v>
      </c>
      <c r="M623">
        <v>495000</v>
      </c>
      <c r="N623">
        <v>381150</v>
      </c>
      <c r="O623">
        <v>113850</v>
      </c>
      <c r="P623" s="11">
        <v>0.23</v>
      </c>
    </row>
    <row r="624" spans="1:16" x14ac:dyDescent="0.25">
      <c r="A624" s="36" t="s">
        <v>463</v>
      </c>
      <c r="B624" s="2">
        <v>45714</v>
      </c>
      <c r="C624" s="36" t="s">
        <v>55</v>
      </c>
      <c r="D624">
        <v>2025</v>
      </c>
      <c r="E624" s="36" t="s">
        <v>600</v>
      </c>
      <c r="F624" s="36" t="s">
        <v>39</v>
      </c>
      <c r="G624" s="36" t="s">
        <v>609</v>
      </c>
      <c r="H624" s="36" t="s">
        <v>624</v>
      </c>
      <c r="I624" s="36" t="s">
        <v>630</v>
      </c>
      <c r="J624" s="36" t="s">
        <v>615</v>
      </c>
      <c r="K624">
        <v>7</v>
      </c>
      <c r="L624">
        <v>700</v>
      </c>
      <c r="M624">
        <v>4900</v>
      </c>
      <c r="N624">
        <v>4214</v>
      </c>
      <c r="O624">
        <v>686</v>
      </c>
      <c r="P624" s="11">
        <v>0.14000000000000001</v>
      </c>
    </row>
    <row r="625" spans="1:16" x14ac:dyDescent="0.25">
      <c r="A625" s="36" t="s">
        <v>146</v>
      </c>
      <c r="B625" s="2">
        <v>45715</v>
      </c>
      <c r="C625" s="36" t="s">
        <v>55</v>
      </c>
      <c r="D625">
        <v>2025</v>
      </c>
      <c r="E625" s="36" t="s">
        <v>607</v>
      </c>
      <c r="F625" s="36" t="s">
        <v>42</v>
      </c>
      <c r="G625" s="36" t="s">
        <v>609</v>
      </c>
      <c r="H625" s="36" t="s">
        <v>625</v>
      </c>
      <c r="I625" s="36" t="s">
        <v>631</v>
      </c>
      <c r="J625" s="36" t="s">
        <v>618</v>
      </c>
      <c r="K625">
        <v>20</v>
      </c>
      <c r="L625">
        <v>50</v>
      </c>
      <c r="M625">
        <v>1000</v>
      </c>
      <c r="N625">
        <v>710</v>
      </c>
      <c r="O625">
        <v>290</v>
      </c>
      <c r="P625" s="11">
        <v>0.28999999999999998</v>
      </c>
    </row>
    <row r="626" spans="1:16" x14ac:dyDescent="0.25">
      <c r="A626" s="36" t="s">
        <v>265</v>
      </c>
      <c r="B626" s="2">
        <v>45715</v>
      </c>
      <c r="C626" s="36" t="s">
        <v>55</v>
      </c>
      <c r="D626">
        <v>2025</v>
      </c>
      <c r="E626" s="36" t="s">
        <v>602</v>
      </c>
      <c r="F626" s="36" t="s">
        <v>42</v>
      </c>
      <c r="G626" s="36" t="s">
        <v>610</v>
      </c>
      <c r="H626" s="36" t="s">
        <v>620</v>
      </c>
      <c r="I626" s="36" t="s">
        <v>614</v>
      </c>
      <c r="J626" s="36" t="s">
        <v>615</v>
      </c>
      <c r="K626">
        <v>17</v>
      </c>
      <c r="L626">
        <v>45000</v>
      </c>
      <c r="M626">
        <v>765000</v>
      </c>
      <c r="N626">
        <v>459000</v>
      </c>
      <c r="O626">
        <v>306000</v>
      </c>
      <c r="P626" s="11">
        <v>0.4</v>
      </c>
    </row>
    <row r="627" spans="1:16" x14ac:dyDescent="0.25">
      <c r="A627" s="36" t="s">
        <v>103</v>
      </c>
      <c r="B627" s="2">
        <v>45716</v>
      </c>
      <c r="C627" s="36" t="s">
        <v>55</v>
      </c>
      <c r="D627">
        <v>2025</v>
      </c>
      <c r="E627" s="36" t="s">
        <v>603</v>
      </c>
      <c r="F627" s="36" t="s">
        <v>42</v>
      </c>
      <c r="G627" s="36" t="s">
        <v>610</v>
      </c>
      <c r="H627" s="36" t="s">
        <v>626</v>
      </c>
      <c r="I627" s="36" t="s">
        <v>631</v>
      </c>
      <c r="J627" s="36" t="s">
        <v>615</v>
      </c>
      <c r="K627">
        <v>10</v>
      </c>
      <c r="L627">
        <v>7000</v>
      </c>
      <c r="M627">
        <v>70000</v>
      </c>
      <c r="N627">
        <v>54600</v>
      </c>
      <c r="O627">
        <v>15400</v>
      </c>
      <c r="P627" s="11">
        <v>0.22</v>
      </c>
    </row>
    <row r="628" spans="1:16" x14ac:dyDescent="0.25">
      <c r="A628" s="36" t="s">
        <v>267</v>
      </c>
      <c r="B628" s="2">
        <v>45716</v>
      </c>
      <c r="C628" s="36" t="s">
        <v>55</v>
      </c>
      <c r="D628">
        <v>2025</v>
      </c>
      <c r="E628" s="36" t="s">
        <v>601</v>
      </c>
      <c r="F628" s="36" t="s">
        <v>41</v>
      </c>
      <c r="G628" s="36" t="s">
        <v>610</v>
      </c>
      <c r="H628" s="36" t="s">
        <v>625</v>
      </c>
      <c r="I628" s="36" t="s">
        <v>623</v>
      </c>
      <c r="J628" s="36" t="s">
        <v>618</v>
      </c>
      <c r="K628">
        <v>1</v>
      </c>
      <c r="L628">
        <v>20</v>
      </c>
      <c r="M628">
        <v>20</v>
      </c>
      <c r="N628">
        <v>13.2</v>
      </c>
      <c r="O628">
        <v>6.8000000000000007</v>
      </c>
      <c r="P628" s="11">
        <v>0.34</v>
      </c>
    </row>
    <row r="629" spans="1:16" x14ac:dyDescent="0.25">
      <c r="A629" s="36" t="s">
        <v>365</v>
      </c>
      <c r="B629" s="2">
        <v>45716</v>
      </c>
      <c r="C629" s="36" t="s">
        <v>55</v>
      </c>
      <c r="D629">
        <v>2025</v>
      </c>
      <c r="E629" s="36" t="s">
        <v>604</v>
      </c>
      <c r="F629" s="36" t="s">
        <v>41</v>
      </c>
      <c r="G629" s="36" t="s">
        <v>610</v>
      </c>
      <c r="H629" s="36" t="s">
        <v>626</v>
      </c>
      <c r="I629" s="36" t="s">
        <v>630</v>
      </c>
      <c r="J629" s="36" t="s">
        <v>615</v>
      </c>
      <c r="K629">
        <v>2</v>
      </c>
      <c r="L629">
        <v>4000</v>
      </c>
      <c r="M629">
        <v>8000</v>
      </c>
      <c r="N629">
        <v>5040</v>
      </c>
      <c r="O629">
        <v>2960</v>
      </c>
      <c r="P629" s="11">
        <v>0.37</v>
      </c>
    </row>
    <row r="630" spans="1:16" x14ac:dyDescent="0.25">
      <c r="A630" s="36" t="s">
        <v>448</v>
      </c>
      <c r="B630" s="2">
        <v>45716</v>
      </c>
      <c r="C630" s="36" t="s">
        <v>55</v>
      </c>
      <c r="D630">
        <v>2025</v>
      </c>
      <c r="E630" s="36" t="s">
        <v>602</v>
      </c>
      <c r="F630" s="36" t="s">
        <v>42</v>
      </c>
      <c r="G630" s="36" t="s">
        <v>610</v>
      </c>
      <c r="H630" s="36" t="s">
        <v>621</v>
      </c>
      <c r="I630" s="36" t="s">
        <v>630</v>
      </c>
      <c r="J630" s="36" t="s">
        <v>615</v>
      </c>
      <c r="K630">
        <v>18</v>
      </c>
      <c r="L630">
        <v>25000</v>
      </c>
      <c r="M630">
        <v>450000</v>
      </c>
      <c r="N630">
        <v>288000</v>
      </c>
      <c r="O630">
        <v>162000</v>
      </c>
      <c r="P630" s="11">
        <v>0.36</v>
      </c>
    </row>
    <row r="631" spans="1:16" x14ac:dyDescent="0.25">
      <c r="A631" s="36" t="s">
        <v>589</v>
      </c>
      <c r="B631" s="2">
        <v>45716</v>
      </c>
      <c r="C631" s="36" t="s">
        <v>55</v>
      </c>
      <c r="D631">
        <v>2025</v>
      </c>
      <c r="E631" s="36" t="s">
        <v>594</v>
      </c>
      <c r="F631" s="36" t="s">
        <v>39</v>
      </c>
      <c r="G631" s="36" t="s">
        <v>608</v>
      </c>
      <c r="H631" s="36" t="s">
        <v>624</v>
      </c>
      <c r="I631" s="36" t="s">
        <v>630</v>
      </c>
      <c r="J631" s="36" t="s">
        <v>618</v>
      </c>
      <c r="K631">
        <v>8</v>
      </c>
      <c r="L631">
        <v>300</v>
      </c>
      <c r="M631">
        <v>2400</v>
      </c>
      <c r="N631">
        <v>1728</v>
      </c>
      <c r="O631">
        <v>672</v>
      </c>
      <c r="P631" s="11">
        <v>0.28000000000000003</v>
      </c>
    </row>
    <row r="632" spans="1:16" x14ac:dyDescent="0.25">
      <c r="A632" s="36" t="s">
        <v>241</v>
      </c>
      <c r="B632" s="2">
        <v>45717</v>
      </c>
      <c r="C632" s="36" t="s">
        <v>46</v>
      </c>
      <c r="D632">
        <v>2025</v>
      </c>
      <c r="E632" s="36" t="s">
        <v>592</v>
      </c>
      <c r="F632" s="36" t="s">
        <v>40</v>
      </c>
      <c r="G632" s="36" t="s">
        <v>612</v>
      </c>
      <c r="H632" s="36" t="s">
        <v>628</v>
      </c>
      <c r="I632" s="36" t="s">
        <v>623</v>
      </c>
      <c r="J632" s="36" t="s">
        <v>618</v>
      </c>
      <c r="K632">
        <v>17</v>
      </c>
      <c r="L632">
        <v>15000</v>
      </c>
      <c r="M632">
        <v>255000</v>
      </c>
      <c r="N632">
        <v>229500</v>
      </c>
      <c r="O632">
        <v>25500</v>
      </c>
      <c r="P632" s="11">
        <v>0.1</v>
      </c>
    </row>
    <row r="633" spans="1:16" x14ac:dyDescent="0.25">
      <c r="A633" s="36" t="s">
        <v>167</v>
      </c>
      <c r="B633" s="2">
        <v>45718</v>
      </c>
      <c r="C633" s="36" t="s">
        <v>46</v>
      </c>
      <c r="D633">
        <v>2025</v>
      </c>
      <c r="E633" s="36" t="s">
        <v>597</v>
      </c>
      <c r="F633" s="36" t="s">
        <v>41</v>
      </c>
      <c r="G633" s="36" t="s">
        <v>610</v>
      </c>
      <c r="H633" s="36" t="s">
        <v>629</v>
      </c>
      <c r="I633" s="36" t="s">
        <v>623</v>
      </c>
      <c r="J633" s="36" t="s">
        <v>618</v>
      </c>
      <c r="K633">
        <v>11</v>
      </c>
      <c r="L633">
        <v>15000</v>
      </c>
      <c r="M633">
        <v>165000</v>
      </c>
      <c r="N633">
        <v>141900</v>
      </c>
      <c r="O633">
        <v>23100</v>
      </c>
      <c r="P633" s="11">
        <v>0.14000000000000001</v>
      </c>
    </row>
    <row r="634" spans="1:16" x14ac:dyDescent="0.25">
      <c r="A634" s="36" t="s">
        <v>211</v>
      </c>
      <c r="B634" s="2">
        <v>45718</v>
      </c>
      <c r="C634" s="36" t="s">
        <v>46</v>
      </c>
      <c r="D634">
        <v>2025</v>
      </c>
      <c r="E634" s="36" t="s">
        <v>592</v>
      </c>
      <c r="F634" s="36" t="s">
        <v>40</v>
      </c>
      <c r="G634" s="36" t="s">
        <v>608</v>
      </c>
      <c r="H634" s="36" t="s">
        <v>621</v>
      </c>
      <c r="I634" s="36" t="s">
        <v>623</v>
      </c>
      <c r="J634" s="36" t="s">
        <v>618</v>
      </c>
      <c r="K634">
        <v>10</v>
      </c>
      <c r="L634">
        <v>3500</v>
      </c>
      <c r="M634">
        <v>35000</v>
      </c>
      <c r="N634">
        <v>24850</v>
      </c>
      <c r="O634">
        <v>10150</v>
      </c>
      <c r="P634" s="11">
        <v>0.28999999999999998</v>
      </c>
    </row>
    <row r="635" spans="1:16" x14ac:dyDescent="0.25">
      <c r="A635" s="36" t="s">
        <v>339</v>
      </c>
      <c r="B635" s="2">
        <v>45719</v>
      </c>
      <c r="C635" s="36" t="s">
        <v>46</v>
      </c>
      <c r="D635">
        <v>2025</v>
      </c>
      <c r="E635" s="36" t="s">
        <v>597</v>
      </c>
      <c r="F635" s="36" t="s">
        <v>41</v>
      </c>
      <c r="G635" s="36" t="s">
        <v>608</v>
      </c>
      <c r="H635" s="36" t="s">
        <v>622</v>
      </c>
      <c r="I635" s="36" t="s">
        <v>614</v>
      </c>
      <c r="J635" s="36" t="s">
        <v>618</v>
      </c>
      <c r="K635">
        <v>11</v>
      </c>
      <c r="L635">
        <v>7000</v>
      </c>
      <c r="M635">
        <v>77000</v>
      </c>
      <c r="N635">
        <v>67760</v>
      </c>
      <c r="O635">
        <v>9240</v>
      </c>
      <c r="P635" s="11">
        <v>0.12</v>
      </c>
    </row>
    <row r="636" spans="1:16" x14ac:dyDescent="0.25">
      <c r="A636" s="36" t="s">
        <v>340</v>
      </c>
      <c r="B636" s="2">
        <v>45720</v>
      </c>
      <c r="C636" s="36" t="s">
        <v>46</v>
      </c>
      <c r="D636">
        <v>2025</v>
      </c>
      <c r="E636" s="36" t="s">
        <v>604</v>
      </c>
      <c r="F636" s="36" t="s">
        <v>41</v>
      </c>
      <c r="G636" s="36" t="s">
        <v>609</v>
      </c>
      <c r="H636" s="36" t="s">
        <v>613</v>
      </c>
      <c r="I636" s="36" t="s">
        <v>627</v>
      </c>
      <c r="J636" s="36" t="s">
        <v>618</v>
      </c>
      <c r="K636">
        <v>6</v>
      </c>
      <c r="L636">
        <v>55000</v>
      </c>
      <c r="M636">
        <v>330000</v>
      </c>
      <c r="N636">
        <v>270600</v>
      </c>
      <c r="O636">
        <v>59400</v>
      </c>
      <c r="P636" s="11">
        <v>0.18</v>
      </c>
    </row>
    <row r="637" spans="1:16" x14ac:dyDescent="0.25">
      <c r="A637" s="36" t="s">
        <v>591</v>
      </c>
      <c r="B637" s="2">
        <v>45720</v>
      </c>
      <c r="C637" s="36" t="s">
        <v>46</v>
      </c>
      <c r="D637">
        <v>2025</v>
      </c>
      <c r="E637" s="36" t="s">
        <v>599</v>
      </c>
      <c r="F637" s="36" t="s">
        <v>39</v>
      </c>
      <c r="G637" s="36" t="s">
        <v>609</v>
      </c>
      <c r="H637" s="36" t="s">
        <v>625</v>
      </c>
      <c r="I637" s="36" t="s">
        <v>627</v>
      </c>
      <c r="J637" s="36" t="s">
        <v>615</v>
      </c>
      <c r="K637">
        <v>14</v>
      </c>
      <c r="L637">
        <v>55000</v>
      </c>
      <c r="M637">
        <v>770000</v>
      </c>
      <c r="N637">
        <v>492800</v>
      </c>
      <c r="O637">
        <v>277200</v>
      </c>
      <c r="P637" s="11">
        <v>0.36</v>
      </c>
    </row>
    <row r="638" spans="1:16" x14ac:dyDescent="0.25">
      <c r="A638" s="36" t="s">
        <v>206</v>
      </c>
      <c r="B638" s="2">
        <v>45721</v>
      </c>
      <c r="C638" s="36" t="s">
        <v>46</v>
      </c>
      <c r="D638">
        <v>2025</v>
      </c>
      <c r="E638" s="36" t="s">
        <v>604</v>
      </c>
      <c r="F638" s="36" t="s">
        <v>41</v>
      </c>
      <c r="G638" s="36" t="s">
        <v>609</v>
      </c>
      <c r="H638" s="36" t="s">
        <v>621</v>
      </c>
      <c r="I638" s="36" t="s">
        <v>614</v>
      </c>
      <c r="J638" s="36" t="s">
        <v>615</v>
      </c>
      <c r="K638">
        <v>18</v>
      </c>
      <c r="L638">
        <v>15000</v>
      </c>
      <c r="M638">
        <v>270000</v>
      </c>
      <c r="N638">
        <v>162000</v>
      </c>
      <c r="O638">
        <v>108000</v>
      </c>
      <c r="P638" s="11">
        <v>0.4</v>
      </c>
    </row>
    <row r="639" spans="1:16" x14ac:dyDescent="0.25">
      <c r="A639" s="36" t="s">
        <v>447</v>
      </c>
      <c r="B639" s="2">
        <v>45721</v>
      </c>
      <c r="C639" s="36" t="s">
        <v>46</v>
      </c>
      <c r="D639">
        <v>2025</v>
      </c>
      <c r="E639" s="36" t="s">
        <v>592</v>
      </c>
      <c r="F639" s="36" t="s">
        <v>40</v>
      </c>
      <c r="G639" s="36" t="s">
        <v>608</v>
      </c>
      <c r="H639" s="36" t="s">
        <v>626</v>
      </c>
      <c r="I639" s="36" t="s">
        <v>623</v>
      </c>
      <c r="J639" s="36" t="s">
        <v>618</v>
      </c>
      <c r="K639">
        <v>1</v>
      </c>
      <c r="L639">
        <v>9000</v>
      </c>
      <c r="M639">
        <v>9000</v>
      </c>
      <c r="N639">
        <v>7110</v>
      </c>
      <c r="O639">
        <v>1890</v>
      </c>
      <c r="P639" s="11">
        <v>0.21</v>
      </c>
    </row>
    <row r="640" spans="1:16" x14ac:dyDescent="0.25">
      <c r="A640" s="36" t="s">
        <v>63</v>
      </c>
      <c r="B640" s="2">
        <v>45723</v>
      </c>
      <c r="C640" s="36" t="s">
        <v>46</v>
      </c>
      <c r="D640">
        <v>2025</v>
      </c>
      <c r="E640" s="36" t="s">
        <v>592</v>
      </c>
      <c r="F640" s="36" t="s">
        <v>40</v>
      </c>
      <c r="G640" s="36" t="s">
        <v>610</v>
      </c>
      <c r="H640" s="36" t="s">
        <v>625</v>
      </c>
      <c r="I640" s="36" t="s">
        <v>619</v>
      </c>
      <c r="J640" s="36" t="s">
        <v>615</v>
      </c>
      <c r="K640">
        <v>9</v>
      </c>
      <c r="L640">
        <v>8000</v>
      </c>
      <c r="M640">
        <v>72000</v>
      </c>
      <c r="N640">
        <v>62640</v>
      </c>
      <c r="O640">
        <v>9360</v>
      </c>
      <c r="P640" s="11">
        <v>0.13</v>
      </c>
    </row>
    <row r="641" spans="1:16" x14ac:dyDescent="0.25">
      <c r="A641" s="36" t="s">
        <v>135</v>
      </c>
      <c r="B641" s="2">
        <v>45723</v>
      </c>
      <c r="C641" s="36" t="s">
        <v>46</v>
      </c>
      <c r="D641">
        <v>2025</v>
      </c>
      <c r="E641" s="36" t="s">
        <v>597</v>
      </c>
      <c r="F641" s="36" t="s">
        <v>41</v>
      </c>
      <c r="G641" s="36" t="s">
        <v>612</v>
      </c>
      <c r="H641" s="36" t="s">
        <v>626</v>
      </c>
      <c r="I641" s="36" t="s">
        <v>631</v>
      </c>
      <c r="J641" s="36" t="s">
        <v>618</v>
      </c>
      <c r="K641">
        <v>10</v>
      </c>
      <c r="L641">
        <v>4000</v>
      </c>
      <c r="M641">
        <v>40000</v>
      </c>
      <c r="N641">
        <v>33200</v>
      </c>
      <c r="O641">
        <v>6800</v>
      </c>
      <c r="P641" s="11">
        <v>0.17</v>
      </c>
    </row>
    <row r="642" spans="1:16" x14ac:dyDescent="0.25">
      <c r="A642" s="36" t="s">
        <v>574</v>
      </c>
      <c r="B642" s="2">
        <v>45724</v>
      </c>
      <c r="C642" s="36" t="s">
        <v>46</v>
      </c>
      <c r="D642">
        <v>2025</v>
      </c>
      <c r="E642" s="36" t="s">
        <v>595</v>
      </c>
      <c r="F642" s="36" t="s">
        <v>39</v>
      </c>
      <c r="G642" s="36" t="s">
        <v>612</v>
      </c>
      <c r="H642" s="36" t="s">
        <v>628</v>
      </c>
      <c r="I642" s="36" t="s">
        <v>631</v>
      </c>
      <c r="J642" s="36" t="s">
        <v>615</v>
      </c>
      <c r="K642">
        <v>19</v>
      </c>
      <c r="L642">
        <v>20</v>
      </c>
      <c r="M642">
        <v>380</v>
      </c>
      <c r="N642">
        <v>334.4</v>
      </c>
      <c r="O642">
        <v>45.600000000000023</v>
      </c>
      <c r="P642" s="11">
        <v>0.12000000000000006</v>
      </c>
    </row>
    <row r="643" spans="1:16" x14ac:dyDescent="0.25">
      <c r="A643" s="36" t="s">
        <v>51</v>
      </c>
      <c r="B643" s="2">
        <v>45725</v>
      </c>
      <c r="C643" s="36" t="s">
        <v>46</v>
      </c>
      <c r="D643">
        <v>2025</v>
      </c>
      <c r="E643" s="36" t="s">
        <v>596</v>
      </c>
      <c r="F643" s="36" t="s">
        <v>39</v>
      </c>
      <c r="G643" s="36" t="s">
        <v>608</v>
      </c>
      <c r="H643" s="36" t="s">
        <v>613</v>
      </c>
      <c r="I643" s="36" t="s">
        <v>645</v>
      </c>
      <c r="J643" s="36" t="s">
        <v>615</v>
      </c>
      <c r="K643">
        <v>9</v>
      </c>
      <c r="L643">
        <v>1200</v>
      </c>
      <c r="M643">
        <v>10800</v>
      </c>
      <c r="N643">
        <v>6480</v>
      </c>
      <c r="O643">
        <v>4320</v>
      </c>
      <c r="P643" s="11">
        <v>0.4</v>
      </c>
    </row>
    <row r="644" spans="1:16" x14ac:dyDescent="0.25">
      <c r="A644" s="36" t="s">
        <v>529</v>
      </c>
      <c r="B644" s="2">
        <v>45725</v>
      </c>
      <c r="C644" s="36" t="s">
        <v>46</v>
      </c>
      <c r="D644">
        <v>2025</v>
      </c>
      <c r="E644" s="36" t="s">
        <v>593</v>
      </c>
      <c r="F644" s="36" t="s">
        <v>41</v>
      </c>
      <c r="G644" s="36" t="s">
        <v>612</v>
      </c>
      <c r="H644" s="36" t="s">
        <v>616</v>
      </c>
      <c r="I644" s="36" t="s">
        <v>631</v>
      </c>
      <c r="J644" s="36" t="s">
        <v>618</v>
      </c>
      <c r="K644">
        <v>13</v>
      </c>
      <c r="L644">
        <v>1200</v>
      </c>
      <c r="M644">
        <v>15600</v>
      </c>
      <c r="N644">
        <v>13416</v>
      </c>
      <c r="O644">
        <v>2184</v>
      </c>
      <c r="P644" s="11">
        <v>0.14000000000000001</v>
      </c>
    </row>
    <row r="645" spans="1:16" x14ac:dyDescent="0.25">
      <c r="A645" s="36" t="s">
        <v>232</v>
      </c>
      <c r="B645" s="2">
        <v>45726</v>
      </c>
      <c r="C645" s="36" t="s">
        <v>46</v>
      </c>
      <c r="D645">
        <v>2025</v>
      </c>
      <c r="E645" s="36" t="s">
        <v>598</v>
      </c>
      <c r="F645" s="36" t="s">
        <v>40</v>
      </c>
      <c r="G645" s="36" t="s">
        <v>612</v>
      </c>
      <c r="H645" s="36" t="s">
        <v>616</v>
      </c>
      <c r="I645" s="36" t="s">
        <v>623</v>
      </c>
      <c r="J645" s="36" t="s">
        <v>615</v>
      </c>
      <c r="K645">
        <v>18</v>
      </c>
      <c r="L645">
        <v>8000</v>
      </c>
      <c r="M645">
        <v>144000</v>
      </c>
      <c r="N645">
        <v>105120</v>
      </c>
      <c r="O645">
        <v>38880</v>
      </c>
      <c r="P645" s="11">
        <v>0.27</v>
      </c>
    </row>
    <row r="646" spans="1:16" x14ac:dyDescent="0.25">
      <c r="A646" s="36" t="s">
        <v>108</v>
      </c>
      <c r="B646" s="2">
        <v>45727</v>
      </c>
      <c r="C646" s="36" t="s">
        <v>46</v>
      </c>
      <c r="D646">
        <v>2025</v>
      </c>
      <c r="E646" s="36" t="s">
        <v>598</v>
      </c>
      <c r="F646" s="36" t="s">
        <v>40</v>
      </c>
      <c r="G646" s="36" t="s">
        <v>611</v>
      </c>
      <c r="H646" s="36" t="s">
        <v>621</v>
      </c>
      <c r="I646" s="36" t="s">
        <v>645</v>
      </c>
      <c r="J646" s="36" t="s">
        <v>618</v>
      </c>
      <c r="K646">
        <v>18</v>
      </c>
      <c r="L646">
        <v>1200</v>
      </c>
      <c r="M646">
        <v>21600</v>
      </c>
      <c r="N646">
        <v>16632</v>
      </c>
      <c r="O646">
        <v>4968</v>
      </c>
      <c r="P646" s="11">
        <v>0.23</v>
      </c>
    </row>
    <row r="647" spans="1:16" x14ac:dyDescent="0.25">
      <c r="A647" s="36" t="s">
        <v>341</v>
      </c>
      <c r="B647" s="2">
        <v>45727</v>
      </c>
      <c r="C647" s="36" t="s">
        <v>46</v>
      </c>
      <c r="D647">
        <v>2025</v>
      </c>
      <c r="E647" s="36" t="s">
        <v>599</v>
      </c>
      <c r="F647" s="36" t="s">
        <v>39</v>
      </c>
      <c r="G647" s="36" t="s">
        <v>608</v>
      </c>
      <c r="H647" s="36" t="s">
        <v>622</v>
      </c>
      <c r="I647" s="36" t="s">
        <v>630</v>
      </c>
      <c r="J647" s="36" t="s">
        <v>615</v>
      </c>
      <c r="K647">
        <v>17</v>
      </c>
      <c r="L647">
        <v>150</v>
      </c>
      <c r="M647">
        <v>2550</v>
      </c>
      <c r="N647">
        <v>2167.5</v>
      </c>
      <c r="O647">
        <v>382.5</v>
      </c>
      <c r="P647" s="11">
        <v>0.15</v>
      </c>
    </row>
    <row r="648" spans="1:16" x14ac:dyDescent="0.25">
      <c r="A648" s="36" t="s">
        <v>177</v>
      </c>
      <c r="B648" s="2">
        <v>45728</v>
      </c>
      <c r="C648" s="36" t="s">
        <v>46</v>
      </c>
      <c r="D648">
        <v>2025</v>
      </c>
      <c r="E648" s="36" t="s">
        <v>600</v>
      </c>
      <c r="F648" s="36" t="s">
        <v>39</v>
      </c>
      <c r="G648" s="36" t="s">
        <v>611</v>
      </c>
      <c r="H648" s="36" t="s">
        <v>626</v>
      </c>
      <c r="I648" s="36" t="s">
        <v>627</v>
      </c>
      <c r="J648" s="36" t="s">
        <v>618</v>
      </c>
      <c r="K648">
        <v>9</v>
      </c>
      <c r="L648">
        <v>55000</v>
      </c>
      <c r="M648">
        <v>495000</v>
      </c>
      <c r="N648">
        <v>376200</v>
      </c>
      <c r="O648">
        <v>118800</v>
      </c>
      <c r="P648" s="11">
        <v>0.24</v>
      </c>
    </row>
    <row r="649" spans="1:16" x14ac:dyDescent="0.25">
      <c r="A649" s="36" t="s">
        <v>216</v>
      </c>
      <c r="B649" s="2">
        <v>45728</v>
      </c>
      <c r="C649" s="36" t="s">
        <v>46</v>
      </c>
      <c r="D649">
        <v>2025</v>
      </c>
      <c r="E649" s="36" t="s">
        <v>600</v>
      </c>
      <c r="F649" s="36" t="s">
        <v>39</v>
      </c>
      <c r="G649" s="36" t="s">
        <v>610</v>
      </c>
      <c r="H649" s="36" t="s">
        <v>625</v>
      </c>
      <c r="I649" s="36" t="s">
        <v>630</v>
      </c>
      <c r="J649" s="36" t="s">
        <v>615</v>
      </c>
      <c r="K649">
        <v>14</v>
      </c>
      <c r="L649">
        <v>45000</v>
      </c>
      <c r="M649">
        <v>630000</v>
      </c>
      <c r="N649">
        <v>510300</v>
      </c>
      <c r="O649">
        <v>119700</v>
      </c>
      <c r="P649" s="11">
        <v>0.19</v>
      </c>
    </row>
    <row r="650" spans="1:16" x14ac:dyDescent="0.25">
      <c r="A650" s="36" t="s">
        <v>451</v>
      </c>
      <c r="B650" s="2">
        <v>45728</v>
      </c>
      <c r="C650" s="36" t="s">
        <v>46</v>
      </c>
      <c r="D650">
        <v>2025</v>
      </c>
      <c r="E650" s="36" t="s">
        <v>594</v>
      </c>
      <c r="F650" s="36" t="s">
        <v>39</v>
      </c>
      <c r="G650" s="36" t="s">
        <v>611</v>
      </c>
      <c r="H650" s="36" t="s">
        <v>620</v>
      </c>
      <c r="I650" s="36" t="s">
        <v>630</v>
      </c>
      <c r="J650" s="36" t="s">
        <v>615</v>
      </c>
      <c r="K650">
        <v>14</v>
      </c>
      <c r="L650">
        <v>8000</v>
      </c>
      <c r="M650">
        <v>112000</v>
      </c>
      <c r="N650">
        <v>76160</v>
      </c>
      <c r="O650">
        <v>35840</v>
      </c>
      <c r="P650" s="11">
        <v>0.32</v>
      </c>
    </row>
    <row r="651" spans="1:16" x14ac:dyDescent="0.25">
      <c r="A651" s="36" t="s">
        <v>110</v>
      </c>
      <c r="B651" s="2">
        <v>45729</v>
      </c>
      <c r="C651" s="36" t="s">
        <v>46</v>
      </c>
      <c r="D651">
        <v>2025</v>
      </c>
      <c r="E651" s="36" t="s">
        <v>596</v>
      </c>
      <c r="F651" s="36" t="s">
        <v>39</v>
      </c>
      <c r="G651" s="36" t="s">
        <v>612</v>
      </c>
      <c r="H651" s="36" t="s">
        <v>624</v>
      </c>
      <c r="I651" s="36" t="s">
        <v>645</v>
      </c>
      <c r="J651" s="36" t="s">
        <v>618</v>
      </c>
      <c r="K651">
        <v>2</v>
      </c>
      <c r="L651">
        <v>9000</v>
      </c>
      <c r="M651">
        <v>18000</v>
      </c>
      <c r="N651">
        <v>13680</v>
      </c>
      <c r="O651">
        <v>4320</v>
      </c>
      <c r="P651" s="11">
        <v>0.24</v>
      </c>
    </row>
    <row r="652" spans="1:16" x14ac:dyDescent="0.25">
      <c r="A652" s="36" t="s">
        <v>318</v>
      </c>
      <c r="B652" s="2">
        <v>45729</v>
      </c>
      <c r="C652" s="36" t="s">
        <v>46</v>
      </c>
      <c r="D652">
        <v>2025</v>
      </c>
      <c r="E652" s="36" t="s">
        <v>602</v>
      </c>
      <c r="F652" s="36" t="s">
        <v>42</v>
      </c>
      <c r="G652" s="36" t="s">
        <v>610</v>
      </c>
      <c r="H652" s="36" t="s">
        <v>628</v>
      </c>
      <c r="I652" s="36" t="s">
        <v>631</v>
      </c>
      <c r="J652" s="36" t="s">
        <v>615</v>
      </c>
      <c r="K652">
        <v>20</v>
      </c>
      <c r="L652">
        <v>8000</v>
      </c>
      <c r="M652">
        <v>160000</v>
      </c>
      <c r="N652">
        <v>115200</v>
      </c>
      <c r="O652">
        <v>44800</v>
      </c>
      <c r="P652" s="11">
        <v>0.28000000000000003</v>
      </c>
    </row>
    <row r="653" spans="1:16" x14ac:dyDescent="0.25">
      <c r="A653" s="36" t="s">
        <v>45</v>
      </c>
      <c r="B653" s="2">
        <v>45731</v>
      </c>
      <c r="C653" s="36" t="s">
        <v>46</v>
      </c>
      <c r="D653">
        <v>2025</v>
      </c>
      <c r="E653" s="36" t="s">
        <v>593</v>
      </c>
      <c r="F653" s="36" t="s">
        <v>41</v>
      </c>
      <c r="G653" s="36" t="s">
        <v>608</v>
      </c>
      <c r="H653" s="36" t="s">
        <v>616</v>
      </c>
      <c r="I653" s="36" t="s">
        <v>617</v>
      </c>
      <c r="J653" s="36" t="s">
        <v>618</v>
      </c>
      <c r="K653">
        <v>7</v>
      </c>
      <c r="L653">
        <v>15000</v>
      </c>
      <c r="M653">
        <v>105000</v>
      </c>
      <c r="N653">
        <v>88200</v>
      </c>
      <c r="O653">
        <v>16800</v>
      </c>
      <c r="P653" s="11">
        <v>0.16</v>
      </c>
    </row>
    <row r="654" spans="1:16" x14ac:dyDescent="0.25">
      <c r="A654" s="36" t="s">
        <v>213</v>
      </c>
      <c r="B654" s="2">
        <v>45731</v>
      </c>
      <c r="C654" s="36" t="s">
        <v>46</v>
      </c>
      <c r="D654">
        <v>2025</v>
      </c>
      <c r="E654" s="36" t="s">
        <v>600</v>
      </c>
      <c r="F654" s="36" t="s">
        <v>39</v>
      </c>
      <c r="G654" s="36" t="s">
        <v>610</v>
      </c>
      <c r="H654" s="36" t="s">
        <v>625</v>
      </c>
      <c r="I654" s="36" t="s">
        <v>614</v>
      </c>
      <c r="J654" s="36" t="s">
        <v>615</v>
      </c>
      <c r="K654">
        <v>10</v>
      </c>
      <c r="L654">
        <v>50</v>
      </c>
      <c r="M654">
        <v>500</v>
      </c>
      <c r="N654">
        <v>330</v>
      </c>
      <c r="O654">
        <v>170</v>
      </c>
      <c r="P654" s="11">
        <v>0.34</v>
      </c>
    </row>
    <row r="655" spans="1:16" x14ac:dyDescent="0.25">
      <c r="A655" s="36" t="s">
        <v>506</v>
      </c>
      <c r="B655" s="2">
        <v>45731</v>
      </c>
      <c r="C655" s="36" t="s">
        <v>46</v>
      </c>
      <c r="D655">
        <v>2025</v>
      </c>
      <c r="E655" s="36" t="s">
        <v>605</v>
      </c>
      <c r="F655" s="36" t="s">
        <v>40</v>
      </c>
      <c r="G655" s="36" t="s">
        <v>611</v>
      </c>
      <c r="H655" s="36" t="s">
        <v>624</v>
      </c>
      <c r="I655" s="36" t="s">
        <v>619</v>
      </c>
      <c r="J655" s="36" t="s">
        <v>615</v>
      </c>
      <c r="K655">
        <v>14</v>
      </c>
      <c r="L655">
        <v>9000</v>
      </c>
      <c r="M655">
        <v>126000</v>
      </c>
      <c r="N655">
        <v>93240</v>
      </c>
      <c r="O655">
        <v>32760</v>
      </c>
      <c r="P655" s="11">
        <v>0.26</v>
      </c>
    </row>
    <row r="656" spans="1:16" x14ac:dyDescent="0.25">
      <c r="A656" s="36" t="s">
        <v>515</v>
      </c>
      <c r="B656" s="2">
        <v>45731</v>
      </c>
      <c r="C656" s="36" t="s">
        <v>46</v>
      </c>
      <c r="D656">
        <v>2025</v>
      </c>
      <c r="E656" s="36" t="s">
        <v>602</v>
      </c>
      <c r="F656" s="36" t="s">
        <v>42</v>
      </c>
      <c r="G656" s="36" t="s">
        <v>608</v>
      </c>
      <c r="H656" s="36" t="s">
        <v>613</v>
      </c>
      <c r="I656" s="36" t="s">
        <v>631</v>
      </c>
      <c r="J656" s="36" t="s">
        <v>618</v>
      </c>
      <c r="K656">
        <v>8</v>
      </c>
      <c r="L656">
        <v>700</v>
      </c>
      <c r="M656">
        <v>5600</v>
      </c>
      <c r="N656">
        <v>4536</v>
      </c>
      <c r="O656">
        <v>1064</v>
      </c>
      <c r="P656" s="11">
        <v>0.19</v>
      </c>
    </row>
    <row r="657" spans="1:16" x14ac:dyDescent="0.25">
      <c r="A657" s="36" t="s">
        <v>562</v>
      </c>
      <c r="B657" s="2">
        <v>45733</v>
      </c>
      <c r="C657" s="36" t="s">
        <v>46</v>
      </c>
      <c r="D657">
        <v>2025</v>
      </c>
      <c r="E657" s="36" t="s">
        <v>606</v>
      </c>
      <c r="F657" s="36" t="s">
        <v>40</v>
      </c>
      <c r="G657" s="36" t="s">
        <v>612</v>
      </c>
      <c r="H657" s="36" t="s">
        <v>625</v>
      </c>
      <c r="I657" s="36" t="s">
        <v>627</v>
      </c>
      <c r="J657" s="36" t="s">
        <v>615</v>
      </c>
      <c r="K657">
        <v>1</v>
      </c>
      <c r="L657">
        <v>4000</v>
      </c>
      <c r="M657">
        <v>4000</v>
      </c>
      <c r="N657">
        <v>3440</v>
      </c>
      <c r="O657">
        <v>560</v>
      </c>
      <c r="P657" s="11">
        <v>0.14000000000000001</v>
      </c>
    </row>
    <row r="658" spans="1:16" x14ac:dyDescent="0.25">
      <c r="A658" s="36" t="s">
        <v>194</v>
      </c>
      <c r="B658" s="2">
        <v>45734</v>
      </c>
      <c r="C658" s="36" t="s">
        <v>46</v>
      </c>
      <c r="D658">
        <v>2025</v>
      </c>
      <c r="E658" s="36" t="s">
        <v>602</v>
      </c>
      <c r="F658" s="36" t="s">
        <v>42</v>
      </c>
      <c r="G658" s="36" t="s">
        <v>612</v>
      </c>
      <c r="H658" s="36" t="s">
        <v>613</v>
      </c>
      <c r="I658" s="36" t="s">
        <v>630</v>
      </c>
      <c r="J658" s="36" t="s">
        <v>615</v>
      </c>
      <c r="K658">
        <v>20</v>
      </c>
      <c r="L658">
        <v>50</v>
      </c>
      <c r="M658">
        <v>1000</v>
      </c>
      <c r="N658">
        <v>890</v>
      </c>
      <c r="O658">
        <v>110</v>
      </c>
      <c r="P658" s="11">
        <v>0.11</v>
      </c>
    </row>
    <row r="659" spans="1:16" x14ac:dyDescent="0.25">
      <c r="A659" s="36" t="s">
        <v>227</v>
      </c>
      <c r="B659" s="2">
        <v>45734</v>
      </c>
      <c r="C659" s="36" t="s">
        <v>46</v>
      </c>
      <c r="D659">
        <v>2025</v>
      </c>
      <c r="E659" s="36" t="s">
        <v>605</v>
      </c>
      <c r="F659" s="36" t="s">
        <v>40</v>
      </c>
      <c r="G659" s="36" t="s">
        <v>612</v>
      </c>
      <c r="H659" s="36" t="s">
        <v>624</v>
      </c>
      <c r="I659" s="36" t="s">
        <v>623</v>
      </c>
      <c r="J659" s="36" t="s">
        <v>618</v>
      </c>
      <c r="K659">
        <v>16</v>
      </c>
      <c r="L659">
        <v>25000</v>
      </c>
      <c r="M659">
        <v>400000</v>
      </c>
      <c r="N659">
        <v>336000</v>
      </c>
      <c r="O659">
        <v>64000</v>
      </c>
      <c r="P659" s="11">
        <v>0.16</v>
      </c>
    </row>
    <row r="660" spans="1:16" x14ac:dyDescent="0.25">
      <c r="A660" s="36" t="s">
        <v>471</v>
      </c>
      <c r="B660" s="2">
        <v>45734</v>
      </c>
      <c r="C660" s="36" t="s">
        <v>46</v>
      </c>
      <c r="D660">
        <v>2025</v>
      </c>
      <c r="E660" s="36" t="s">
        <v>606</v>
      </c>
      <c r="F660" s="36" t="s">
        <v>40</v>
      </c>
      <c r="G660" s="36" t="s">
        <v>608</v>
      </c>
      <c r="H660" s="36" t="s">
        <v>616</v>
      </c>
      <c r="I660" s="36" t="s">
        <v>614</v>
      </c>
      <c r="J660" s="36" t="s">
        <v>615</v>
      </c>
      <c r="K660">
        <v>10</v>
      </c>
      <c r="L660">
        <v>12000</v>
      </c>
      <c r="M660">
        <v>120000</v>
      </c>
      <c r="N660">
        <v>92400</v>
      </c>
      <c r="O660">
        <v>27600</v>
      </c>
      <c r="P660" s="11">
        <v>0.23</v>
      </c>
    </row>
    <row r="661" spans="1:16" x14ac:dyDescent="0.25">
      <c r="A661" s="36" t="s">
        <v>498</v>
      </c>
      <c r="B661" s="2">
        <v>45734</v>
      </c>
      <c r="C661" s="36" t="s">
        <v>46</v>
      </c>
      <c r="D661">
        <v>2025</v>
      </c>
      <c r="E661" s="36" t="s">
        <v>597</v>
      </c>
      <c r="F661" s="36" t="s">
        <v>41</v>
      </c>
      <c r="G661" s="36" t="s">
        <v>612</v>
      </c>
      <c r="H661" s="36" t="s">
        <v>628</v>
      </c>
      <c r="I661" s="36" t="s">
        <v>619</v>
      </c>
      <c r="J661" s="36" t="s">
        <v>615</v>
      </c>
      <c r="K661">
        <v>5</v>
      </c>
      <c r="L661">
        <v>4000</v>
      </c>
      <c r="M661">
        <v>20000</v>
      </c>
      <c r="N661">
        <v>15600</v>
      </c>
      <c r="O661">
        <v>4400</v>
      </c>
      <c r="P661" s="11">
        <v>0.22</v>
      </c>
    </row>
    <row r="662" spans="1:16" x14ac:dyDescent="0.25">
      <c r="A662" s="36" t="s">
        <v>221</v>
      </c>
      <c r="B662" s="2">
        <v>45738</v>
      </c>
      <c r="C662" s="36" t="s">
        <v>46</v>
      </c>
      <c r="D662">
        <v>2025</v>
      </c>
      <c r="E662" s="36" t="s">
        <v>593</v>
      </c>
      <c r="F662" s="36" t="s">
        <v>41</v>
      </c>
      <c r="G662" s="36" t="s">
        <v>610</v>
      </c>
      <c r="H662" s="36" t="s">
        <v>626</v>
      </c>
      <c r="I662" s="36" t="s">
        <v>631</v>
      </c>
      <c r="J662" s="36" t="s">
        <v>618</v>
      </c>
      <c r="K662">
        <v>3</v>
      </c>
      <c r="L662">
        <v>7000</v>
      </c>
      <c r="M662">
        <v>21000</v>
      </c>
      <c r="N662">
        <v>12600</v>
      </c>
      <c r="O662">
        <v>8400</v>
      </c>
      <c r="P662" s="11">
        <v>0.4</v>
      </c>
    </row>
    <row r="663" spans="1:16" x14ac:dyDescent="0.25">
      <c r="A663" s="36" t="s">
        <v>480</v>
      </c>
      <c r="B663" s="2">
        <v>45738</v>
      </c>
      <c r="C663" s="36" t="s">
        <v>46</v>
      </c>
      <c r="D663">
        <v>2025</v>
      </c>
      <c r="E663" s="36" t="s">
        <v>602</v>
      </c>
      <c r="F663" s="36" t="s">
        <v>42</v>
      </c>
      <c r="G663" s="36" t="s">
        <v>612</v>
      </c>
      <c r="H663" s="36" t="s">
        <v>628</v>
      </c>
      <c r="I663" s="36" t="s">
        <v>645</v>
      </c>
      <c r="J663" s="36" t="s">
        <v>618</v>
      </c>
      <c r="K663">
        <v>14</v>
      </c>
      <c r="L663">
        <v>700</v>
      </c>
      <c r="M663">
        <v>9800</v>
      </c>
      <c r="N663">
        <v>7252</v>
      </c>
      <c r="O663">
        <v>2548</v>
      </c>
      <c r="P663" s="11">
        <v>0.26</v>
      </c>
    </row>
    <row r="664" spans="1:16" x14ac:dyDescent="0.25">
      <c r="A664" s="36" t="s">
        <v>128</v>
      </c>
      <c r="B664" s="2">
        <v>45739</v>
      </c>
      <c r="C664" s="36" t="s">
        <v>46</v>
      </c>
      <c r="D664">
        <v>2025</v>
      </c>
      <c r="E664" s="36" t="s">
        <v>595</v>
      </c>
      <c r="F664" s="36" t="s">
        <v>39</v>
      </c>
      <c r="G664" s="36" t="s">
        <v>608</v>
      </c>
      <c r="H664" s="36" t="s">
        <v>622</v>
      </c>
      <c r="I664" s="36" t="s">
        <v>619</v>
      </c>
      <c r="J664" s="36" t="s">
        <v>615</v>
      </c>
      <c r="K664">
        <v>8</v>
      </c>
      <c r="L664">
        <v>8000</v>
      </c>
      <c r="M664">
        <v>64000</v>
      </c>
      <c r="N664">
        <v>51200</v>
      </c>
      <c r="O664">
        <v>12800</v>
      </c>
      <c r="P664" s="11">
        <v>0.2</v>
      </c>
    </row>
    <row r="665" spans="1:16" x14ac:dyDescent="0.25">
      <c r="A665" s="36" t="s">
        <v>242</v>
      </c>
      <c r="B665" s="2">
        <v>45739</v>
      </c>
      <c r="C665" s="36" t="s">
        <v>46</v>
      </c>
      <c r="D665">
        <v>2025</v>
      </c>
      <c r="E665" s="36" t="s">
        <v>598</v>
      </c>
      <c r="F665" s="36" t="s">
        <v>40</v>
      </c>
      <c r="G665" s="36" t="s">
        <v>612</v>
      </c>
      <c r="H665" s="36" t="s">
        <v>625</v>
      </c>
      <c r="I665" s="36" t="s">
        <v>619</v>
      </c>
      <c r="J665" s="36" t="s">
        <v>618</v>
      </c>
      <c r="K665">
        <v>14</v>
      </c>
      <c r="L665">
        <v>12000</v>
      </c>
      <c r="M665">
        <v>168000</v>
      </c>
      <c r="N665">
        <v>126000</v>
      </c>
      <c r="O665">
        <v>42000</v>
      </c>
      <c r="P665" s="11">
        <v>0.25</v>
      </c>
    </row>
    <row r="666" spans="1:16" x14ac:dyDescent="0.25">
      <c r="A666" s="36" t="s">
        <v>320</v>
      </c>
      <c r="B666" s="2">
        <v>45739</v>
      </c>
      <c r="C666" s="36" t="s">
        <v>46</v>
      </c>
      <c r="D666">
        <v>2025</v>
      </c>
      <c r="E666" s="36" t="s">
        <v>600</v>
      </c>
      <c r="F666" s="36" t="s">
        <v>39</v>
      </c>
      <c r="G666" s="36" t="s">
        <v>610</v>
      </c>
      <c r="H666" s="36" t="s">
        <v>626</v>
      </c>
      <c r="I666" s="36" t="s">
        <v>614</v>
      </c>
      <c r="J666" s="36" t="s">
        <v>615</v>
      </c>
      <c r="K666">
        <v>11</v>
      </c>
      <c r="L666">
        <v>8000</v>
      </c>
      <c r="M666">
        <v>88000</v>
      </c>
      <c r="N666">
        <v>63360</v>
      </c>
      <c r="O666">
        <v>24640</v>
      </c>
      <c r="P666" s="11">
        <v>0.28000000000000003</v>
      </c>
    </row>
    <row r="667" spans="1:16" x14ac:dyDescent="0.25">
      <c r="A667" s="36" t="s">
        <v>183</v>
      </c>
      <c r="B667" s="2">
        <v>45740</v>
      </c>
      <c r="C667" s="36" t="s">
        <v>46</v>
      </c>
      <c r="D667">
        <v>2025</v>
      </c>
      <c r="E667" s="36" t="s">
        <v>597</v>
      </c>
      <c r="F667" s="36" t="s">
        <v>41</v>
      </c>
      <c r="G667" s="36" t="s">
        <v>608</v>
      </c>
      <c r="H667" s="36" t="s">
        <v>622</v>
      </c>
      <c r="I667" s="36" t="s">
        <v>627</v>
      </c>
      <c r="J667" s="36" t="s">
        <v>618</v>
      </c>
      <c r="K667">
        <v>11</v>
      </c>
      <c r="L667">
        <v>1200</v>
      </c>
      <c r="M667">
        <v>13200</v>
      </c>
      <c r="N667">
        <v>8184</v>
      </c>
      <c r="O667">
        <v>5016</v>
      </c>
      <c r="P667" s="11">
        <v>0.38</v>
      </c>
    </row>
    <row r="668" spans="1:16" x14ac:dyDescent="0.25">
      <c r="A668" s="36" t="s">
        <v>324</v>
      </c>
      <c r="B668" s="2">
        <v>45740</v>
      </c>
      <c r="C668" s="36" t="s">
        <v>46</v>
      </c>
      <c r="D668">
        <v>2025</v>
      </c>
      <c r="E668" s="36" t="s">
        <v>592</v>
      </c>
      <c r="F668" s="36" t="s">
        <v>40</v>
      </c>
      <c r="G668" s="36" t="s">
        <v>612</v>
      </c>
      <c r="H668" s="36" t="s">
        <v>616</v>
      </c>
      <c r="I668" s="36" t="s">
        <v>623</v>
      </c>
      <c r="J668" s="36" t="s">
        <v>615</v>
      </c>
      <c r="K668">
        <v>16</v>
      </c>
      <c r="L668">
        <v>1200</v>
      </c>
      <c r="M668">
        <v>19200</v>
      </c>
      <c r="N668">
        <v>15552</v>
      </c>
      <c r="O668">
        <v>3648</v>
      </c>
      <c r="P668" s="11">
        <v>0.19</v>
      </c>
    </row>
    <row r="669" spans="1:16" x14ac:dyDescent="0.25">
      <c r="A669" s="36" t="s">
        <v>129</v>
      </c>
      <c r="B669" s="2">
        <v>45742</v>
      </c>
      <c r="C669" s="36" t="s">
        <v>46</v>
      </c>
      <c r="D669">
        <v>2025</v>
      </c>
      <c r="E669" s="36" t="s">
        <v>601</v>
      </c>
      <c r="F669" s="36" t="s">
        <v>41</v>
      </c>
      <c r="G669" s="36" t="s">
        <v>609</v>
      </c>
      <c r="H669" s="36" t="s">
        <v>626</v>
      </c>
      <c r="I669" s="36" t="s">
        <v>619</v>
      </c>
      <c r="J669" s="36" t="s">
        <v>618</v>
      </c>
      <c r="K669">
        <v>10</v>
      </c>
      <c r="L669">
        <v>300</v>
      </c>
      <c r="M669">
        <v>3000</v>
      </c>
      <c r="N669">
        <v>2190</v>
      </c>
      <c r="O669">
        <v>810</v>
      </c>
      <c r="P669" s="11">
        <v>0.27</v>
      </c>
    </row>
    <row r="670" spans="1:16" x14ac:dyDescent="0.25">
      <c r="A670" s="36" t="s">
        <v>150</v>
      </c>
      <c r="B670" s="2">
        <v>45742</v>
      </c>
      <c r="C670" s="36" t="s">
        <v>46</v>
      </c>
      <c r="D670">
        <v>2025</v>
      </c>
      <c r="E670" s="36" t="s">
        <v>602</v>
      </c>
      <c r="F670" s="36" t="s">
        <v>42</v>
      </c>
      <c r="G670" s="36" t="s">
        <v>611</v>
      </c>
      <c r="H670" s="36" t="s">
        <v>616</v>
      </c>
      <c r="I670" s="36" t="s">
        <v>623</v>
      </c>
      <c r="J670" s="36" t="s">
        <v>618</v>
      </c>
      <c r="K670">
        <v>4</v>
      </c>
      <c r="L670">
        <v>150</v>
      </c>
      <c r="M670">
        <v>600</v>
      </c>
      <c r="N670">
        <v>390</v>
      </c>
      <c r="O670">
        <v>210</v>
      </c>
      <c r="P670" s="11">
        <v>0.35</v>
      </c>
    </row>
    <row r="671" spans="1:16" x14ac:dyDescent="0.25">
      <c r="A671" s="36" t="s">
        <v>246</v>
      </c>
      <c r="B671" s="2">
        <v>45742</v>
      </c>
      <c r="C671" s="36" t="s">
        <v>46</v>
      </c>
      <c r="D671">
        <v>2025</v>
      </c>
      <c r="E671" s="36" t="s">
        <v>601</v>
      </c>
      <c r="F671" s="36" t="s">
        <v>41</v>
      </c>
      <c r="G671" s="36" t="s">
        <v>612</v>
      </c>
      <c r="H671" s="36" t="s">
        <v>624</v>
      </c>
      <c r="I671" s="36" t="s">
        <v>630</v>
      </c>
      <c r="J671" s="36" t="s">
        <v>615</v>
      </c>
      <c r="K671">
        <v>15</v>
      </c>
      <c r="L671">
        <v>45000</v>
      </c>
      <c r="M671">
        <v>675000</v>
      </c>
      <c r="N671">
        <v>425250</v>
      </c>
      <c r="O671">
        <v>249750</v>
      </c>
      <c r="P671" s="11">
        <v>0.37</v>
      </c>
    </row>
    <row r="672" spans="1:16" x14ac:dyDescent="0.25">
      <c r="A672" s="36" t="s">
        <v>81</v>
      </c>
      <c r="B672" s="2">
        <v>45743</v>
      </c>
      <c r="C672" s="36" t="s">
        <v>46</v>
      </c>
      <c r="D672">
        <v>2025</v>
      </c>
      <c r="E672" s="36" t="s">
        <v>603</v>
      </c>
      <c r="F672" s="36" t="s">
        <v>42</v>
      </c>
      <c r="G672" s="36" t="s">
        <v>609</v>
      </c>
      <c r="H672" s="36" t="s">
        <v>625</v>
      </c>
      <c r="I672" s="36" t="s">
        <v>614</v>
      </c>
      <c r="J672" s="36" t="s">
        <v>615</v>
      </c>
      <c r="K672">
        <v>10</v>
      </c>
      <c r="L672">
        <v>7000</v>
      </c>
      <c r="M672">
        <v>70000</v>
      </c>
      <c r="N672">
        <v>58800</v>
      </c>
      <c r="O672">
        <v>11200</v>
      </c>
      <c r="P672" s="11">
        <v>0.16</v>
      </c>
    </row>
    <row r="673" spans="1:16" x14ac:dyDescent="0.25">
      <c r="A673" s="36" t="s">
        <v>114</v>
      </c>
      <c r="B673" s="2">
        <v>45744</v>
      </c>
      <c r="C673" s="36" t="s">
        <v>46</v>
      </c>
      <c r="D673">
        <v>2025</v>
      </c>
      <c r="E673" s="36" t="s">
        <v>594</v>
      </c>
      <c r="F673" s="36" t="s">
        <v>39</v>
      </c>
      <c r="G673" s="36" t="s">
        <v>609</v>
      </c>
      <c r="H673" s="36" t="s">
        <v>620</v>
      </c>
      <c r="I673" s="36" t="s">
        <v>627</v>
      </c>
      <c r="J673" s="36" t="s">
        <v>615</v>
      </c>
      <c r="K673">
        <v>2</v>
      </c>
      <c r="L673">
        <v>45000</v>
      </c>
      <c r="M673">
        <v>90000</v>
      </c>
      <c r="N673">
        <v>71100</v>
      </c>
      <c r="O673">
        <v>18900</v>
      </c>
      <c r="P673" s="11">
        <v>0.21</v>
      </c>
    </row>
    <row r="674" spans="1:16" x14ac:dyDescent="0.25">
      <c r="A674" s="36" t="s">
        <v>502</v>
      </c>
      <c r="B674" s="2">
        <v>45744</v>
      </c>
      <c r="C674" s="36" t="s">
        <v>46</v>
      </c>
      <c r="D674">
        <v>2025</v>
      </c>
      <c r="E674" s="36" t="s">
        <v>597</v>
      </c>
      <c r="F674" s="36" t="s">
        <v>41</v>
      </c>
      <c r="G674" s="36" t="s">
        <v>610</v>
      </c>
      <c r="H674" s="36" t="s">
        <v>620</v>
      </c>
      <c r="I674" s="36" t="s">
        <v>645</v>
      </c>
      <c r="J674" s="36" t="s">
        <v>615</v>
      </c>
      <c r="K674">
        <v>2</v>
      </c>
      <c r="L674">
        <v>50</v>
      </c>
      <c r="M674">
        <v>100</v>
      </c>
      <c r="N674">
        <v>80</v>
      </c>
      <c r="O674">
        <v>20</v>
      </c>
      <c r="P674" s="11">
        <v>0.2</v>
      </c>
    </row>
    <row r="675" spans="1:16" x14ac:dyDescent="0.25">
      <c r="A675" s="36" t="s">
        <v>586</v>
      </c>
      <c r="B675" s="2">
        <v>45744</v>
      </c>
      <c r="C675" s="36" t="s">
        <v>46</v>
      </c>
      <c r="D675">
        <v>2025</v>
      </c>
      <c r="E675" s="36" t="s">
        <v>604</v>
      </c>
      <c r="F675" s="36" t="s">
        <v>41</v>
      </c>
      <c r="G675" s="36" t="s">
        <v>611</v>
      </c>
      <c r="H675" s="36" t="s">
        <v>613</v>
      </c>
      <c r="I675" s="36" t="s">
        <v>619</v>
      </c>
      <c r="J675" s="36" t="s">
        <v>615</v>
      </c>
      <c r="K675">
        <v>17</v>
      </c>
      <c r="L675">
        <v>55000</v>
      </c>
      <c r="M675">
        <v>935000</v>
      </c>
      <c r="N675">
        <v>570350</v>
      </c>
      <c r="O675">
        <v>364650</v>
      </c>
      <c r="P675" s="11">
        <v>0.39</v>
      </c>
    </row>
    <row r="676" spans="1:16" x14ac:dyDescent="0.25">
      <c r="A676" s="36" t="s">
        <v>77</v>
      </c>
      <c r="B676" s="2">
        <v>45749</v>
      </c>
      <c r="C676" s="36" t="s">
        <v>62</v>
      </c>
      <c r="D676">
        <v>2025</v>
      </c>
      <c r="E676" s="36" t="s">
        <v>594</v>
      </c>
      <c r="F676" s="36" t="s">
        <v>39</v>
      </c>
      <c r="G676" s="36" t="s">
        <v>612</v>
      </c>
      <c r="H676" s="36" t="s">
        <v>626</v>
      </c>
      <c r="I676" s="36" t="s">
        <v>645</v>
      </c>
      <c r="J676" s="36" t="s">
        <v>615</v>
      </c>
      <c r="K676">
        <v>16</v>
      </c>
      <c r="L676">
        <v>12000</v>
      </c>
      <c r="M676">
        <v>192000</v>
      </c>
      <c r="N676">
        <v>147840</v>
      </c>
      <c r="O676">
        <v>44160</v>
      </c>
      <c r="P676" s="11">
        <v>0.23</v>
      </c>
    </row>
    <row r="677" spans="1:16" x14ac:dyDescent="0.25">
      <c r="A677" s="36" t="s">
        <v>178</v>
      </c>
      <c r="B677" s="2">
        <v>45750</v>
      </c>
      <c r="C677" s="36" t="s">
        <v>62</v>
      </c>
      <c r="D677">
        <v>2025</v>
      </c>
      <c r="E677" s="36" t="s">
        <v>596</v>
      </c>
      <c r="F677" s="36" t="s">
        <v>39</v>
      </c>
      <c r="G677" s="36" t="s">
        <v>611</v>
      </c>
      <c r="H677" s="36" t="s">
        <v>624</v>
      </c>
      <c r="I677" s="36" t="s">
        <v>627</v>
      </c>
      <c r="J677" s="36" t="s">
        <v>615</v>
      </c>
      <c r="K677">
        <v>10</v>
      </c>
      <c r="L677">
        <v>15000</v>
      </c>
      <c r="M677">
        <v>150000</v>
      </c>
      <c r="N677">
        <v>118500</v>
      </c>
      <c r="O677">
        <v>31500</v>
      </c>
      <c r="P677" s="11">
        <v>0.21</v>
      </c>
    </row>
    <row r="678" spans="1:16" x14ac:dyDescent="0.25">
      <c r="A678" s="36" t="s">
        <v>248</v>
      </c>
      <c r="B678" s="2">
        <v>45750</v>
      </c>
      <c r="C678" s="36" t="s">
        <v>62</v>
      </c>
      <c r="D678">
        <v>2025</v>
      </c>
      <c r="E678" s="36" t="s">
        <v>593</v>
      </c>
      <c r="F678" s="36" t="s">
        <v>41</v>
      </c>
      <c r="G678" s="36" t="s">
        <v>609</v>
      </c>
      <c r="H678" s="36" t="s">
        <v>624</v>
      </c>
      <c r="I678" s="36" t="s">
        <v>614</v>
      </c>
      <c r="J678" s="36" t="s">
        <v>615</v>
      </c>
      <c r="K678">
        <v>8</v>
      </c>
      <c r="L678">
        <v>300</v>
      </c>
      <c r="M678">
        <v>2400</v>
      </c>
      <c r="N678">
        <v>1848</v>
      </c>
      <c r="O678">
        <v>552</v>
      </c>
      <c r="P678" s="11">
        <v>0.23</v>
      </c>
    </row>
    <row r="679" spans="1:16" x14ac:dyDescent="0.25">
      <c r="A679" s="36" t="s">
        <v>360</v>
      </c>
      <c r="B679" s="2">
        <v>45750</v>
      </c>
      <c r="C679" s="36" t="s">
        <v>62</v>
      </c>
      <c r="D679">
        <v>2025</v>
      </c>
      <c r="E679" s="36" t="s">
        <v>601</v>
      </c>
      <c r="F679" s="36" t="s">
        <v>41</v>
      </c>
      <c r="G679" s="36" t="s">
        <v>612</v>
      </c>
      <c r="H679" s="36" t="s">
        <v>624</v>
      </c>
      <c r="I679" s="36" t="s">
        <v>630</v>
      </c>
      <c r="J679" s="36" t="s">
        <v>618</v>
      </c>
      <c r="K679">
        <v>10</v>
      </c>
      <c r="L679">
        <v>150</v>
      </c>
      <c r="M679">
        <v>1500</v>
      </c>
      <c r="N679">
        <v>1005</v>
      </c>
      <c r="O679">
        <v>495</v>
      </c>
      <c r="P679" s="11">
        <v>0.33</v>
      </c>
    </row>
    <row r="680" spans="1:16" x14ac:dyDescent="0.25">
      <c r="A680" s="36" t="s">
        <v>158</v>
      </c>
      <c r="B680" s="2">
        <v>45751</v>
      </c>
      <c r="C680" s="36" t="s">
        <v>62</v>
      </c>
      <c r="D680">
        <v>2025</v>
      </c>
      <c r="E680" s="36" t="s">
        <v>599</v>
      </c>
      <c r="F680" s="36" t="s">
        <v>39</v>
      </c>
      <c r="G680" s="36" t="s">
        <v>610</v>
      </c>
      <c r="H680" s="36" t="s">
        <v>621</v>
      </c>
      <c r="I680" s="36" t="s">
        <v>645</v>
      </c>
      <c r="J680" s="36" t="s">
        <v>615</v>
      </c>
      <c r="K680">
        <v>17</v>
      </c>
      <c r="L680">
        <v>12000</v>
      </c>
      <c r="M680">
        <v>204000</v>
      </c>
      <c r="N680">
        <v>159120</v>
      </c>
      <c r="O680">
        <v>44880</v>
      </c>
      <c r="P680" s="11">
        <v>0.22</v>
      </c>
    </row>
    <row r="681" spans="1:16" x14ac:dyDescent="0.25">
      <c r="A681" s="36" t="s">
        <v>208</v>
      </c>
      <c r="B681" s="2">
        <v>45751</v>
      </c>
      <c r="C681" s="36" t="s">
        <v>62</v>
      </c>
      <c r="D681">
        <v>2025</v>
      </c>
      <c r="E681" s="36" t="s">
        <v>598</v>
      </c>
      <c r="F681" s="36" t="s">
        <v>40</v>
      </c>
      <c r="G681" s="36" t="s">
        <v>609</v>
      </c>
      <c r="H681" s="36" t="s">
        <v>613</v>
      </c>
      <c r="I681" s="36" t="s">
        <v>619</v>
      </c>
      <c r="J681" s="36" t="s">
        <v>618</v>
      </c>
      <c r="K681">
        <v>12</v>
      </c>
      <c r="L681">
        <v>150</v>
      </c>
      <c r="M681">
        <v>1800</v>
      </c>
      <c r="N681">
        <v>1332</v>
      </c>
      <c r="O681">
        <v>468</v>
      </c>
      <c r="P681" s="11">
        <v>0.26</v>
      </c>
    </row>
    <row r="682" spans="1:16" x14ac:dyDescent="0.25">
      <c r="A682" s="36" t="s">
        <v>219</v>
      </c>
      <c r="B682" s="2">
        <v>45751</v>
      </c>
      <c r="C682" s="36" t="s">
        <v>62</v>
      </c>
      <c r="D682">
        <v>2025</v>
      </c>
      <c r="E682" s="36" t="s">
        <v>599</v>
      </c>
      <c r="F682" s="36" t="s">
        <v>39</v>
      </c>
      <c r="G682" s="36" t="s">
        <v>611</v>
      </c>
      <c r="H682" s="36" t="s">
        <v>616</v>
      </c>
      <c r="I682" s="36" t="s">
        <v>614</v>
      </c>
      <c r="J682" s="36" t="s">
        <v>615</v>
      </c>
      <c r="K682">
        <v>17</v>
      </c>
      <c r="L682">
        <v>8000</v>
      </c>
      <c r="M682">
        <v>136000</v>
      </c>
      <c r="N682">
        <v>82960</v>
      </c>
      <c r="O682">
        <v>53040</v>
      </c>
      <c r="P682" s="11">
        <v>0.39</v>
      </c>
    </row>
    <row r="683" spans="1:16" x14ac:dyDescent="0.25">
      <c r="A683" s="36" t="s">
        <v>112</v>
      </c>
      <c r="B683" s="2">
        <v>45753</v>
      </c>
      <c r="C683" s="36" t="s">
        <v>62</v>
      </c>
      <c r="D683">
        <v>2025</v>
      </c>
      <c r="E683" s="36" t="s">
        <v>598</v>
      </c>
      <c r="F683" s="36" t="s">
        <v>40</v>
      </c>
      <c r="G683" s="36" t="s">
        <v>611</v>
      </c>
      <c r="H683" s="36" t="s">
        <v>625</v>
      </c>
      <c r="I683" s="36" t="s">
        <v>631</v>
      </c>
      <c r="J683" s="36" t="s">
        <v>618</v>
      </c>
      <c r="K683">
        <v>15</v>
      </c>
      <c r="L683">
        <v>25000</v>
      </c>
      <c r="M683">
        <v>375000</v>
      </c>
      <c r="N683">
        <v>270000</v>
      </c>
      <c r="O683">
        <v>105000</v>
      </c>
      <c r="P683" s="11">
        <v>0.28000000000000003</v>
      </c>
    </row>
    <row r="684" spans="1:16" x14ac:dyDescent="0.25">
      <c r="A684" s="36" t="s">
        <v>432</v>
      </c>
      <c r="B684" s="2">
        <v>45753</v>
      </c>
      <c r="C684" s="36" t="s">
        <v>62</v>
      </c>
      <c r="D684">
        <v>2025</v>
      </c>
      <c r="E684" s="36" t="s">
        <v>594</v>
      </c>
      <c r="F684" s="36" t="s">
        <v>39</v>
      </c>
      <c r="G684" s="36" t="s">
        <v>609</v>
      </c>
      <c r="H684" s="36" t="s">
        <v>616</v>
      </c>
      <c r="I684" s="36" t="s">
        <v>623</v>
      </c>
      <c r="J684" s="36" t="s">
        <v>618</v>
      </c>
      <c r="K684">
        <v>6</v>
      </c>
      <c r="L684">
        <v>8000</v>
      </c>
      <c r="M684">
        <v>48000</v>
      </c>
      <c r="N684">
        <v>38400</v>
      </c>
      <c r="O684">
        <v>9600</v>
      </c>
      <c r="P684" s="11">
        <v>0.2</v>
      </c>
    </row>
    <row r="685" spans="1:16" x14ac:dyDescent="0.25">
      <c r="A685" s="36" t="s">
        <v>244</v>
      </c>
      <c r="B685" s="2">
        <v>45754</v>
      </c>
      <c r="C685" s="36" t="s">
        <v>62</v>
      </c>
      <c r="D685">
        <v>2025</v>
      </c>
      <c r="E685" s="36" t="s">
        <v>606</v>
      </c>
      <c r="F685" s="36" t="s">
        <v>40</v>
      </c>
      <c r="G685" s="36" t="s">
        <v>611</v>
      </c>
      <c r="H685" s="36" t="s">
        <v>625</v>
      </c>
      <c r="I685" s="36" t="s">
        <v>645</v>
      </c>
      <c r="J685" s="36" t="s">
        <v>618</v>
      </c>
      <c r="K685">
        <v>6</v>
      </c>
      <c r="L685">
        <v>50</v>
      </c>
      <c r="M685">
        <v>300</v>
      </c>
      <c r="N685">
        <v>183</v>
      </c>
      <c r="O685">
        <v>117</v>
      </c>
      <c r="P685" s="11">
        <v>0.39</v>
      </c>
    </row>
    <row r="686" spans="1:16" x14ac:dyDescent="0.25">
      <c r="A686" s="36" t="s">
        <v>190</v>
      </c>
      <c r="B686" s="2">
        <v>45755</v>
      </c>
      <c r="C686" s="36" t="s">
        <v>62</v>
      </c>
      <c r="D686">
        <v>2025</v>
      </c>
      <c r="E686" s="36" t="s">
        <v>596</v>
      </c>
      <c r="F686" s="36" t="s">
        <v>39</v>
      </c>
      <c r="G686" s="36" t="s">
        <v>608</v>
      </c>
      <c r="H686" s="36" t="s">
        <v>628</v>
      </c>
      <c r="I686" s="36" t="s">
        <v>617</v>
      </c>
      <c r="J686" s="36" t="s">
        <v>615</v>
      </c>
      <c r="K686">
        <v>9</v>
      </c>
      <c r="L686">
        <v>15000</v>
      </c>
      <c r="M686">
        <v>135000</v>
      </c>
      <c r="N686">
        <v>117450</v>
      </c>
      <c r="O686">
        <v>17550</v>
      </c>
      <c r="P686" s="11">
        <v>0.13</v>
      </c>
    </row>
    <row r="687" spans="1:16" x14ac:dyDescent="0.25">
      <c r="A687" s="36" t="s">
        <v>558</v>
      </c>
      <c r="B687" s="2">
        <v>45755</v>
      </c>
      <c r="C687" s="36" t="s">
        <v>62</v>
      </c>
      <c r="D687">
        <v>2025</v>
      </c>
      <c r="E687" s="36" t="s">
        <v>599</v>
      </c>
      <c r="F687" s="36" t="s">
        <v>39</v>
      </c>
      <c r="G687" s="36" t="s">
        <v>612</v>
      </c>
      <c r="H687" s="36" t="s">
        <v>620</v>
      </c>
      <c r="I687" s="36" t="s">
        <v>614</v>
      </c>
      <c r="J687" s="36" t="s">
        <v>618</v>
      </c>
      <c r="K687">
        <v>4</v>
      </c>
      <c r="L687">
        <v>4000</v>
      </c>
      <c r="M687">
        <v>16000</v>
      </c>
      <c r="N687">
        <v>13120</v>
      </c>
      <c r="O687">
        <v>2880</v>
      </c>
      <c r="P687" s="11">
        <v>0.18</v>
      </c>
    </row>
    <row r="688" spans="1:16" x14ac:dyDescent="0.25">
      <c r="A688" s="36" t="s">
        <v>568</v>
      </c>
      <c r="B688" s="2">
        <v>45755</v>
      </c>
      <c r="C688" s="36" t="s">
        <v>62</v>
      </c>
      <c r="D688">
        <v>2025</v>
      </c>
      <c r="E688" s="36" t="s">
        <v>599</v>
      </c>
      <c r="F688" s="36" t="s">
        <v>39</v>
      </c>
      <c r="G688" s="36" t="s">
        <v>611</v>
      </c>
      <c r="H688" s="36" t="s">
        <v>626</v>
      </c>
      <c r="I688" s="36" t="s">
        <v>630</v>
      </c>
      <c r="J688" s="36" t="s">
        <v>615</v>
      </c>
      <c r="K688">
        <v>7</v>
      </c>
      <c r="L688">
        <v>300</v>
      </c>
      <c r="M688">
        <v>2100</v>
      </c>
      <c r="N688">
        <v>1743</v>
      </c>
      <c r="O688">
        <v>357</v>
      </c>
      <c r="P688" s="11">
        <v>0.17</v>
      </c>
    </row>
    <row r="689" spans="1:16" x14ac:dyDescent="0.25">
      <c r="A689" s="36" t="s">
        <v>276</v>
      </c>
      <c r="B689" s="2">
        <v>45756</v>
      </c>
      <c r="C689" s="36" t="s">
        <v>62</v>
      </c>
      <c r="D689">
        <v>2025</v>
      </c>
      <c r="E689" s="36" t="s">
        <v>592</v>
      </c>
      <c r="F689" s="36" t="s">
        <v>40</v>
      </c>
      <c r="G689" s="36" t="s">
        <v>608</v>
      </c>
      <c r="H689" s="36" t="s">
        <v>622</v>
      </c>
      <c r="I689" s="36" t="s">
        <v>617</v>
      </c>
      <c r="J689" s="36" t="s">
        <v>615</v>
      </c>
      <c r="K689">
        <v>17</v>
      </c>
      <c r="L689">
        <v>8000</v>
      </c>
      <c r="M689">
        <v>136000</v>
      </c>
      <c r="N689">
        <v>103360</v>
      </c>
      <c r="O689">
        <v>32640</v>
      </c>
      <c r="P689" s="11">
        <v>0.24</v>
      </c>
    </row>
    <row r="690" spans="1:16" x14ac:dyDescent="0.25">
      <c r="A690" s="36" t="s">
        <v>374</v>
      </c>
      <c r="B690" s="2">
        <v>45756</v>
      </c>
      <c r="C690" s="36" t="s">
        <v>62</v>
      </c>
      <c r="D690">
        <v>2025</v>
      </c>
      <c r="E690" s="36" t="s">
        <v>606</v>
      </c>
      <c r="F690" s="36" t="s">
        <v>40</v>
      </c>
      <c r="G690" s="36" t="s">
        <v>611</v>
      </c>
      <c r="H690" s="36" t="s">
        <v>620</v>
      </c>
      <c r="I690" s="36" t="s">
        <v>619</v>
      </c>
      <c r="J690" s="36" t="s">
        <v>615</v>
      </c>
      <c r="K690">
        <v>8</v>
      </c>
      <c r="L690">
        <v>1200</v>
      </c>
      <c r="M690">
        <v>9600</v>
      </c>
      <c r="N690">
        <v>5952</v>
      </c>
      <c r="O690">
        <v>3648</v>
      </c>
      <c r="P690" s="11">
        <v>0.38</v>
      </c>
    </row>
    <row r="691" spans="1:16" x14ac:dyDescent="0.25">
      <c r="A691" s="36" t="s">
        <v>61</v>
      </c>
      <c r="B691" s="2">
        <v>45757</v>
      </c>
      <c r="C691" s="36" t="s">
        <v>62</v>
      </c>
      <c r="D691">
        <v>2025</v>
      </c>
      <c r="E691" s="36" t="s">
        <v>599</v>
      </c>
      <c r="F691" s="36" t="s">
        <v>39</v>
      </c>
      <c r="G691" s="36" t="s">
        <v>609</v>
      </c>
      <c r="H691" s="36" t="s">
        <v>622</v>
      </c>
      <c r="I691" s="36" t="s">
        <v>619</v>
      </c>
      <c r="J691" s="36" t="s">
        <v>615</v>
      </c>
      <c r="K691">
        <v>6</v>
      </c>
      <c r="L691">
        <v>8000</v>
      </c>
      <c r="M691">
        <v>48000</v>
      </c>
      <c r="N691">
        <v>39360</v>
      </c>
      <c r="O691">
        <v>8640</v>
      </c>
      <c r="P691" s="11">
        <v>0.18</v>
      </c>
    </row>
    <row r="692" spans="1:16" x14ac:dyDescent="0.25">
      <c r="A692" s="36" t="s">
        <v>125</v>
      </c>
      <c r="B692" s="2">
        <v>45757</v>
      </c>
      <c r="C692" s="36" t="s">
        <v>62</v>
      </c>
      <c r="D692">
        <v>2025</v>
      </c>
      <c r="E692" s="36" t="s">
        <v>592</v>
      </c>
      <c r="F692" s="36" t="s">
        <v>40</v>
      </c>
      <c r="G692" s="36" t="s">
        <v>609</v>
      </c>
      <c r="H692" s="36" t="s">
        <v>613</v>
      </c>
      <c r="I692" s="36" t="s">
        <v>614</v>
      </c>
      <c r="J692" s="36" t="s">
        <v>618</v>
      </c>
      <c r="K692">
        <v>4</v>
      </c>
      <c r="L692">
        <v>25000</v>
      </c>
      <c r="M692">
        <v>100000</v>
      </c>
      <c r="N692">
        <v>64000</v>
      </c>
      <c r="O692">
        <v>36000</v>
      </c>
      <c r="P692" s="11">
        <v>0.36</v>
      </c>
    </row>
    <row r="693" spans="1:16" x14ac:dyDescent="0.25">
      <c r="A693" s="36" t="s">
        <v>124</v>
      </c>
      <c r="B693" s="2">
        <v>45758</v>
      </c>
      <c r="C693" s="36" t="s">
        <v>62</v>
      </c>
      <c r="D693">
        <v>2025</v>
      </c>
      <c r="E693" s="36" t="s">
        <v>596</v>
      </c>
      <c r="F693" s="36" t="s">
        <v>39</v>
      </c>
      <c r="G693" s="36" t="s">
        <v>612</v>
      </c>
      <c r="H693" s="36" t="s">
        <v>625</v>
      </c>
      <c r="I693" s="36" t="s">
        <v>614</v>
      </c>
      <c r="J693" s="36" t="s">
        <v>618</v>
      </c>
      <c r="K693">
        <v>2</v>
      </c>
      <c r="L693">
        <v>20</v>
      </c>
      <c r="M693">
        <v>40</v>
      </c>
      <c r="N693">
        <v>29.2</v>
      </c>
      <c r="O693">
        <v>10.8</v>
      </c>
      <c r="P693" s="11">
        <v>0.27</v>
      </c>
    </row>
    <row r="694" spans="1:16" x14ac:dyDescent="0.25">
      <c r="A694" s="36" t="s">
        <v>579</v>
      </c>
      <c r="B694" s="2">
        <v>45759</v>
      </c>
      <c r="C694" s="36" t="s">
        <v>62</v>
      </c>
      <c r="D694">
        <v>2025</v>
      </c>
      <c r="E694" s="36" t="s">
        <v>601</v>
      </c>
      <c r="F694" s="36" t="s">
        <v>41</v>
      </c>
      <c r="G694" s="36" t="s">
        <v>610</v>
      </c>
      <c r="H694" s="36" t="s">
        <v>616</v>
      </c>
      <c r="I694" s="36" t="s">
        <v>631</v>
      </c>
      <c r="J694" s="36" t="s">
        <v>618</v>
      </c>
      <c r="K694">
        <v>12</v>
      </c>
      <c r="L694">
        <v>7000</v>
      </c>
      <c r="M694">
        <v>84000</v>
      </c>
      <c r="N694">
        <v>70560</v>
      </c>
      <c r="O694">
        <v>13440</v>
      </c>
      <c r="P694" s="11">
        <v>0.16</v>
      </c>
    </row>
    <row r="695" spans="1:16" x14ac:dyDescent="0.25">
      <c r="A695" s="36" t="s">
        <v>528</v>
      </c>
      <c r="B695" s="2">
        <v>45760</v>
      </c>
      <c r="C695" s="36" t="s">
        <v>62</v>
      </c>
      <c r="D695">
        <v>2025</v>
      </c>
      <c r="E695" s="36" t="s">
        <v>593</v>
      </c>
      <c r="F695" s="36" t="s">
        <v>41</v>
      </c>
      <c r="G695" s="36" t="s">
        <v>611</v>
      </c>
      <c r="H695" s="36" t="s">
        <v>616</v>
      </c>
      <c r="I695" s="36" t="s">
        <v>631</v>
      </c>
      <c r="J695" s="36" t="s">
        <v>618</v>
      </c>
      <c r="K695">
        <v>15</v>
      </c>
      <c r="L695">
        <v>12000</v>
      </c>
      <c r="M695">
        <v>180000</v>
      </c>
      <c r="N695">
        <v>115200</v>
      </c>
      <c r="O695">
        <v>64800</v>
      </c>
      <c r="P695" s="11">
        <v>0.36</v>
      </c>
    </row>
    <row r="696" spans="1:16" x14ac:dyDescent="0.25">
      <c r="A696" s="36" t="s">
        <v>569</v>
      </c>
      <c r="B696" s="2">
        <v>45760</v>
      </c>
      <c r="C696" s="36" t="s">
        <v>62</v>
      </c>
      <c r="D696">
        <v>2025</v>
      </c>
      <c r="E696" s="36" t="s">
        <v>602</v>
      </c>
      <c r="F696" s="36" t="s">
        <v>42</v>
      </c>
      <c r="G696" s="36" t="s">
        <v>610</v>
      </c>
      <c r="H696" s="36" t="s">
        <v>616</v>
      </c>
      <c r="I696" s="36" t="s">
        <v>631</v>
      </c>
      <c r="J696" s="36" t="s">
        <v>615</v>
      </c>
      <c r="K696">
        <v>4</v>
      </c>
      <c r="L696">
        <v>150</v>
      </c>
      <c r="M696">
        <v>600</v>
      </c>
      <c r="N696">
        <v>402</v>
      </c>
      <c r="O696">
        <v>198</v>
      </c>
      <c r="P696" s="11">
        <v>0.33</v>
      </c>
    </row>
    <row r="697" spans="1:16" x14ac:dyDescent="0.25">
      <c r="A697" s="36" t="s">
        <v>351</v>
      </c>
      <c r="B697" s="2">
        <v>45761</v>
      </c>
      <c r="C697" s="36" t="s">
        <v>62</v>
      </c>
      <c r="D697">
        <v>2025</v>
      </c>
      <c r="E697" s="36" t="s">
        <v>602</v>
      </c>
      <c r="F697" s="36" t="s">
        <v>42</v>
      </c>
      <c r="G697" s="36" t="s">
        <v>608</v>
      </c>
      <c r="H697" s="36" t="s">
        <v>628</v>
      </c>
      <c r="I697" s="36" t="s">
        <v>623</v>
      </c>
      <c r="J697" s="36" t="s">
        <v>618</v>
      </c>
      <c r="K697">
        <v>2</v>
      </c>
      <c r="L697">
        <v>700</v>
      </c>
      <c r="M697">
        <v>1400</v>
      </c>
      <c r="N697">
        <v>1120</v>
      </c>
      <c r="O697">
        <v>280</v>
      </c>
      <c r="P697" s="11">
        <v>0.2</v>
      </c>
    </row>
    <row r="698" spans="1:16" x14ac:dyDescent="0.25">
      <c r="A698" s="36" t="s">
        <v>494</v>
      </c>
      <c r="B698" s="2">
        <v>45761</v>
      </c>
      <c r="C698" s="36" t="s">
        <v>62</v>
      </c>
      <c r="D698">
        <v>2025</v>
      </c>
      <c r="E698" s="36" t="s">
        <v>599</v>
      </c>
      <c r="F698" s="36" t="s">
        <v>39</v>
      </c>
      <c r="G698" s="36" t="s">
        <v>612</v>
      </c>
      <c r="H698" s="36" t="s">
        <v>624</v>
      </c>
      <c r="I698" s="36" t="s">
        <v>631</v>
      </c>
      <c r="J698" s="36" t="s">
        <v>615</v>
      </c>
      <c r="K698">
        <v>7</v>
      </c>
      <c r="L698">
        <v>300</v>
      </c>
      <c r="M698">
        <v>2100</v>
      </c>
      <c r="N698">
        <v>1701</v>
      </c>
      <c r="O698">
        <v>399</v>
      </c>
      <c r="P698" s="11">
        <v>0.19</v>
      </c>
    </row>
    <row r="699" spans="1:16" x14ac:dyDescent="0.25">
      <c r="A699" s="36" t="s">
        <v>559</v>
      </c>
      <c r="B699" s="2">
        <v>45762</v>
      </c>
      <c r="C699" s="36" t="s">
        <v>62</v>
      </c>
      <c r="D699">
        <v>2025</v>
      </c>
      <c r="E699" s="36" t="s">
        <v>598</v>
      </c>
      <c r="F699" s="36" t="s">
        <v>40</v>
      </c>
      <c r="G699" s="36" t="s">
        <v>610</v>
      </c>
      <c r="H699" s="36" t="s">
        <v>620</v>
      </c>
      <c r="I699" s="36" t="s">
        <v>630</v>
      </c>
      <c r="J699" s="36" t="s">
        <v>615</v>
      </c>
      <c r="K699">
        <v>5</v>
      </c>
      <c r="L699">
        <v>7000</v>
      </c>
      <c r="M699">
        <v>35000</v>
      </c>
      <c r="N699">
        <v>30800</v>
      </c>
      <c r="O699">
        <v>4200</v>
      </c>
      <c r="P699" s="11">
        <v>0.12</v>
      </c>
    </row>
    <row r="700" spans="1:16" x14ac:dyDescent="0.25">
      <c r="A700" s="36" t="s">
        <v>563</v>
      </c>
      <c r="B700" s="2">
        <v>45762</v>
      </c>
      <c r="C700" s="36" t="s">
        <v>62</v>
      </c>
      <c r="D700">
        <v>2025</v>
      </c>
      <c r="E700" s="36" t="s">
        <v>594</v>
      </c>
      <c r="F700" s="36" t="s">
        <v>39</v>
      </c>
      <c r="G700" s="36" t="s">
        <v>610</v>
      </c>
      <c r="H700" s="36" t="s">
        <v>628</v>
      </c>
      <c r="I700" s="36" t="s">
        <v>617</v>
      </c>
      <c r="J700" s="36" t="s">
        <v>618</v>
      </c>
      <c r="K700">
        <v>8</v>
      </c>
      <c r="L700">
        <v>8000</v>
      </c>
      <c r="M700">
        <v>64000</v>
      </c>
      <c r="N700">
        <v>40960</v>
      </c>
      <c r="O700">
        <v>23040</v>
      </c>
      <c r="P700" s="11">
        <v>0.36</v>
      </c>
    </row>
    <row r="701" spans="1:16" x14ac:dyDescent="0.25">
      <c r="A701" s="36" t="s">
        <v>223</v>
      </c>
      <c r="B701" s="2">
        <v>45765</v>
      </c>
      <c r="C701" s="36" t="s">
        <v>62</v>
      </c>
      <c r="D701">
        <v>2025</v>
      </c>
      <c r="E701" s="36" t="s">
        <v>594</v>
      </c>
      <c r="F701" s="36" t="s">
        <v>39</v>
      </c>
      <c r="G701" s="36" t="s">
        <v>609</v>
      </c>
      <c r="H701" s="36" t="s">
        <v>625</v>
      </c>
      <c r="I701" s="36" t="s">
        <v>617</v>
      </c>
      <c r="J701" s="36" t="s">
        <v>615</v>
      </c>
      <c r="K701">
        <v>17</v>
      </c>
      <c r="L701">
        <v>25000</v>
      </c>
      <c r="M701">
        <v>425000</v>
      </c>
      <c r="N701">
        <v>280500</v>
      </c>
      <c r="O701">
        <v>144500</v>
      </c>
      <c r="P701" s="11">
        <v>0.34</v>
      </c>
    </row>
    <row r="702" spans="1:16" x14ac:dyDescent="0.25">
      <c r="A702" s="36" t="s">
        <v>321</v>
      </c>
      <c r="B702" s="2">
        <v>45765</v>
      </c>
      <c r="C702" s="36" t="s">
        <v>62</v>
      </c>
      <c r="D702">
        <v>2025</v>
      </c>
      <c r="E702" s="36" t="s">
        <v>604</v>
      </c>
      <c r="F702" s="36" t="s">
        <v>41</v>
      </c>
      <c r="G702" s="36" t="s">
        <v>611</v>
      </c>
      <c r="H702" s="36" t="s">
        <v>621</v>
      </c>
      <c r="I702" s="36" t="s">
        <v>630</v>
      </c>
      <c r="J702" s="36" t="s">
        <v>615</v>
      </c>
      <c r="K702">
        <v>8</v>
      </c>
      <c r="L702">
        <v>45000</v>
      </c>
      <c r="M702">
        <v>360000</v>
      </c>
      <c r="N702">
        <v>306000</v>
      </c>
      <c r="O702">
        <v>54000</v>
      </c>
      <c r="P702" s="11">
        <v>0.15</v>
      </c>
    </row>
    <row r="703" spans="1:16" x14ac:dyDescent="0.25">
      <c r="A703" s="36" t="s">
        <v>164</v>
      </c>
      <c r="B703" s="2">
        <v>45766</v>
      </c>
      <c r="C703" s="36" t="s">
        <v>62</v>
      </c>
      <c r="D703">
        <v>2025</v>
      </c>
      <c r="E703" s="36" t="s">
        <v>599</v>
      </c>
      <c r="F703" s="36" t="s">
        <v>39</v>
      </c>
      <c r="G703" s="36" t="s">
        <v>612</v>
      </c>
      <c r="H703" s="36" t="s">
        <v>616</v>
      </c>
      <c r="I703" s="36" t="s">
        <v>627</v>
      </c>
      <c r="J703" s="36" t="s">
        <v>618</v>
      </c>
      <c r="K703">
        <v>20</v>
      </c>
      <c r="L703">
        <v>300</v>
      </c>
      <c r="M703">
        <v>6000</v>
      </c>
      <c r="N703">
        <v>3780</v>
      </c>
      <c r="O703">
        <v>2220</v>
      </c>
      <c r="P703" s="11">
        <v>0.37</v>
      </c>
    </row>
    <row r="704" spans="1:16" x14ac:dyDescent="0.25">
      <c r="A704" s="36" t="s">
        <v>306</v>
      </c>
      <c r="B704" s="2">
        <v>45768</v>
      </c>
      <c r="C704" s="36" t="s">
        <v>62</v>
      </c>
      <c r="D704">
        <v>2025</v>
      </c>
      <c r="E704" s="36" t="s">
        <v>592</v>
      </c>
      <c r="F704" s="36" t="s">
        <v>40</v>
      </c>
      <c r="G704" s="36" t="s">
        <v>610</v>
      </c>
      <c r="H704" s="36" t="s">
        <v>613</v>
      </c>
      <c r="I704" s="36" t="s">
        <v>645</v>
      </c>
      <c r="J704" s="36" t="s">
        <v>615</v>
      </c>
      <c r="K704">
        <v>19</v>
      </c>
      <c r="L704">
        <v>7000</v>
      </c>
      <c r="M704">
        <v>133000</v>
      </c>
      <c r="N704">
        <v>86450</v>
      </c>
      <c r="O704">
        <v>46550</v>
      </c>
      <c r="P704" s="11">
        <v>0.35</v>
      </c>
    </row>
    <row r="705" spans="1:16" x14ac:dyDescent="0.25">
      <c r="A705" s="36" t="s">
        <v>518</v>
      </c>
      <c r="B705" s="2">
        <v>45770</v>
      </c>
      <c r="C705" s="36" t="s">
        <v>62</v>
      </c>
      <c r="D705">
        <v>2025</v>
      </c>
      <c r="E705" s="36" t="s">
        <v>594</v>
      </c>
      <c r="F705" s="36" t="s">
        <v>39</v>
      </c>
      <c r="G705" s="36" t="s">
        <v>608</v>
      </c>
      <c r="H705" s="36" t="s">
        <v>613</v>
      </c>
      <c r="I705" s="36" t="s">
        <v>645</v>
      </c>
      <c r="J705" s="36" t="s">
        <v>618</v>
      </c>
      <c r="K705">
        <v>9</v>
      </c>
      <c r="L705">
        <v>45000</v>
      </c>
      <c r="M705">
        <v>405000</v>
      </c>
      <c r="N705">
        <v>275400</v>
      </c>
      <c r="O705">
        <v>129600</v>
      </c>
      <c r="P705" s="11">
        <v>0.32</v>
      </c>
    </row>
    <row r="706" spans="1:16" x14ac:dyDescent="0.25">
      <c r="A706" s="36" t="s">
        <v>424</v>
      </c>
      <c r="B706" s="2">
        <v>45771</v>
      </c>
      <c r="C706" s="36" t="s">
        <v>62</v>
      </c>
      <c r="D706">
        <v>2025</v>
      </c>
      <c r="E706" s="36" t="s">
        <v>598</v>
      </c>
      <c r="F706" s="36" t="s">
        <v>40</v>
      </c>
      <c r="G706" s="36" t="s">
        <v>608</v>
      </c>
      <c r="H706" s="36" t="s">
        <v>620</v>
      </c>
      <c r="I706" s="36" t="s">
        <v>619</v>
      </c>
      <c r="J706" s="36" t="s">
        <v>615</v>
      </c>
      <c r="K706">
        <v>15</v>
      </c>
      <c r="L706">
        <v>150</v>
      </c>
      <c r="M706">
        <v>2250</v>
      </c>
      <c r="N706">
        <v>1642.5</v>
      </c>
      <c r="O706">
        <v>607.5</v>
      </c>
      <c r="P706" s="11">
        <v>0.27</v>
      </c>
    </row>
    <row r="707" spans="1:16" x14ac:dyDescent="0.25">
      <c r="A707" s="36" t="s">
        <v>543</v>
      </c>
      <c r="B707" s="2">
        <v>45771</v>
      </c>
      <c r="C707" s="36" t="s">
        <v>62</v>
      </c>
      <c r="D707">
        <v>2025</v>
      </c>
      <c r="E707" s="36" t="s">
        <v>603</v>
      </c>
      <c r="F707" s="36" t="s">
        <v>42</v>
      </c>
      <c r="G707" s="36" t="s">
        <v>608</v>
      </c>
      <c r="H707" s="36" t="s">
        <v>626</v>
      </c>
      <c r="I707" s="36" t="s">
        <v>645</v>
      </c>
      <c r="J707" s="36" t="s">
        <v>615</v>
      </c>
      <c r="K707">
        <v>17</v>
      </c>
      <c r="L707">
        <v>8000</v>
      </c>
      <c r="M707">
        <v>136000</v>
      </c>
      <c r="N707">
        <v>97920</v>
      </c>
      <c r="O707">
        <v>38080</v>
      </c>
      <c r="P707" s="11">
        <v>0.28000000000000003</v>
      </c>
    </row>
    <row r="708" spans="1:16" x14ac:dyDescent="0.25">
      <c r="A708" s="36" t="s">
        <v>224</v>
      </c>
      <c r="B708" s="2">
        <v>45772</v>
      </c>
      <c r="C708" s="36" t="s">
        <v>62</v>
      </c>
      <c r="D708">
        <v>2025</v>
      </c>
      <c r="E708" s="36" t="s">
        <v>606</v>
      </c>
      <c r="F708" s="36" t="s">
        <v>40</v>
      </c>
      <c r="G708" s="36" t="s">
        <v>608</v>
      </c>
      <c r="H708" s="36" t="s">
        <v>626</v>
      </c>
      <c r="I708" s="36" t="s">
        <v>645</v>
      </c>
      <c r="J708" s="36" t="s">
        <v>615</v>
      </c>
      <c r="K708">
        <v>19</v>
      </c>
      <c r="L708">
        <v>12000</v>
      </c>
      <c r="M708">
        <v>228000</v>
      </c>
      <c r="N708">
        <v>205200</v>
      </c>
      <c r="O708">
        <v>22800</v>
      </c>
      <c r="P708" s="11">
        <v>0.1</v>
      </c>
    </row>
    <row r="709" spans="1:16" x14ac:dyDescent="0.25">
      <c r="A709" s="36" t="s">
        <v>355</v>
      </c>
      <c r="B709" s="2">
        <v>45773</v>
      </c>
      <c r="C709" s="36" t="s">
        <v>62</v>
      </c>
      <c r="D709">
        <v>2025</v>
      </c>
      <c r="E709" s="36" t="s">
        <v>596</v>
      </c>
      <c r="F709" s="36" t="s">
        <v>39</v>
      </c>
      <c r="G709" s="36" t="s">
        <v>608</v>
      </c>
      <c r="H709" s="36" t="s">
        <v>616</v>
      </c>
      <c r="I709" s="36" t="s">
        <v>623</v>
      </c>
      <c r="J709" s="36" t="s">
        <v>618</v>
      </c>
      <c r="K709">
        <v>15</v>
      </c>
      <c r="L709">
        <v>20</v>
      </c>
      <c r="M709">
        <v>300</v>
      </c>
      <c r="N709">
        <v>204</v>
      </c>
      <c r="O709">
        <v>96</v>
      </c>
      <c r="P709" s="11">
        <v>0.32</v>
      </c>
    </row>
    <row r="710" spans="1:16" x14ac:dyDescent="0.25">
      <c r="A710" s="36" t="s">
        <v>573</v>
      </c>
      <c r="B710" s="2">
        <v>45773</v>
      </c>
      <c r="C710" s="36" t="s">
        <v>62</v>
      </c>
      <c r="D710">
        <v>2025</v>
      </c>
      <c r="E710" s="36" t="s">
        <v>600</v>
      </c>
      <c r="F710" s="36" t="s">
        <v>39</v>
      </c>
      <c r="G710" s="36" t="s">
        <v>612</v>
      </c>
      <c r="H710" s="36" t="s">
        <v>616</v>
      </c>
      <c r="I710" s="36" t="s">
        <v>631</v>
      </c>
      <c r="J710" s="36" t="s">
        <v>618</v>
      </c>
      <c r="K710">
        <v>1</v>
      </c>
      <c r="L710">
        <v>25000</v>
      </c>
      <c r="M710">
        <v>25000</v>
      </c>
      <c r="N710">
        <v>19000</v>
      </c>
      <c r="O710">
        <v>6000</v>
      </c>
      <c r="P710" s="11">
        <v>0.24</v>
      </c>
    </row>
    <row r="711" spans="1:16" x14ac:dyDescent="0.25">
      <c r="A711" s="36" t="s">
        <v>131</v>
      </c>
      <c r="B711" s="2">
        <v>45774</v>
      </c>
      <c r="C711" s="36" t="s">
        <v>62</v>
      </c>
      <c r="D711">
        <v>2025</v>
      </c>
      <c r="E711" s="36" t="s">
        <v>603</v>
      </c>
      <c r="F711" s="36" t="s">
        <v>42</v>
      </c>
      <c r="G711" s="36" t="s">
        <v>610</v>
      </c>
      <c r="H711" s="36" t="s">
        <v>616</v>
      </c>
      <c r="I711" s="36" t="s">
        <v>619</v>
      </c>
      <c r="J711" s="36" t="s">
        <v>615</v>
      </c>
      <c r="K711">
        <v>10</v>
      </c>
      <c r="L711">
        <v>55000</v>
      </c>
      <c r="M711">
        <v>550000</v>
      </c>
      <c r="N711">
        <v>434500</v>
      </c>
      <c r="O711">
        <v>115500</v>
      </c>
      <c r="P711" s="11">
        <v>0.21</v>
      </c>
    </row>
    <row r="712" spans="1:16" x14ac:dyDescent="0.25">
      <c r="A712" s="36" t="s">
        <v>193</v>
      </c>
      <c r="B712" s="2">
        <v>45774</v>
      </c>
      <c r="C712" s="36" t="s">
        <v>62</v>
      </c>
      <c r="D712">
        <v>2025</v>
      </c>
      <c r="E712" s="36" t="s">
        <v>598</v>
      </c>
      <c r="F712" s="36" t="s">
        <v>40</v>
      </c>
      <c r="G712" s="36" t="s">
        <v>611</v>
      </c>
      <c r="H712" s="36" t="s">
        <v>625</v>
      </c>
      <c r="I712" s="36" t="s">
        <v>617</v>
      </c>
      <c r="J712" s="36" t="s">
        <v>618</v>
      </c>
      <c r="K712">
        <v>15</v>
      </c>
      <c r="L712">
        <v>45000</v>
      </c>
      <c r="M712">
        <v>675000</v>
      </c>
      <c r="N712">
        <v>553500</v>
      </c>
      <c r="O712">
        <v>121500</v>
      </c>
      <c r="P712" s="11">
        <v>0.18</v>
      </c>
    </row>
    <row r="713" spans="1:16" x14ac:dyDescent="0.25">
      <c r="A713" s="36" t="s">
        <v>301</v>
      </c>
      <c r="B713" s="2">
        <v>45774</v>
      </c>
      <c r="C713" s="36" t="s">
        <v>62</v>
      </c>
      <c r="D713">
        <v>2025</v>
      </c>
      <c r="E713" s="36" t="s">
        <v>604</v>
      </c>
      <c r="F713" s="36" t="s">
        <v>41</v>
      </c>
      <c r="G713" s="36" t="s">
        <v>608</v>
      </c>
      <c r="H713" s="36" t="s">
        <v>620</v>
      </c>
      <c r="I713" s="36" t="s">
        <v>645</v>
      </c>
      <c r="J713" s="36" t="s">
        <v>618</v>
      </c>
      <c r="K713">
        <v>20</v>
      </c>
      <c r="L713">
        <v>50</v>
      </c>
      <c r="M713">
        <v>1000</v>
      </c>
      <c r="N713">
        <v>610</v>
      </c>
      <c r="O713">
        <v>390</v>
      </c>
      <c r="P713" s="11">
        <v>0.39</v>
      </c>
    </row>
    <row r="714" spans="1:16" x14ac:dyDescent="0.25">
      <c r="A714" s="36" t="s">
        <v>56</v>
      </c>
      <c r="B714" s="2">
        <v>45778</v>
      </c>
      <c r="C714" s="36" t="s">
        <v>57</v>
      </c>
      <c r="D714">
        <v>2025</v>
      </c>
      <c r="E714" s="36" t="s">
        <v>598</v>
      </c>
      <c r="F714" s="36" t="s">
        <v>40</v>
      </c>
      <c r="G714" s="36" t="s">
        <v>608</v>
      </c>
      <c r="H714" s="36" t="s">
        <v>622</v>
      </c>
      <c r="I714" s="36" t="s">
        <v>614</v>
      </c>
      <c r="J714" s="36" t="s">
        <v>618</v>
      </c>
      <c r="K714">
        <v>12</v>
      </c>
      <c r="L714">
        <v>8000</v>
      </c>
      <c r="M714">
        <v>96000</v>
      </c>
      <c r="N714">
        <v>62400</v>
      </c>
      <c r="O714">
        <v>33600</v>
      </c>
      <c r="P714" s="11">
        <v>0.35</v>
      </c>
    </row>
    <row r="715" spans="1:16" x14ac:dyDescent="0.25">
      <c r="A715" s="36" t="s">
        <v>95</v>
      </c>
      <c r="B715" s="2">
        <v>45778</v>
      </c>
      <c r="C715" s="36" t="s">
        <v>57</v>
      </c>
      <c r="D715">
        <v>2025</v>
      </c>
      <c r="E715" s="36" t="s">
        <v>602</v>
      </c>
      <c r="F715" s="36" t="s">
        <v>42</v>
      </c>
      <c r="G715" s="36" t="s">
        <v>610</v>
      </c>
      <c r="H715" s="36" t="s">
        <v>622</v>
      </c>
      <c r="I715" s="36" t="s">
        <v>619</v>
      </c>
      <c r="J715" s="36" t="s">
        <v>615</v>
      </c>
      <c r="K715">
        <v>18</v>
      </c>
      <c r="L715">
        <v>25000</v>
      </c>
      <c r="M715">
        <v>450000</v>
      </c>
      <c r="N715">
        <v>369000</v>
      </c>
      <c r="O715">
        <v>81000</v>
      </c>
      <c r="P715" s="11">
        <v>0.18</v>
      </c>
    </row>
    <row r="716" spans="1:16" x14ac:dyDescent="0.25">
      <c r="A716" s="36" t="s">
        <v>310</v>
      </c>
      <c r="B716" s="2">
        <v>45778</v>
      </c>
      <c r="C716" s="36" t="s">
        <v>57</v>
      </c>
      <c r="D716">
        <v>2025</v>
      </c>
      <c r="E716" s="36" t="s">
        <v>597</v>
      </c>
      <c r="F716" s="36" t="s">
        <v>41</v>
      </c>
      <c r="G716" s="36" t="s">
        <v>608</v>
      </c>
      <c r="H716" s="36" t="s">
        <v>620</v>
      </c>
      <c r="I716" s="36" t="s">
        <v>645</v>
      </c>
      <c r="J716" s="36" t="s">
        <v>615</v>
      </c>
      <c r="K716">
        <v>3</v>
      </c>
      <c r="L716">
        <v>4000</v>
      </c>
      <c r="M716">
        <v>12000</v>
      </c>
      <c r="N716">
        <v>9120</v>
      </c>
      <c r="O716">
        <v>2880</v>
      </c>
      <c r="P716" s="11">
        <v>0.24</v>
      </c>
    </row>
    <row r="717" spans="1:16" x14ac:dyDescent="0.25">
      <c r="A717" s="36" t="s">
        <v>427</v>
      </c>
      <c r="B717" s="2">
        <v>45778</v>
      </c>
      <c r="C717" s="36" t="s">
        <v>57</v>
      </c>
      <c r="D717">
        <v>2025</v>
      </c>
      <c r="E717" s="36" t="s">
        <v>606</v>
      </c>
      <c r="F717" s="36" t="s">
        <v>40</v>
      </c>
      <c r="G717" s="36" t="s">
        <v>611</v>
      </c>
      <c r="H717" s="36" t="s">
        <v>613</v>
      </c>
      <c r="I717" s="36" t="s">
        <v>617</v>
      </c>
      <c r="J717" s="36" t="s">
        <v>618</v>
      </c>
      <c r="K717">
        <v>12</v>
      </c>
      <c r="L717">
        <v>45000</v>
      </c>
      <c r="M717">
        <v>540000</v>
      </c>
      <c r="N717">
        <v>442800</v>
      </c>
      <c r="O717">
        <v>97200</v>
      </c>
      <c r="P717" s="11">
        <v>0.18</v>
      </c>
    </row>
    <row r="718" spans="1:16" x14ac:dyDescent="0.25">
      <c r="A718" s="36" t="s">
        <v>556</v>
      </c>
      <c r="B718" s="2">
        <v>45778</v>
      </c>
      <c r="C718" s="36" t="s">
        <v>57</v>
      </c>
      <c r="D718">
        <v>2025</v>
      </c>
      <c r="E718" s="36" t="s">
        <v>592</v>
      </c>
      <c r="F718" s="36" t="s">
        <v>40</v>
      </c>
      <c r="G718" s="36" t="s">
        <v>609</v>
      </c>
      <c r="H718" s="36" t="s">
        <v>613</v>
      </c>
      <c r="I718" s="36" t="s">
        <v>645</v>
      </c>
      <c r="J718" s="36" t="s">
        <v>618</v>
      </c>
      <c r="K718">
        <v>10</v>
      </c>
      <c r="L718">
        <v>150</v>
      </c>
      <c r="M718">
        <v>1500</v>
      </c>
      <c r="N718">
        <v>1110</v>
      </c>
      <c r="O718">
        <v>390</v>
      </c>
      <c r="P718" s="11">
        <v>0.26</v>
      </c>
    </row>
    <row r="719" spans="1:16" x14ac:dyDescent="0.25">
      <c r="A719" s="36" t="s">
        <v>497</v>
      </c>
      <c r="B719" s="2">
        <v>45779</v>
      </c>
      <c r="C719" s="36" t="s">
        <v>57</v>
      </c>
      <c r="D719">
        <v>2025</v>
      </c>
      <c r="E719" s="36" t="s">
        <v>607</v>
      </c>
      <c r="F719" s="36" t="s">
        <v>42</v>
      </c>
      <c r="G719" s="36" t="s">
        <v>610</v>
      </c>
      <c r="H719" s="36" t="s">
        <v>622</v>
      </c>
      <c r="I719" s="36" t="s">
        <v>627</v>
      </c>
      <c r="J719" s="36" t="s">
        <v>615</v>
      </c>
      <c r="K719">
        <v>7</v>
      </c>
      <c r="L719">
        <v>20</v>
      </c>
      <c r="M719">
        <v>140</v>
      </c>
      <c r="N719">
        <v>91</v>
      </c>
      <c r="O719">
        <v>49</v>
      </c>
      <c r="P719" s="11">
        <v>0.35</v>
      </c>
    </row>
    <row r="720" spans="1:16" x14ac:dyDescent="0.25">
      <c r="A720" s="36" t="s">
        <v>74</v>
      </c>
      <c r="B720" s="2">
        <v>45780</v>
      </c>
      <c r="C720" s="36" t="s">
        <v>57</v>
      </c>
      <c r="D720">
        <v>2025</v>
      </c>
      <c r="E720" s="36" t="s">
        <v>604</v>
      </c>
      <c r="F720" s="36" t="s">
        <v>41</v>
      </c>
      <c r="G720" s="36" t="s">
        <v>610</v>
      </c>
      <c r="H720" s="36" t="s">
        <v>622</v>
      </c>
      <c r="I720" s="36" t="s">
        <v>619</v>
      </c>
      <c r="J720" s="36" t="s">
        <v>618</v>
      </c>
      <c r="K720">
        <v>9</v>
      </c>
      <c r="L720">
        <v>1200</v>
      </c>
      <c r="M720">
        <v>10800</v>
      </c>
      <c r="N720">
        <v>9612</v>
      </c>
      <c r="O720">
        <v>1188</v>
      </c>
      <c r="P720" s="11">
        <v>0.11</v>
      </c>
    </row>
    <row r="721" spans="1:16" x14ac:dyDescent="0.25">
      <c r="A721" s="36" t="s">
        <v>350</v>
      </c>
      <c r="B721" s="2">
        <v>45780</v>
      </c>
      <c r="C721" s="36" t="s">
        <v>57</v>
      </c>
      <c r="D721">
        <v>2025</v>
      </c>
      <c r="E721" s="36" t="s">
        <v>594</v>
      </c>
      <c r="F721" s="36" t="s">
        <v>39</v>
      </c>
      <c r="G721" s="36" t="s">
        <v>609</v>
      </c>
      <c r="H721" s="36" t="s">
        <v>624</v>
      </c>
      <c r="I721" s="36" t="s">
        <v>617</v>
      </c>
      <c r="J721" s="36" t="s">
        <v>618</v>
      </c>
      <c r="K721">
        <v>13</v>
      </c>
      <c r="L721">
        <v>8000</v>
      </c>
      <c r="M721">
        <v>104000</v>
      </c>
      <c r="N721">
        <v>82160</v>
      </c>
      <c r="O721">
        <v>21840</v>
      </c>
      <c r="P721" s="11">
        <v>0.21</v>
      </c>
    </row>
    <row r="722" spans="1:16" x14ac:dyDescent="0.25">
      <c r="A722" s="36" t="s">
        <v>362</v>
      </c>
      <c r="B722" s="2">
        <v>45780</v>
      </c>
      <c r="C722" s="36" t="s">
        <v>57</v>
      </c>
      <c r="D722">
        <v>2025</v>
      </c>
      <c r="E722" s="36" t="s">
        <v>595</v>
      </c>
      <c r="F722" s="36" t="s">
        <v>39</v>
      </c>
      <c r="G722" s="36" t="s">
        <v>608</v>
      </c>
      <c r="H722" s="36" t="s">
        <v>626</v>
      </c>
      <c r="I722" s="36" t="s">
        <v>645</v>
      </c>
      <c r="J722" s="36" t="s">
        <v>618</v>
      </c>
      <c r="K722">
        <v>9</v>
      </c>
      <c r="L722">
        <v>12000</v>
      </c>
      <c r="M722">
        <v>108000</v>
      </c>
      <c r="N722">
        <v>78840</v>
      </c>
      <c r="O722">
        <v>29160</v>
      </c>
      <c r="P722" s="11">
        <v>0.27</v>
      </c>
    </row>
    <row r="723" spans="1:16" x14ac:dyDescent="0.25">
      <c r="A723" s="36" t="s">
        <v>538</v>
      </c>
      <c r="B723" s="2">
        <v>45781</v>
      </c>
      <c r="C723" s="36" t="s">
        <v>57</v>
      </c>
      <c r="D723">
        <v>2025</v>
      </c>
      <c r="E723" s="36" t="s">
        <v>607</v>
      </c>
      <c r="F723" s="36" t="s">
        <v>42</v>
      </c>
      <c r="G723" s="36" t="s">
        <v>611</v>
      </c>
      <c r="H723" s="36" t="s">
        <v>620</v>
      </c>
      <c r="I723" s="36" t="s">
        <v>614</v>
      </c>
      <c r="J723" s="36" t="s">
        <v>615</v>
      </c>
      <c r="K723">
        <v>12</v>
      </c>
      <c r="L723">
        <v>55000</v>
      </c>
      <c r="M723">
        <v>660000</v>
      </c>
      <c r="N723">
        <v>448800</v>
      </c>
      <c r="O723">
        <v>211200</v>
      </c>
      <c r="P723" s="11">
        <v>0.32</v>
      </c>
    </row>
    <row r="724" spans="1:16" x14ac:dyDescent="0.25">
      <c r="A724" s="36" t="s">
        <v>548</v>
      </c>
      <c r="B724" s="2">
        <v>45781</v>
      </c>
      <c r="C724" s="36" t="s">
        <v>57</v>
      </c>
      <c r="D724">
        <v>2025</v>
      </c>
      <c r="E724" s="36" t="s">
        <v>593</v>
      </c>
      <c r="F724" s="36" t="s">
        <v>41</v>
      </c>
      <c r="G724" s="36" t="s">
        <v>611</v>
      </c>
      <c r="H724" s="36" t="s">
        <v>622</v>
      </c>
      <c r="I724" s="36" t="s">
        <v>631</v>
      </c>
      <c r="J724" s="36" t="s">
        <v>618</v>
      </c>
      <c r="K724">
        <v>18</v>
      </c>
      <c r="L724">
        <v>8000</v>
      </c>
      <c r="M724">
        <v>144000</v>
      </c>
      <c r="N724">
        <v>99360</v>
      </c>
      <c r="O724">
        <v>44640</v>
      </c>
      <c r="P724" s="11">
        <v>0.31</v>
      </c>
    </row>
    <row r="725" spans="1:16" x14ac:dyDescent="0.25">
      <c r="A725" s="36" t="s">
        <v>226</v>
      </c>
      <c r="B725" s="2">
        <v>45783</v>
      </c>
      <c r="C725" s="36" t="s">
        <v>57</v>
      </c>
      <c r="D725">
        <v>2025</v>
      </c>
      <c r="E725" s="36" t="s">
        <v>596</v>
      </c>
      <c r="F725" s="36" t="s">
        <v>39</v>
      </c>
      <c r="G725" s="36" t="s">
        <v>612</v>
      </c>
      <c r="H725" s="36" t="s">
        <v>620</v>
      </c>
      <c r="I725" s="36" t="s">
        <v>623</v>
      </c>
      <c r="J725" s="36" t="s">
        <v>615</v>
      </c>
      <c r="K725">
        <v>15</v>
      </c>
      <c r="L725">
        <v>25000</v>
      </c>
      <c r="M725">
        <v>375000</v>
      </c>
      <c r="N725">
        <v>240000</v>
      </c>
      <c r="O725">
        <v>135000</v>
      </c>
      <c r="P725" s="11">
        <v>0.36</v>
      </c>
    </row>
    <row r="726" spans="1:16" x14ac:dyDescent="0.25">
      <c r="A726" s="36" t="s">
        <v>257</v>
      </c>
      <c r="B726" s="2">
        <v>45783</v>
      </c>
      <c r="C726" s="36" t="s">
        <v>57</v>
      </c>
      <c r="D726">
        <v>2025</v>
      </c>
      <c r="E726" s="36" t="s">
        <v>602</v>
      </c>
      <c r="F726" s="36" t="s">
        <v>42</v>
      </c>
      <c r="G726" s="36" t="s">
        <v>608</v>
      </c>
      <c r="H726" s="36" t="s">
        <v>626</v>
      </c>
      <c r="I726" s="36" t="s">
        <v>614</v>
      </c>
      <c r="J726" s="36" t="s">
        <v>618</v>
      </c>
      <c r="K726">
        <v>13</v>
      </c>
      <c r="L726">
        <v>20</v>
      </c>
      <c r="M726">
        <v>260</v>
      </c>
      <c r="N726">
        <v>228.8</v>
      </c>
      <c r="O726">
        <v>31.199999999999989</v>
      </c>
      <c r="P726" s="11">
        <v>0.11999999999999995</v>
      </c>
    </row>
    <row r="727" spans="1:16" x14ac:dyDescent="0.25">
      <c r="A727" s="36" t="s">
        <v>337</v>
      </c>
      <c r="B727" s="2">
        <v>45783</v>
      </c>
      <c r="C727" s="36" t="s">
        <v>57</v>
      </c>
      <c r="D727">
        <v>2025</v>
      </c>
      <c r="E727" s="36" t="s">
        <v>604</v>
      </c>
      <c r="F727" s="36" t="s">
        <v>41</v>
      </c>
      <c r="G727" s="36" t="s">
        <v>610</v>
      </c>
      <c r="H727" s="36" t="s">
        <v>622</v>
      </c>
      <c r="I727" s="36" t="s">
        <v>623</v>
      </c>
      <c r="J727" s="36" t="s">
        <v>615</v>
      </c>
      <c r="K727">
        <v>2</v>
      </c>
      <c r="L727">
        <v>20</v>
      </c>
      <c r="M727">
        <v>40</v>
      </c>
      <c r="N727">
        <v>27.6</v>
      </c>
      <c r="O727">
        <v>12.399999999999999</v>
      </c>
      <c r="P727" s="11">
        <v>0.30999999999999994</v>
      </c>
    </row>
    <row r="728" spans="1:16" x14ac:dyDescent="0.25">
      <c r="A728" s="36" t="s">
        <v>272</v>
      </c>
      <c r="B728" s="2">
        <v>45784</v>
      </c>
      <c r="C728" s="36" t="s">
        <v>57</v>
      </c>
      <c r="D728">
        <v>2025</v>
      </c>
      <c r="E728" s="36" t="s">
        <v>605</v>
      </c>
      <c r="F728" s="36" t="s">
        <v>40</v>
      </c>
      <c r="G728" s="36" t="s">
        <v>610</v>
      </c>
      <c r="H728" s="36" t="s">
        <v>621</v>
      </c>
      <c r="I728" s="36" t="s">
        <v>631</v>
      </c>
      <c r="J728" s="36" t="s">
        <v>618</v>
      </c>
      <c r="K728">
        <v>12</v>
      </c>
      <c r="L728">
        <v>15000</v>
      </c>
      <c r="M728">
        <v>180000</v>
      </c>
      <c r="N728">
        <v>144000</v>
      </c>
      <c r="O728">
        <v>36000</v>
      </c>
      <c r="P728" s="11">
        <v>0.2</v>
      </c>
    </row>
    <row r="729" spans="1:16" x14ac:dyDescent="0.25">
      <c r="A729" s="36" t="s">
        <v>401</v>
      </c>
      <c r="B729" s="2">
        <v>45784</v>
      </c>
      <c r="C729" s="36" t="s">
        <v>57</v>
      </c>
      <c r="D729">
        <v>2025</v>
      </c>
      <c r="E729" s="36" t="s">
        <v>592</v>
      </c>
      <c r="F729" s="36" t="s">
        <v>40</v>
      </c>
      <c r="G729" s="36" t="s">
        <v>612</v>
      </c>
      <c r="H729" s="36" t="s">
        <v>625</v>
      </c>
      <c r="I729" s="36" t="s">
        <v>623</v>
      </c>
      <c r="J729" s="36" t="s">
        <v>618</v>
      </c>
      <c r="K729">
        <v>8</v>
      </c>
      <c r="L729">
        <v>50</v>
      </c>
      <c r="M729">
        <v>400</v>
      </c>
      <c r="N729">
        <v>264</v>
      </c>
      <c r="O729">
        <v>136</v>
      </c>
      <c r="P729" s="11">
        <v>0.34</v>
      </c>
    </row>
    <row r="730" spans="1:16" x14ac:dyDescent="0.25">
      <c r="A730" s="36" t="s">
        <v>478</v>
      </c>
      <c r="B730" s="2">
        <v>45784</v>
      </c>
      <c r="C730" s="36" t="s">
        <v>57</v>
      </c>
      <c r="D730">
        <v>2025</v>
      </c>
      <c r="E730" s="36" t="s">
        <v>592</v>
      </c>
      <c r="F730" s="36" t="s">
        <v>40</v>
      </c>
      <c r="G730" s="36" t="s">
        <v>612</v>
      </c>
      <c r="H730" s="36" t="s">
        <v>628</v>
      </c>
      <c r="I730" s="36" t="s">
        <v>630</v>
      </c>
      <c r="J730" s="36" t="s">
        <v>618</v>
      </c>
      <c r="K730">
        <v>6</v>
      </c>
      <c r="L730">
        <v>150</v>
      </c>
      <c r="M730">
        <v>900</v>
      </c>
      <c r="N730">
        <v>675</v>
      </c>
      <c r="O730">
        <v>225</v>
      </c>
      <c r="P730" s="11">
        <v>0.25</v>
      </c>
    </row>
    <row r="731" spans="1:16" x14ac:dyDescent="0.25">
      <c r="A731" s="36" t="s">
        <v>286</v>
      </c>
      <c r="B731" s="2">
        <v>45785</v>
      </c>
      <c r="C731" s="36" t="s">
        <v>57</v>
      </c>
      <c r="D731">
        <v>2025</v>
      </c>
      <c r="E731" s="36" t="s">
        <v>592</v>
      </c>
      <c r="F731" s="36" t="s">
        <v>40</v>
      </c>
      <c r="G731" s="36" t="s">
        <v>610</v>
      </c>
      <c r="H731" s="36" t="s">
        <v>626</v>
      </c>
      <c r="I731" s="36" t="s">
        <v>631</v>
      </c>
      <c r="J731" s="36" t="s">
        <v>615</v>
      </c>
      <c r="K731">
        <v>16</v>
      </c>
      <c r="L731">
        <v>3500</v>
      </c>
      <c r="M731">
        <v>56000</v>
      </c>
      <c r="N731">
        <v>45360</v>
      </c>
      <c r="O731">
        <v>10640</v>
      </c>
      <c r="P731" s="11">
        <v>0.19</v>
      </c>
    </row>
    <row r="732" spans="1:16" x14ac:dyDescent="0.25">
      <c r="A732" s="36" t="s">
        <v>98</v>
      </c>
      <c r="B732" s="2">
        <v>45786</v>
      </c>
      <c r="C732" s="36" t="s">
        <v>57</v>
      </c>
      <c r="D732">
        <v>2025</v>
      </c>
      <c r="E732" s="36" t="s">
        <v>595</v>
      </c>
      <c r="F732" s="36" t="s">
        <v>39</v>
      </c>
      <c r="G732" s="36" t="s">
        <v>611</v>
      </c>
      <c r="H732" s="36" t="s">
        <v>613</v>
      </c>
      <c r="I732" s="36" t="s">
        <v>627</v>
      </c>
      <c r="J732" s="36" t="s">
        <v>618</v>
      </c>
      <c r="K732">
        <v>9</v>
      </c>
      <c r="L732">
        <v>8000</v>
      </c>
      <c r="M732">
        <v>72000</v>
      </c>
      <c r="N732">
        <v>58320</v>
      </c>
      <c r="O732">
        <v>13680</v>
      </c>
      <c r="P732" s="11">
        <v>0.19</v>
      </c>
    </row>
    <row r="733" spans="1:16" x14ac:dyDescent="0.25">
      <c r="A733" s="36" t="s">
        <v>123</v>
      </c>
      <c r="B733" s="2">
        <v>45786</v>
      </c>
      <c r="C733" s="36" t="s">
        <v>57</v>
      </c>
      <c r="D733">
        <v>2025</v>
      </c>
      <c r="E733" s="36" t="s">
        <v>593</v>
      </c>
      <c r="F733" s="36" t="s">
        <v>41</v>
      </c>
      <c r="G733" s="36" t="s">
        <v>609</v>
      </c>
      <c r="H733" s="36" t="s">
        <v>620</v>
      </c>
      <c r="I733" s="36" t="s">
        <v>631</v>
      </c>
      <c r="J733" s="36" t="s">
        <v>618</v>
      </c>
      <c r="K733">
        <v>3</v>
      </c>
      <c r="L733">
        <v>1200</v>
      </c>
      <c r="M733">
        <v>3600</v>
      </c>
      <c r="N733">
        <v>3204</v>
      </c>
      <c r="O733">
        <v>396</v>
      </c>
      <c r="P733" s="11">
        <v>0.11</v>
      </c>
    </row>
    <row r="734" spans="1:16" x14ac:dyDescent="0.25">
      <c r="A734" s="36" t="s">
        <v>138</v>
      </c>
      <c r="B734" s="2">
        <v>45786</v>
      </c>
      <c r="C734" s="36" t="s">
        <v>57</v>
      </c>
      <c r="D734">
        <v>2025</v>
      </c>
      <c r="E734" s="36" t="s">
        <v>603</v>
      </c>
      <c r="F734" s="36" t="s">
        <v>42</v>
      </c>
      <c r="G734" s="36" t="s">
        <v>608</v>
      </c>
      <c r="H734" s="36" t="s">
        <v>629</v>
      </c>
      <c r="I734" s="36" t="s">
        <v>631</v>
      </c>
      <c r="J734" s="36" t="s">
        <v>615</v>
      </c>
      <c r="K734">
        <v>4</v>
      </c>
      <c r="L734">
        <v>12000</v>
      </c>
      <c r="M734">
        <v>48000</v>
      </c>
      <c r="N734">
        <v>34560</v>
      </c>
      <c r="O734">
        <v>13440</v>
      </c>
      <c r="P734" s="11">
        <v>0.28000000000000003</v>
      </c>
    </row>
    <row r="735" spans="1:16" x14ac:dyDescent="0.25">
      <c r="A735" s="36" t="s">
        <v>144</v>
      </c>
      <c r="B735" s="2">
        <v>45786</v>
      </c>
      <c r="C735" s="36" t="s">
        <v>57</v>
      </c>
      <c r="D735">
        <v>2025</v>
      </c>
      <c r="E735" s="36" t="s">
        <v>604</v>
      </c>
      <c r="F735" s="36" t="s">
        <v>41</v>
      </c>
      <c r="G735" s="36" t="s">
        <v>612</v>
      </c>
      <c r="H735" s="36" t="s">
        <v>622</v>
      </c>
      <c r="I735" s="36" t="s">
        <v>631</v>
      </c>
      <c r="J735" s="36" t="s">
        <v>618</v>
      </c>
      <c r="K735">
        <v>6</v>
      </c>
      <c r="L735">
        <v>300</v>
      </c>
      <c r="M735">
        <v>1800</v>
      </c>
      <c r="N735">
        <v>1152</v>
      </c>
      <c r="O735">
        <v>648</v>
      </c>
      <c r="P735" s="11">
        <v>0.36</v>
      </c>
    </row>
    <row r="736" spans="1:16" x14ac:dyDescent="0.25">
      <c r="A736" s="36" t="s">
        <v>165</v>
      </c>
      <c r="B736" s="2">
        <v>45786</v>
      </c>
      <c r="C736" s="36" t="s">
        <v>57</v>
      </c>
      <c r="D736">
        <v>2025</v>
      </c>
      <c r="E736" s="36" t="s">
        <v>595</v>
      </c>
      <c r="F736" s="36" t="s">
        <v>39</v>
      </c>
      <c r="G736" s="36" t="s">
        <v>609</v>
      </c>
      <c r="H736" s="36" t="s">
        <v>622</v>
      </c>
      <c r="I736" s="36" t="s">
        <v>617</v>
      </c>
      <c r="J736" s="36" t="s">
        <v>615</v>
      </c>
      <c r="K736">
        <v>9</v>
      </c>
      <c r="L736">
        <v>12000</v>
      </c>
      <c r="M736">
        <v>108000</v>
      </c>
      <c r="N736">
        <v>93960</v>
      </c>
      <c r="O736">
        <v>14040</v>
      </c>
      <c r="P736" s="11">
        <v>0.13</v>
      </c>
    </row>
    <row r="737" spans="1:16" x14ac:dyDescent="0.25">
      <c r="A737" s="36" t="s">
        <v>179</v>
      </c>
      <c r="B737" s="2">
        <v>45786</v>
      </c>
      <c r="C737" s="36" t="s">
        <v>57</v>
      </c>
      <c r="D737">
        <v>2025</v>
      </c>
      <c r="E737" s="36" t="s">
        <v>594</v>
      </c>
      <c r="F737" s="36" t="s">
        <v>39</v>
      </c>
      <c r="G737" s="36" t="s">
        <v>612</v>
      </c>
      <c r="H737" s="36" t="s">
        <v>628</v>
      </c>
      <c r="I737" s="36" t="s">
        <v>631</v>
      </c>
      <c r="J737" s="36" t="s">
        <v>618</v>
      </c>
      <c r="K737">
        <v>5</v>
      </c>
      <c r="L737">
        <v>50</v>
      </c>
      <c r="M737">
        <v>250</v>
      </c>
      <c r="N737">
        <v>197.5</v>
      </c>
      <c r="O737">
        <v>52.5</v>
      </c>
      <c r="P737" s="11">
        <v>0.21</v>
      </c>
    </row>
    <row r="738" spans="1:16" x14ac:dyDescent="0.25">
      <c r="A738" s="36" t="s">
        <v>526</v>
      </c>
      <c r="B738" s="2">
        <v>45786</v>
      </c>
      <c r="C738" s="36" t="s">
        <v>57</v>
      </c>
      <c r="D738">
        <v>2025</v>
      </c>
      <c r="E738" s="36" t="s">
        <v>606</v>
      </c>
      <c r="F738" s="36" t="s">
        <v>40</v>
      </c>
      <c r="G738" s="36" t="s">
        <v>612</v>
      </c>
      <c r="H738" s="36" t="s">
        <v>625</v>
      </c>
      <c r="I738" s="36" t="s">
        <v>627</v>
      </c>
      <c r="J738" s="36" t="s">
        <v>615</v>
      </c>
      <c r="K738">
        <v>8</v>
      </c>
      <c r="L738">
        <v>15000</v>
      </c>
      <c r="M738">
        <v>120000</v>
      </c>
      <c r="N738">
        <v>108000</v>
      </c>
      <c r="O738">
        <v>12000</v>
      </c>
      <c r="P738" s="11">
        <v>0.1</v>
      </c>
    </row>
    <row r="739" spans="1:16" x14ac:dyDescent="0.25">
      <c r="A739" s="36" t="s">
        <v>271</v>
      </c>
      <c r="B739" s="2">
        <v>45788</v>
      </c>
      <c r="C739" s="36" t="s">
        <v>57</v>
      </c>
      <c r="D739">
        <v>2025</v>
      </c>
      <c r="E739" s="36" t="s">
        <v>600</v>
      </c>
      <c r="F739" s="36" t="s">
        <v>39</v>
      </c>
      <c r="G739" s="36" t="s">
        <v>610</v>
      </c>
      <c r="H739" s="36" t="s">
        <v>621</v>
      </c>
      <c r="I739" s="36" t="s">
        <v>617</v>
      </c>
      <c r="J739" s="36" t="s">
        <v>615</v>
      </c>
      <c r="K739">
        <v>8</v>
      </c>
      <c r="L739">
        <v>700</v>
      </c>
      <c r="M739">
        <v>5600</v>
      </c>
      <c r="N739">
        <v>3696</v>
      </c>
      <c r="O739">
        <v>1904</v>
      </c>
      <c r="P739" s="11">
        <v>0.34</v>
      </c>
    </row>
    <row r="740" spans="1:16" x14ac:dyDescent="0.25">
      <c r="A740" s="36" t="s">
        <v>342</v>
      </c>
      <c r="B740" s="2">
        <v>45788</v>
      </c>
      <c r="C740" s="36" t="s">
        <v>57</v>
      </c>
      <c r="D740">
        <v>2025</v>
      </c>
      <c r="E740" s="36" t="s">
        <v>593</v>
      </c>
      <c r="F740" s="36" t="s">
        <v>41</v>
      </c>
      <c r="G740" s="36" t="s">
        <v>608</v>
      </c>
      <c r="H740" s="36" t="s">
        <v>622</v>
      </c>
      <c r="I740" s="36" t="s">
        <v>630</v>
      </c>
      <c r="J740" s="36" t="s">
        <v>615</v>
      </c>
      <c r="K740">
        <v>11</v>
      </c>
      <c r="L740">
        <v>20</v>
      </c>
      <c r="M740">
        <v>220</v>
      </c>
      <c r="N740">
        <v>182.6</v>
      </c>
      <c r="O740">
        <v>37.400000000000006</v>
      </c>
      <c r="P740" s="11">
        <v>0.17</v>
      </c>
    </row>
    <row r="741" spans="1:16" x14ac:dyDescent="0.25">
      <c r="A741" s="36" t="s">
        <v>394</v>
      </c>
      <c r="B741" s="2">
        <v>45789</v>
      </c>
      <c r="C741" s="36" t="s">
        <v>57</v>
      </c>
      <c r="D741">
        <v>2025</v>
      </c>
      <c r="E741" s="36" t="s">
        <v>592</v>
      </c>
      <c r="F741" s="36" t="s">
        <v>40</v>
      </c>
      <c r="G741" s="36" t="s">
        <v>609</v>
      </c>
      <c r="H741" s="36" t="s">
        <v>616</v>
      </c>
      <c r="I741" s="36" t="s">
        <v>630</v>
      </c>
      <c r="J741" s="36" t="s">
        <v>618</v>
      </c>
      <c r="K741">
        <v>11</v>
      </c>
      <c r="L741">
        <v>8000</v>
      </c>
      <c r="M741">
        <v>88000</v>
      </c>
      <c r="N741">
        <v>77440</v>
      </c>
      <c r="O741">
        <v>10560</v>
      </c>
      <c r="P741" s="11">
        <v>0.12</v>
      </c>
    </row>
    <row r="742" spans="1:16" x14ac:dyDescent="0.25">
      <c r="A742" s="36" t="s">
        <v>467</v>
      </c>
      <c r="B742" s="2">
        <v>45789</v>
      </c>
      <c r="C742" s="36" t="s">
        <v>57</v>
      </c>
      <c r="D742">
        <v>2025</v>
      </c>
      <c r="E742" s="36" t="s">
        <v>602</v>
      </c>
      <c r="F742" s="36" t="s">
        <v>42</v>
      </c>
      <c r="G742" s="36" t="s">
        <v>610</v>
      </c>
      <c r="H742" s="36" t="s">
        <v>622</v>
      </c>
      <c r="I742" s="36" t="s">
        <v>631</v>
      </c>
      <c r="J742" s="36" t="s">
        <v>618</v>
      </c>
      <c r="K742">
        <v>13</v>
      </c>
      <c r="L742">
        <v>150</v>
      </c>
      <c r="M742">
        <v>1950</v>
      </c>
      <c r="N742">
        <v>1618.5</v>
      </c>
      <c r="O742">
        <v>331.5</v>
      </c>
      <c r="P742" s="11">
        <v>0.17</v>
      </c>
    </row>
    <row r="743" spans="1:16" x14ac:dyDescent="0.25">
      <c r="A743" s="36" t="s">
        <v>85</v>
      </c>
      <c r="B743" s="2">
        <v>45790</v>
      </c>
      <c r="C743" s="36" t="s">
        <v>57</v>
      </c>
      <c r="D743">
        <v>2025</v>
      </c>
      <c r="E743" s="36" t="s">
        <v>595</v>
      </c>
      <c r="F743" s="36" t="s">
        <v>39</v>
      </c>
      <c r="G743" s="36" t="s">
        <v>609</v>
      </c>
      <c r="H743" s="36" t="s">
        <v>621</v>
      </c>
      <c r="I743" s="36" t="s">
        <v>617</v>
      </c>
      <c r="J743" s="36" t="s">
        <v>615</v>
      </c>
      <c r="K743">
        <v>17</v>
      </c>
      <c r="L743">
        <v>20</v>
      </c>
      <c r="M743">
        <v>340</v>
      </c>
      <c r="N743">
        <v>207.4</v>
      </c>
      <c r="O743">
        <v>132.6</v>
      </c>
      <c r="P743" s="11">
        <v>0.38999999999999996</v>
      </c>
    </row>
    <row r="744" spans="1:16" x14ac:dyDescent="0.25">
      <c r="A744" s="36" t="s">
        <v>312</v>
      </c>
      <c r="B744" s="2">
        <v>45790</v>
      </c>
      <c r="C744" s="36" t="s">
        <v>57</v>
      </c>
      <c r="D744">
        <v>2025</v>
      </c>
      <c r="E744" s="36" t="s">
        <v>602</v>
      </c>
      <c r="F744" s="36" t="s">
        <v>42</v>
      </c>
      <c r="G744" s="36" t="s">
        <v>609</v>
      </c>
      <c r="H744" s="36" t="s">
        <v>625</v>
      </c>
      <c r="I744" s="36" t="s">
        <v>631</v>
      </c>
      <c r="J744" s="36" t="s">
        <v>618</v>
      </c>
      <c r="K744">
        <v>17</v>
      </c>
      <c r="L744">
        <v>700</v>
      </c>
      <c r="M744">
        <v>11900</v>
      </c>
      <c r="N744">
        <v>9044</v>
      </c>
      <c r="O744">
        <v>2856</v>
      </c>
      <c r="P744" s="11">
        <v>0.24</v>
      </c>
    </row>
    <row r="745" spans="1:16" x14ac:dyDescent="0.25">
      <c r="A745" s="36" t="s">
        <v>402</v>
      </c>
      <c r="B745" s="2">
        <v>45790</v>
      </c>
      <c r="C745" s="36" t="s">
        <v>57</v>
      </c>
      <c r="D745">
        <v>2025</v>
      </c>
      <c r="E745" s="36" t="s">
        <v>596</v>
      </c>
      <c r="F745" s="36" t="s">
        <v>39</v>
      </c>
      <c r="G745" s="36" t="s">
        <v>610</v>
      </c>
      <c r="H745" s="36" t="s">
        <v>625</v>
      </c>
      <c r="I745" s="36" t="s">
        <v>631</v>
      </c>
      <c r="J745" s="36" t="s">
        <v>615</v>
      </c>
      <c r="K745">
        <v>10</v>
      </c>
      <c r="L745">
        <v>3500</v>
      </c>
      <c r="M745">
        <v>35000</v>
      </c>
      <c r="N745">
        <v>25550</v>
      </c>
      <c r="O745">
        <v>9450</v>
      </c>
      <c r="P745" s="11">
        <v>0.27</v>
      </c>
    </row>
    <row r="746" spans="1:16" x14ac:dyDescent="0.25">
      <c r="A746" s="36" t="s">
        <v>464</v>
      </c>
      <c r="B746" s="2">
        <v>45790</v>
      </c>
      <c r="C746" s="36" t="s">
        <v>57</v>
      </c>
      <c r="D746">
        <v>2025</v>
      </c>
      <c r="E746" s="36" t="s">
        <v>600</v>
      </c>
      <c r="F746" s="36" t="s">
        <v>39</v>
      </c>
      <c r="G746" s="36" t="s">
        <v>612</v>
      </c>
      <c r="H746" s="36" t="s">
        <v>624</v>
      </c>
      <c r="I746" s="36" t="s">
        <v>617</v>
      </c>
      <c r="J746" s="36" t="s">
        <v>618</v>
      </c>
      <c r="K746">
        <v>1</v>
      </c>
      <c r="L746">
        <v>700</v>
      </c>
      <c r="M746">
        <v>700</v>
      </c>
      <c r="N746">
        <v>581</v>
      </c>
      <c r="O746">
        <v>119</v>
      </c>
      <c r="P746" s="11">
        <v>0.17</v>
      </c>
    </row>
    <row r="747" spans="1:16" x14ac:dyDescent="0.25">
      <c r="A747" s="36" t="s">
        <v>174</v>
      </c>
      <c r="B747" s="2">
        <v>45792</v>
      </c>
      <c r="C747" s="36" t="s">
        <v>57</v>
      </c>
      <c r="D747">
        <v>2025</v>
      </c>
      <c r="E747" s="36" t="s">
        <v>595</v>
      </c>
      <c r="F747" s="36" t="s">
        <v>39</v>
      </c>
      <c r="G747" s="36" t="s">
        <v>611</v>
      </c>
      <c r="H747" s="36" t="s">
        <v>629</v>
      </c>
      <c r="I747" s="36" t="s">
        <v>631</v>
      </c>
      <c r="J747" s="36" t="s">
        <v>615</v>
      </c>
      <c r="K747">
        <v>7</v>
      </c>
      <c r="L747">
        <v>3500</v>
      </c>
      <c r="M747">
        <v>24500</v>
      </c>
      <c r="N747">
        <v>21805</v>
      </c>
      <c r="O747">
        <v>2695</v>
      </c>
      <c r="P747" s="11">
        <v>0.11</v>
      </c>
    </row>
    <row r="748" spans="1:16" x14ac:dyDescent="0.25">
      <c r="A748" s="36" t="s">
        <v>431</v>
      </c>
      <c r="B748" s="2">
        <v>45792</v>
      </c>
      <c r="C748" s="36" t="s">
        <v>57</v>
      </c>
      <c r="D748">
        <v>2025</v>
      </c>
      <c r="E748" s="36" t="s">
        <v>598</v>
      </c>
      <c r="F748" s="36" t="s">
        <v>40</v>
      </c>
      <c r="G748" s="36" t="s">
        <v>609</v>
      </c>
      <c r="H748" s="36" t="s">
        <v>628</v>
      </c>
      <c r="I748" s="36" t="s">
        <v>645</v>
      </c>
      <c r="J748" s="36" t="s">
        <v>615</v>
      </c>
      <c r="K748">
        <v>11</v>
      </c>
      <c r="L748">
        <v>15000</v>
      </c>
      <c r="M748">
        <v>165000</v>
      </c>
      <c r="N748">
        <v>141900</v>
      </c>
      <c r="O748">
        <v>23100</v>
      </c>
      <c r="P748" s="11">
        <v>0.14000000000000001</v>
      </c>
    </row>
    <row r="749" spans="1:16" x14ac:dyDescent="0.25">
      <c r="A749" s="36" t="s">
        <v>263</v>
      </c>
      <c r="B749" s="2">
        <v>45794</v>
      </c>
      <c r="C749" s="36" t="s">
        <v>57</v>
      </c>
      <c r="D749">
        <v>2025</v>
      </c>
      <c r="E749" s="36" t="s">
        <v>593</v>
      </c>
      <c r="F749" s="36" t="s">
        <v>41</v>
      </c>
      <c r="G749" s="36" t="s">
        <v>611</v>
      </c>
      <c r="H749" s="36" t="s">
        <v>624</v>
      </c>
      <c r="I749" s="36" t="s">
        <v>614</v>
      </c>
      <c r="J749" s="36" t="s">
        <v>618</v>
      </c>
      <c r="K749">
        <v>2</v>
      </c>
      <c r="L749">
        <v>8000</v>
      </c>
      <c r="M749">
        <v>16000</v>
      </c>
      <c r="N749">
        <v>10880</v>
      </c>
      <c r="O749">
        <v>5120</v>
      </c>
      <c r="P749" s="11">
        <v>0.32</v>
      </c>
    </row>
    <row r="750" spans="1:16" x14ac:dyDescent="0.25">
      <c r="A750" s="36" t="s">
        <v>281</v>
      </c>
      <c r="B750" s="2">
        <v>45797</v>
      </c>
      <c r="C750" s="36" t="s">
        <v>57</v>
      </c>
      <c r="D750">
        <v>2025</v>
      </c>
      <c r="E750" s="36" t="s">
        <v>599</v>
      </c>
      <c r="F750" s="36" t="s">
        <v>39</v>
      </c>
      <c r="G750" s="36" t="s">
        <v>612</v>
      </c>
      <c r="H750" s="36" t="s">
        <v>626</v>
      </c>
      <c r="I750" s="36" t="s">
        <v>614</v>
      </c>
      <c r="J750" s="36" t="s">
        <v>615</v>
      </c>
      <c r="K750">
        <v>19</v>
      </c>
      <c r="L750">
        <v>20</v>
      </c>
      <c r="M750">
        <v>380</v>
      </c>
      <c r="N750">
        <v>235.6</v>
      </c>
      <c r="O750">
        <v>144.4</v>
      </c>
      <c r="P750" s="11">
        <v>0.38</v>
      </c>
    </row>
    <row r="751" spans="1:16" x14ac:dyDescent="0.25">
      <c r="A751" s="36" t="s">
        <v>483</v>
      </c>
      <c r="B751" s="2">
        <v>45797</v>
      </c>
      <c r="C751" s="36" t="s">
        <v>57</v>
      </c>
      <c r="D751">
        <v>2025</v>
      </c>
      <c r="E751" s="36" t="s">
        <v>602</v>
      </c>
      <c r="F751" s="36" t="s">
        <v>42</v>
      </c>
      <c r="G751" s="36" t="s">
        <v>608</v>
      </c>
      <c r="H751" s="36" t="s">
        <v>620</v>
      </c>
      <c r="I751" s="36" t="s">
        <v>630</v>
      </c>
      <c r="J751" s="36" t="s">
        <v>618</v>
      </c>
      <c r="K751">
        <v>6</v>
      </c>
      <c r="L751">
        <v>700</v>
      </c>
      <c r="M751">
        <v>4200</v>
      </c>
      <c r="N751">
        <v>3318</v>
      </c>
      <c r="O751">
        <v>882</v>
      </c>
      <c r="P751" s="11">
        <v>0.21</v>
      </c>
    </row>
    <row r="752" spans="1:16" x14ac:dyDescent="0.25">
      <c r="A752" s="36" t="s">
        <v>314</v>
      </c>
      <c r="B752" s="2">
        <v>45798</v>
      </c>
      <c r="C752" s="36" t="s">
        <v>57</v>
      </c>
      <c r="D752">
        <v>2025</v>
      </c>
      <c r="E752" s="36" t="s">
        <v>599</v>
      </c>
      <c r="F752" s="36" t="s">
        <v>39</v>
      </c>
      <c r="G752" s="36" t="s">
        <v>611</v>
      </c>
      <c r="H752" s="36" t="s">
        <v>616</v>
      </c>
      <c r="I752" s="36" t="s">
        <v>617</v>
      </c>
      <c r="J752" s="36" t="s">
        <v>615</v>
      </c>
      <c r="K752">
        <v>14</v>
      </c>
      <c r="L752">
        <v>300</v>
      </c>
      <c r="M752">
        <v>4200</v>
      </c>
      <c r="N752">
        <v>3570</v>
      </c>
      <c r="O752">
        <v>630</v>
      </c>
      <c r="P752" s="11">
        <v>0.15</v>
      </c>
    </row>
    <row r="753" spans="1:16" x14ac:dyDescent="0.25">
      <c r="A753" s="36" t="s">
        <v>385</v>
      </c>
      <c r="B753" s="2">
        <v>45800</v>
      </c>
      <c r="C753" s="36" t="s">
        <v>57</v>
      </c>
      <c r="D753">
        <v>2025</v>
      </c>
      <c r="E753" s="36" t="s">
        <v>602</v>
      </c>
      <c r="F753" s="36" t="s">
        <v>42</v>
      </c>
      <c r="G753" s="36" t="s">
        <v>611</v>
      </c>
      <c r="H753" s="36" t="s">
        <v>620</v>
      </c>
      <c r="I753" s="36" t="s">
        <v>631</v>
      </c>
      <c r="J753" s="36" t="s">
        <v>618</v>
      </c>
      <c r="K753">
        <v>18</v>
      </c>
      <c r="L753">
        <v>9000</v>
      </c>
      <c r="M753">
        <v>162000</v>
      </c>
      <c r="N753">
        <v>139320</v>
      </c>
      <c r="O753">
        <v>22680</v>
      </c>
      <c r="P753" s="11">
        <v>0.14000000000000001</v>
      </c>
    </row>
    <row r="754" spans="1:16" x14ac:dyDescent="0.25">
      <c r="A754" s="36" t="s">
        <v>479</v>
      </c>
      <c r="B754" s="2">
        <v>45802</v>
      </c>
      <c r="C754" s="36" t="s">
        <v>57</v>
      </c>
      <c r="D754">
        <v>2025</v>
      </c>
      <c r="E754" s="36" t="s">
        <v>605</v>
      </c>
      <c r="F754" s="36" t="s">
        <v>40</v>
      </c>
      <c r="G754" s="36" t="s">
        <v>610</v>
      </c>
      <c r="H754" s="36" t="s">
        <v>629</v>
      </c>
      <c r="I754" s="36" t="s">
        <v>645</v>
      </c>
      <c r="J754" s="36" t="s">
        <v>615</v>
      </c>
      <c r="K754">
        <v>10</v>
      </c>
      <c r="L754">
        <v>45000</v>
      </c>
      <c r="M754">
        <v>450000</v>
      </c>
      <c r="N754">
        <v>373500</v>
      </c>
      <c r="O754">
        <v>76500</v>
      </c>
      <c r="P754" s="11">
        <v>0.17</v>
      </c>
    </row>
    <row r="755" spans="1:16" x14ac:dyDescent="0.25">
      <c r="A755" s="36" t="s">
        <v>476</v>
      </c>
      <c r="B755" s="2">
        <v>45803</v>
      </c>
      <c r="C755" s="36" t="s">
        <v>57</v>
      </c>
      <c r="D755">
        <v>2025</v>
      </c>
      <c r="E755" s="36" t="s">
        <v>593</v>
      </c>
      <c r="F755" s="36" t="s">
        <v>41</v>
      </c>
      <c r="G755" s="36" t="s">
        <v>609</v>
      </c>
      <c r="H755" s="36" t="s">
        <v>625</v>
      </c>
      <c r="I755" s="36" t="s">
        <v>627</v>
      </c>
      <c r="J755" s="36" t="s">
        <v>615</v>
      </c>
      <c r="K755">
        <v>10</v>
      </c>
      <c r="L755">
        <v>1200</v>
      </c>
      <c r="M755">
        <v>12000</v>
      </c>
      <c r="N755">
        <v>8040</v>
      </c>
      <c r="O755">
        <v>3960</v>
      </c>
      <c r="P755" s="11">
        <v>0.33</v>
      </c>
    </row>
    <row r="756" spans="1:16" x14ac:dyDescent="0.25">
      <c r="A756" s="36" t="s">
        <v>380</v>
      </c>
      <c r="B756" s="2">
        <v>45804</v>
      </c>
      <c r="C756" s="36" t="s">
        <v>57</v>
      </c>
      <c r="D756">
        <v>2025</v>
      </c>
      <c r="E756" s="36" t="s">
        <v>603</v>
      </c>
      <c r="F756" s="36" t="s">
        <v>42</v>
      </c>
      <c r="G756" s="36" t="s">
        <v>612</v>
      </c>
      <c r="H756" s="36" t="s">
        <v>613</v>
      </c>
      <c r="I756" s="36" t="s">
        <v>627</v>
      </c>
      <c r="J756" s="36" t="s">
        <v>615</v>
      </c>
      <c r="K756">
        <v>12</v>
      </c>
      <c r="L756">
        <v>25000</v>
      </c>
      <c r="M756">
        <v>300000</v>
      </c>
      <c r="N756">
        <v>234000</v>
      </c>
      <c r="O756">
        <v>66000</v>
      </c>
      <c r="P756" s="11">
        <v>0.22</v>
      </c>
    </row>
    <row r="757" spans="1:16" x14ac:dyDescent="0.25">
      <c r="A757" s="36" t="s">
        <v>393</v>
      </c>
      <c r="B757" s="2">
        <v>45804</v>
      </c>
      <c r="C757" s="36" t="s">
        <v>57</v>
      </c>
      <c r="D757">
        <v>2025</v>
      </c>
      <c r="E757" s="36" t="s">
        <v>607</v>
      </c>
      <c r="F757" s="36" t="s">
        <v>42</v>
      </c>
      <c r="G757" s="36" t="s">
        <v>608</v>
      </c>
      <c r="H757" s="36" t="s">
        <v>620</v>
      </c>
      <c r="I757" s="36" t="s">
        <v>617</v>
      </c>
      <c r="J757" s="36" t="s">
        <v>615</v>
      </c>
      <c r="K757">
        <v>6</v>
      </c>
      <c r="L757">
        <v>300</v>
      </c>
      <c r="M757">
        <v>1800</v>
      </c>
      <c r="N757">
        <v>1296</v>
      </c>
      <c r="O757">
        <v>504</v>
      </c>
      <c r="P757" s="11">
        <v>0.28000000000000003</v>
      </c>
    </row>
    <row r="758" spans="1:16" x14ac:dyDescent="0.25">
      <c r="A758" s="36" t="s">
        <v>545</v>
      </c>
      <c r="B758" s="2">
        <v>45804</v>
      </c>
      <c r="C758" s="36" t="s">
        <v>57</v>
      </c>
      <c r="D758">
        <v>2025</v>
      </c>
      <c r="E758" s="36" t="s">
        <v>605</v>
      </c>
      <c r="F758" s="36" t="s">
        <v>40</v>
      </c>
      <c r="G758" s="36" t="s">
        <v>608</v>
      </c>
      <c r="H758" s="36" t="s">
        <v>626</v>
      </c>
      <c r="I758" s="36" t="s">
        <v>623</v>
      </c>
      <c r="J758" s="36" t="s">
        <v>615</v>
      </c>
      <c r="K758">
        <v>11</v>
      </c>
      <c r="L758">
        <v>8000</v>
      </c>
      <c r="M758">
        <v>88000</v>
      </c>
      <c r="N758">
        <v>56320</v>
      </c>
      <c r="O758">
        <v>31680</v>
      </c>
      <c r="P758" s="11">
        <v>0.36</v>
      </c>
    </row>
    <row r="759" spans="1:16" x14ac:dyDescent="0.25">
      <c r="A759" s="36" t="s">
        <v>250</v>
      </c>
      <c r="B759" s="2">
        <v>45810</v>
      </c>
      <c r="C759" s="36" t="s">
        <v>44</v>
      </c>
      <c r="D759">
        <v>2025</v>
      </c>
      <c r="E759" s="36" t="s">
        <v>603</v>
      </c>
      <c r="F759" s="36" t="s">
        <v>42</v>
      </c>
      <c r="G759" s="36" t="s">
        <v>609</v>
      </c>
      <c r="H759" s="36" t="s">
        <v>620</v>
      </c>
      <c r="I759" s="36" t="s">
        <v>623</v>
      </c>
      <c r="J759" s="36" t="s">
        <v>615</v>
      </c>
      <c r="K759">
        <v>7</v>
      </c>
      <c r="L759">
        <v>20</v>
      </c>
      <c r="M759">
        <v>140</v>
      </c>
      <c r="N759">
        <v>121.8</v>
      </c>
      <c r="O759">
        <v>18.200000000000003</v>
      </c>
      <c r="P759" s="11">
        <v>0.13000000000000003</v>
      </c>
    </row>
    <row r="760" spans="1:16" x14ac:dyDescent="0.25">
      <c r="A760" s="36" t="s">
        <v>412</v>
      </c>
      <c r="B760" s="2">
        <v>45810</v>
      </c>
      <c r="C760" s="36" t="s">
        <v>44</v>
      </c>
      <c r="D760">
        <v>2025</v>
      </c>
      <c r="E760" s="36" t="s">
        <v>597</v>
      </c>
      <c r="F760" s="36" t="s">
        <v>41</v>
      </c>
      <c r="G760" s="36" t="s">
        <v>609</v>
      </c>
      <c r="H760" s="36" t="s">
        <v>625</v>
      </c>
      <c r="I760" s="36" t="s">
        <v>645</v>
      </c>
      <c r="J760" s="36" t="s">
        <v>615</v>
      </c>
      <c r="K760">
        <v>16</v>
      </c>
      <c r="L760">
        <v>50</v>
      </c>
      <c r="M760">
        <v>800</v>
      </c>
      <c r="N760">
        <v>656</v>
      </c>
      <c r="O760">
        <v>144</v>
      </c>
      <c r="P760" s="11">
        <v>0.18</v>
      </c>
    </row>
    <row r="761" spans="1:16" x14ac:dyDescent="0.25">
      <c r="A761" s="36" t="s">
        <v>259</v>
      </c>
      <c r="B761" s="2">
        <v>45811</v>
      </c>
      <c r="C761" s="36" t="s">
        <v>44</v>
      </c>
      <c r="D761">
        <v>2025</v>
      </c>
      <c r="E761" s="36" t="s">
        <v>607</v>
      </c>
      <c r="F761" s="36" t="s">
        <v>42</v>
      </c>
      <c r="G761" s="36" t="s">
        <v>608</v>
      </c>
      <c r="H761" s="36" t="s">
        <v>629</v>
      </c>
      <c r="I761" s="36" t="s">
        <v>617</v>
      </c>
      <c r="J761" s="36" t="s">
        <v>615</v>
      </c>
      <c r="K761">
        <v>20</v>
      </c>
      <c r="L761">
        <v>9000</v>
      </c>
      <c r="M761">
        <v>180000</v>
      </c>
      <c r="N761">
        <v>153000</v>
      </c>
      <c r="O761">
        <v>27000</v>
      </c>
      <c r="P761" s="11">
        <v>0.15</v>
      </c>
    </row>
    <row r="762" spans="1:16" x14ac:dyDescent="0.25">
      <c r="A762" s="36" t="s">
        <v>588</v>
      </c>
      <c r="B762" s="2">
        <v>45812</v>
      </c>
      <c r="C762" s="36" t="s">
        <v>44</v>
      </c>
      <c r="D762">
        <v>2025</v>
      </c>
      <c r="E762" s="36" t="s">
        <v>593</v>
      </c>
      <c r="F762" s="36" t="s">
        <v>41</v>
      </c>
      <c r="G762" s="36" t="s">
        <v>611</v>
      </c>
      <c r="H762" s="36" t="s">
        <v>622</v>
      </c>
      <c r="I762" s="36" t="s">
        <v>631</v>
      </c>
      <c r="J762" s="36" t="s">
        <v>615</v>
      </c>
      <c r="K762">
        <v>9</v>
      </c>
      <c r="L762">
        <v>1200</v>
      </c>
      <c r="M762">
        <v>10800</v>
      </c>
      <c r="N762">
        <v>8964</v>
      </c>
      <c r="O762">
        <v>1836</v>
      </c>
      <c r="P762" s="11">
        <v>0.17</v>
      </c>
    </row>
    <row r="763" spans="1:16" x14ac:dyDescent="0.25">
      <c r="A763" s="36" t="s">
        <v>335</v>
      </c>
      <c r="B763" s="2">
        <v>45813</v>
      </c>
      <c r="C763" s="36" t="s">
        <v>44</v>
      </c>
      <c r="D763">
        <v>2025</v>
      </c>
      <c r="E763" s="36" t="s">
        <v>593</v>
      </c>
      <c r="F763" s="36" t="s">
        <v>41</v>
      </c>
      <c r="G763" s="36" t="s">
        <v>612</v>
      </c>
      <c r="H763" s="36" t="s">
        <v>628</v>
      </c>
      <c r="I763" s="36" t="s">
        <v>627</v>
      </c>
      <c r="J763" s="36" t="s">
        <v>615</v>
      </c>
      <c r="K763">
        <v>19</v>
      </c>
      <c r="L763">
        <v>12000</v>
      </c>
      <c r="M763">
        <v>228000</v>
      </c>
      <c r="N763">
        <v>191520</v>
      </c>
      <c r="O763">
        <v>36480</v>
      </c>
      <c r="P763" s="11">
        <v>0.16</v>
      </c>
    </row>
    <row r="764" spans="1:16" x14ac:dyDescent="0.25">
      <c r="A764" s="36" t="s">
        <v>99</v>
      </c>
      <c r="B764" s="2">
        <v>45814</v>
      </c>
      <c r="C764" s="36" t="s">
        <v>44</v>
      </c>
      <c r="D764">
        <v>2025</v>
      </c>
      <c r="E764" s="36" t="s">
        <v>593</v>
      </c>
      <c r="F764" s="36" t="s">
        <v>41</v>
      </c>
      <c r="G764" s="36" t="s">
        <v>611</v>
      </c>
      <c r="H764" s="36" t="s">
        <v>622</v>
      </c>
      <c r="I764" s="36" t="s">
        <v>630</v>
      </c>
      <c r="J764" s="36" t="s">
        <v>615</v>
      </c>
      <c r="K764">
        <v>12</v>
      </c>
      <c r="L764">
        <v>1200</v>
      </c>
      <c r="M764">
        <v>14400</v>
      </c>
      <c r="N764">
        <v>11232</v>
      </c>
      <c r="O764">
        <v>3168</v>
      </c>
      <c r="P764" s="11">
        <v>0.22</v>
      </c>
    </row>
    <row r="765" spans="1:16" x14ac:dyDescent="0.25">
      <c r="A765" s="36" t="s">
        <v>352</v>
      </c>
      <c r="B765" s="2">
        <v>45814</v>
      </c>
      <c r="C765" s="36" t="s">
        <v>44</v>
      </c>
      <c r="D765">
        <v>2025</v>
      </c>
      <c r="E765" s="36" t="s">
        <v>593</v>
      </c>
      <c r="F765" s="36" t="s">
        <v>41</v>
      </c>
      <c r="G765" s="36" t="s">
        <v>610</v>
      </c>
      <c r="H765" s="36" t="s">
        <v>613</v>
      </c>
      <c r="I765" s="36" t="s">
        <v>623</v>
      </c>
      <c r="J765" s="36" t="s">
        <v>618</v>
      </c>
      <c r="K765">
        <v>17</v>
      </c>
      <c r="L765">
        <v>4000</v>
      </c>
      <c r="M765">
        <v>68000</v>
      </c>
      <c r="N765">
        <v>58480</v>
      </c>
      <c r="O765">
        <v>9520</v>
      </c>
      <c r="P765" s="11">
        <v>0.14000000000000001</v>
      </c>
    </row>
    <row r="766" spans="1:16" x14ac:dyDescent="0.25">
      <c r="A766" s="36" t="s">
        <v>370</v>
      </c>
      <c r="B766" s="2">
        <v>45815</v>
      </c>
      <c r="C766" s="36" t="s">
        <v>44</v>
      </c>
      <c r="D766">
        <v>2025</v>
      </c>
      <c r="E766" s="36" t="s">
        <v>593</v>
      </c>
      <c r="F766" s="36" t="s">
        <v>41</v>
      </c>
      <c r="G766" s="36" t="s">
        <v>611</v>
      </c>
      <c r="H766" s="36" t="s">
        <v>626</v>
      </c>
      <c r="I766" s="36" t="s">
        <v>631</v>
      </c>
      <c r="J766" s="36" t="s">
        <v>618</v>
      </c>
      <c r="K766">
        <v>1</v>
      </c>
      <c r="L766">
        <v>15000</v>
      </c>
      <c r="M766">
        <v>15000</v>
      </c>
      <c r="N766">
        <v>9450</v>
      </c>
      <c r="O766">
        <v>5550</v>
      </c>
      <c r="P766" s="11">
        <v>0.37</v>
      </c>
    </row>
    <row r="767" spans="1:16" x14ac:dyDescent="0.25">
      <c r="A767" s="36" t="s">
        <v>278</v>
      </c>
      <c r="B767" s="2">
        <v>45816</v>
      </c>
      <c r="C767" s="36" t="s">
        <v>44</v>
      </c>
      <c r="D767">
        <v>2025</v>
      </c>
      <c r="E767" s="36" t="s">
        <v>595</v>
      </c>
      <c r="F767" s="36" t="s">
        <v>39</v>
      </c>
      <c r="G767" s="36" t="s">
        <v>611</v>
      </c>
      <c r="H767" s="36" t="s">
        <v>625</v>
      </c>
      <c r="I767" s="36" t="s">
        <v>631</v>
      </c>
      <c r="J767" s="36" t="s">
        <v>618</v>
      </c>
      <c r="K767">
        <v>10</v>
      </c>
      <c r="L767">
        <v>1200</v>
      </c>
      <c r="M767">
        <v>12000</v>
      </c>
      <c r="N767">
        <v>7560</v>
      </c>
      <c r="O767">
        <v>4440</v>
      </c>
      <c r="P767" s="11">
        <v>0.37</v>
      </c>
    </row>
    <row r="768" spans="1:16" x14ac:dyDescent="0.25">
      <c r="A768" s="36" t="s">
        <v>499</v>
      </c>
      <c r="B768" s="2">
        <v>45816</v>
      </c>
      <c r="C768" s="36" t="s">
        <v>44</v>
      </c>
      <c r="D768">
        <v>2025</v>
      </c>
      <c r="E768" s="36" t="s">
        <v>592</v>
      </c>
      <c r="F768" s="36" t="s">
        <v>40</v>
      </c>
      <c r="G768" s="36" t="s">
        <v>612</v>
      </c>
      <c r="H768" s="36" t="s">
        <v>622</v>
      </c>
      <c r="I768" s="36" t="s">
        <v>645</v>
      </c>
      <c r="J768" s="36" t="s">
        <v>618</v>
      </c>
      <c r="K768">
        <v>12</v>
      </c>
      <c r="L768">
        <v>3500</v>
      </c>
      <c r="M768">
        <v>42000</v>
      </c>
      <c r="N768">
        <v>26040</v>
      </c>
      <c r="O768">
        <v>15960</v>
      </c>
      <c r="P768" s="11">
        <v>0.38</v>
      </c>
    </row>
    <row r="769" spans="1:16" x14ac:dyDescent="0.25">
      <c r="A769" s="36" t="s">
        <v>317</v>
      </c>
      <c r="B769" s="2">
        <v>45817</v>
      </c>
      <c r="C769" s="36" t="s">
        <v>44</v>
      </c>
      <c r="D769">
        <v>2025</v>
      </c>
      <c r="E769" s="36" t="s">
        <v>604</v>
      </c>
      <c r="F769" s="36" t="s">
        <v>41</v>
      </c>
      <c r="G769" s="36" t="s">
        <v>612</v>
      </c>
      <c r="H769" s="36" t="s">
        <v>620</v>
      </c>
      <c r="I769" s="36" t="s">
        <v>619</v>
      </c>
      <c r="J769" s="36" t="s">
        <v>615</v>
      </c>
      <c r="K769">
        <v>3</v>
      </c>
      <c r="L769">
        <v>15000</v>
      </c>
      <c r="M769">
        <v>45000</v>
      </c>
      <c r="N769">
        <v>34650</v>
      </c>
      <c r="O769">
        <v>10350</v>
      </c>
      <c r="P769" s="11">
        <v>0.23</v>
      </c>
    </row>
    <row r="770" spans="1:16" x14ac:dyDescent="0.25">
      <c r="A770" s="36" t="s">
        <v>437</v>
      </c>
      <c r="B770" s="2">
        <v>45817</v>
      </c>
      <c r="C770" s="36" t="s">
        <v>44</v>
      </c>
      <c r="D770">
        <v>2025</v>
      </c>
      <c r="E770" s="36" t="s">
        <v>603</v>
      </c>
      <c r="F770" s="36" t="s">
        <v>42</v>
      </c>
      <c r="G770" s="36" t="s">
        <v>608</v>
      </c>
      <c r="H770" s="36" t="s">
        <v>628</v>
      </c>
      <c r="I770" s="36" t="s">
        <v>630</v>
      </c>
      <c r="J770" s="36" t="s">
        <v>618</v>
      </c>
      <c r="K770">
        <v>12</v>
      </c>
      <c r="L770">
        <v>3500</v>
      </c>
      <c r="M770">
        <v>42000</v>
      </c>
      <c r="N770">
        <v>34860</v>
      </c>
      <c r="O770">
        <v>7140</v>
      </c>
      <c r="P770" s="11">
        <v>0.17</v>
      </c>
    </row>
    <row r="771" spans="1:16" x14ac:dyDescent="0.25">
      <c r="A771" s="36" t="s">
        <v>322</v>
      </c>
      <c r="B771" s="2">
        <v>45818</v>
      </c>
      <c r="C771" s="36" t="s">
        <v>44</v>
      </c>
      <c r="D771">
        <v>2025</v>
      </c>
      <c r="E771" s="36" t="s">
        <v>598</v>
      </c>
      <c r="F771" s="36" t="s">
        <v>40</v>
      </c>
      <c r="G771" s="36" t="s">
        <v>608</v>
      </c>
      <c r="H771" s="36" t="s">
        <v>620</v>
      </c>
      <c r="I771" s="36" t="s">
        <v>619</v>
      </c>
      <c r="J771" s="36" t="s">
        <v>615</v>
      </c>
      <c r="K771">
        <v>12</v>
      </c>
      <c r="L771">
        <v>9000</v>
      </c>
      <c r="M771">
        <v>108000</v>
      </c>
      <c r="N771">
        <v>93960</v>
      </c>
      <c r="O771">
        <v>14040</v>
      </c>
      <c r="P771" s="11">
        <v>0.13</v>
      </c>
    </row>
    <row r="772" spans="1:16" x14ac:dyDescent="0.25">
      <c r="A772" s="36" t="s">
        <v>381</v>
      </c>
      <c r="B772" s="2">
        <v>45818</v>
      </c>
      <c r="C772" s="36" t="s">
        <v>44</v>
      </c>
      <c r="D772">
        <v>2025</v>
      </c>
      <c r="E772" s="36" t="s">
        <v>602</v>
      </c>
      <c r="F772" s="36" t="s">
        <v>42</v>
      </c>
      <c r="G772" s="36" t="s">
        <v>609</v>
      </c>
      <c r="H772" s="36" t="s">
        <v>621</v>
      </c>
      <c r="I772" s="36" t="s">
        <v>619</v>
      </c>
      <c r="J772" s="36" t="s">
        <v>615</v>
      </c>
      <c r="K772">
        <v>11</v>
      </c>
      <c r="L772">
        <v>150</v>
      </c>
      <c r="M772">
        <v>1650</v>
      </c>
      <c r="N772">
        <v>1122</v>
      </c>
      <c r="O772">
        <v>528</v>
      </c>
      <c r="P772" s="11">
        <v>0.32</v>
      </c>
    </row>
    <row r="773" spans="1:16" x14ac:dyDescent="0.25">
      <c r="A773" s="36" t="s">
        <v>546</v>
      </c>
      <c r="B773" s="2">
        <v>45818</v>
      </c>
      <c r="C773" s="36" t="s">
        <v>44</v>
      </c>
      <c r="D773">
        <v>2025</v>
      </c>
      <c r="E773" s="36" t="s">
        <v>601</v>
      </c>
      <c r="F773" s="36" t="s">
        <v>41</v>
      </c>
      <c r="G773" s="36" t="s">
        <v>610</v>
      </c>
      <c r="H773" s="36" t="s">
        <v>629</v>
      </c>
      <c r="I773" s="36" t="s">
        <v>627</v>
      </c>
      <c r="J773" s="36" t="s">
        <v>615</v>
      </c>
      <c r="K773">
        <v>20</v>
      </c>
      <c r="L773">
        <v>20</v>
      </c>
      <c r="M773">
        <v>400</v>
      </c>
      <c r="N773">
        <v>276</v>
      </c>
      <c r="O773">
        <v>124</v>
      </c>
      <c r="P773" s="11">
        <v>0.31</v>
      </c>
    </row>
    <row r="774" spans="1:16" x14ac:dyDescent="0.25">
      <c r="A774" s="36" t="s">
        <v>121</v>
      </c>
      <c r="B774" s="2">
        <v>45819</v>
      </c>
      <c r="C774" s="36" t="s">
        <v>44</v>
      </c>
      <c r="D774">
        <v>2025</v>
      </c>
      <c r="E774" s="36" t="s">
        <v>607</v>
      </c>
      <c r="F774" s="36" t="s">
        <v>42</v>
      </c>
      <c r="G774" s="36" t="s">
        <v>610</v>
      </c>
      <c r="H774" s="36" t="s">
        <v>620</v>
      </c>
      <c r="I774" s="36" t="s">
        <v>614</v>
      </c>
      <c r="J774" s="36" t="s">
        <v>615</v>
      </c>
      <c r="K774">
        <v>12</v>
      </c>
      <c r="L774">
        <v>150</v>
      </c>
      <c r="M774">
        <v>1800</v>
      </c>
      <c r="N774">
        <v>1350</v>
      </c>
      <c r="O774">
        <v>450</v>
      </c>
      <c r="P774" s="11">
        <v>0.25</v>
      </c>
    </row>
    <row r="775" spans="1:16" x14ac:dyDescent="0.25">
      <c r="A775" s="36" t="s">
        <v>445</v>
      </c>
      <c r="B775" s="2">
        <v>45819</v>
      </c>
      <c r="C775" s="36" t="s">
        <v>44</v>
      </c>
      <c r="D775">
        <v>2025</v>
      </c>
      <c r="E775" s="36" t="s">
        <v>597</v>
      </c>
      <c r="F775" s="36" t="s">
        <v>41</v>
      </c>
      <c r="G775" s="36" t="s">
        <v>610</v>
      </c>
      <c r="H775" s="36" t="s">
        <v>616</v>
      </c>
      <c r="I775" s="36" t="s">
        <v>617</v>
      </c>
      <c r="J775" s="36" t="s">
        <v>618</v>
      </c>
      <c r="K775">
        <v>17</v>
      </c>
      <c r="L775">
        <v>4000</v>
      </c>
      <c r="M775">
        <v>68000</v>
      </c>
      <c r="N775">
        <v>42160</v>
      </c>
      <c r="O775">
        <v>25840</v>
      </c>
      <c r="P775" s="11">
        <v>0.38</v>
      </c>
    </row>
    <row r="776" spans="1:16" x14ac:dyDescent="0.25">
      <c r="A776" s="36" t="s">
        <v>68</v>
      </c>
      <c r="B776" s="2">
        <v>45821</v>
      </c>
      <c r="C776" s="36" t="s">
        <v>44</v>
      </c>
      <c r="D776">
        <v>2025</v>
      </c>
      <c r="E776" s="36" t="s">
        <v>597</v>
      </c>
      <c r="F776" s="36" t="s">
        <v>41</v>
      </c>
      <c r="G776" s="36" t="s">
        <v>609</v>
      </c>
      <c r="H776" s="36" t="s">
        <v>621</v>
      </c>
      <c r="I776" s="36" t="s">
        <v>627</v>
      </c>
      <c r="J776" s="36" t="s">
        <v>618</v>
      </c>
      <c r="K776">
        <v>3</v>
      </c>
      <c r="L776">
        <v>15000</v>
      </c>
      <c r="M776">
        <v>45000</v>
      </c>
      <c r="N776">
        <v>40050</v>
      </c>
      <c r="O776">
        <v>4950</v>
      </c>
      <c r="P776" s="11">
        <v>0.11</v>
      </c>
    </row>
    <row r="777" spans="1:16" x14ac:dyDescent="0.25">
      <c r="A777" s="36" t="s">
        <v>408</v>
      </c>
      <c r="B777" s="2">
        <v>45821</v>
      </c>
      <c r="C777" s="36" t="s">
        <v>44</v>
      </c>
      <c r="D777">
        <v>2025</v>
      </c>
      <c r="E777" s="36" t="s">
        <v>601</v>
      </c>
      <c r="F777" s="36" t="s">
        <v>41</v>
      </c>
      <c r="G777" s="36" t="s">
        <v>610</v>
      </c>
      <c r="H777" s="36" t="s">
        <v>624</v>
      </c>
      <c r="I777" s="36" t="s">
        <v>623</v>
      </c>
      <c r="J777" s="36" t="s">
        <v>618</v>
      </c>
      <c r="K777">
        <v>10</v>
      </c>
      <c r="L777">
        <v>45000</v>
      </c>
      <c r="M777">
        <v>450000</v>
      </c>
      <c r="N777">
        <v>360000</v>
      </c>
      <c r="O777">
        <v>90000</v>
      </c>
      <c r="P777" s="11">
        <v>0.2</v>
      </c>
    </row>
    <row r="778" spans="1:16" x14ac:dyDescent="0.25">
      <c r="A778" s="36" t="s">
        <v>513</v>
      </c>
      <c r="B778" s="2">
        <v>45821</v>
      </c>
      <c r="C778" s="36" t="s">
        <v>44</v>
      </c>
      <c r="D778">
        <v>2025</v>
      </c>
      <c r="E778" s="36" t="s">
        <v>607</v>
      </c>
      <c r="F778" s="36" t="s">
        <v>42</v>
      </c>
      <c r="G778" s="36" t="s">
        <v>608</v>
      </c>
      <c r="H778" s="36" t="s">
        <v>613</v>
      </c>
      <c r="I778" s="36" t="s">
        <v>645</v>
      </c>
      <c r="J778" s="36" t="s">
        <v>615</v>
      </c>
      <c r="K778">
        <v>3</v>
      </c>
      <c r="L778">
        <v>700</v>
      </c>
      <c r="M778">
        <v>2100</v>
      </c>
      <c r="N778">
        <v>1344</v>
      </c>
      <c r="O778">
        <v>756</v>
      </c>
      <c r="P778" s="11">
        <v>0.36</v>
      </c>
    </row>
    <row r="779" spans="1:16" x14ac:dyDescent="0.25">
      <c r="A779" s="36" t="s">
        <v>570</v>
      </c>
      <c r="B779" s="2">
        <v>45822</v>
      </c>
      <c r="C779" s="36" t="s">
        <v>44</v>
      </c>
      <c r="D779">
        <v>2025</v>
      </c>
      <c r="E779" s="36" t="s">
        <v>594</v>
      </c>
      <c r="F779" s="36" t="s">
        <v>39</v>
      </c>
      <c r="G779" s="36" t="s">
        <v>608</v>
      </c>
      <c r="H779" s="36" t="s">
        <v>625</v>
      </c>
      <c r="I779" s="36" t="s">
        <v>619</v>
      </c>
      <c r="J779" s="36" t="s">
        <v>618</v>
      </c>
      <c r="K779">
        <v>17</v>
      </c>
      <c r="L779">
        <v>20</v>
      </c>
      <c r="M779">
        <v>340</v>
      </c>
      <c r="N779">
        <v>204</v>
      </c>
      <c r="O779">
        <v>136</v>
      </c>
      <c r="P779" s="11">
        <v>0.4</v>
      </c>
    </row>
    <row r="780" spans="1:16" x14ac:dyDescent="0.25">
      <c r="A780" s="36" t="s">
        <v>43</v>
      </c>
      <c r="B780" s="2">
        <v>45823</v>
      </c>
      <c r="C780" s="36" t="s">
        <v>44</v>
      </c>
      <c r="D780">
        <v>2025</v>
      </c>
      <c r="E780" s="36" t="s">
        <v>592</v>
      </c>
      <c r="F780" s="36" t="s">
        <v>40</v>
      </c>
      <c r="G780" s="36" t="s">
        <v>608</v>
      </c>
      <c r="H780" s="36" t="s">
        <v>613</v>
      </c>
      <c r="I780" s="36" t="s">
        <v>614</v>
      </c>
      <c r="J780" s="36" t="s">
        <v>615</v>
      </c>
      <c r="K780">
        <v>10</v>
      </c>
      <c r="L780">
        <v>3500</v>
      </c>
      <c r="M780">
        <v>35000</v>
      </c>
      <c r="N780">
        <v>28700</v>
      </c>
      <c r="O780">
        <v>6300</v>
      </c>
      <c r="P780" s="11">
        <v>0.18</v>
      </c>
    </row>
    <row r="781" spans="1:16" x14ac:dyDescent="0.25">
      <c r="A781" s="36" t="s">
        <v>201</v>
      </c>
      <c r="B781" s="2">
        <v>45823</v>
      </c>
      <c r="C781" s="36" t="s">
        <v>44</v>
      </c>
      <c r="D781">
        <v>2025</v>
      </c>
      <c r="E781" s="36" t="s">
        <v>598</v>
      </c>
      <c r="F781" s="36" t="s">
        <v>40</v>
      </c>
      <c r="G781" s="36" t="s">
        <v>609</v>
      </c>
      <c r="H781" s="36" t="s">
        <v>629</v>
      </c>
      <c r="I781" s="36" t="s">
        <v>630</v>
      </c>
      <c r="J781" s="36" t="s">
        <v>615</v>
      </c>
      <c r="K781">
        <v>5</v>
      </c>
      <c r="L781">
        <v>150</v>
      </c>
      <c r="M781">
        <v>750</v>
      </c>
      <c r="N781">
        <v>675</v>
      </c>
      <c r="O781">
        <v>75</v>
      </c>
      <c r="P781" s="11">
        <v>0.1</v>
      </c>
    </row>
    <row r="782" spans="1:16" x14ac:dyDescent="0.25">
      <c r="A782" s="36" t="s">
        <v>459</v>
      </c>
      <c r="B782" s="2">
        <v>45823</v>
      </c>
      <c r="C782" s="36" t="s">
        <v>44</v>
      </c>
      <c r="D782">
        <v>2025</v>
      </c>
      <c r="E782" s="36" t="s">
        <v>601</v>
      </c>
      <c r="F782" s="36" t="s">
        <v>41</v>
      </c>
      <c r="G782" s="36" t="s">
        <v>610</v>
      </c>
      <c r="H782" s="36" t="s">
        <v>624</v>
      </c>
      <c r="I782" s="36" t="s">
        <v>617</v>
      </c>
      <c r="J782" s="36" t="s">
        <v>618</v>
      </c>
      <c r="K782">
        <v>15</v>
      </c>
      <c r="L782">
        <v>12000</v>
      </c>
      <c r="M782">
        <v>180000</v>
      </c>
      <c r="N782">
        <v>120600</v>
      </c>
      <c r="O782">
        <v>59400</v>
      </c>
      <c r="P782" s="11">
        <v>0.33</v>
      </c>
    </row>
    <row r="783" spans="1:16" x14ac:dyDescent="0.25">
      <c r="A783" s="36" t="s">
        <v>142</v>
      </c>
      <c r="B783" s="2">
        <v>45824</v>
      </c>
      <c r="C783" s="36" t="s">
        <v>44</v>
      </c>
      <c r="D783">
        <v>2025</v>
      </c>
      <c r="E783" s="36" t="s">
        <v>599</v>
      </c>
      <c r="F783" s="36" t="s">
        <v>39</v>
      </c>
      <c r="G783" s="36" t="s">
        <v>612</v>
      </c>
      <c r="H783" s="36" t="s">
        <v>629</v>
      </c>
      <c r="I783" s="36" t="s">
        <v>614</v>
      </c>
      <c r="J783" s="36" t="s">
        <v>618</v>
      </c>
      <c r="K783">
        <v>1</v>
      </c>
      <c r="L783">
        <v>4000</v>
      </c>
      <c r="M783">
        <v>4000</v>
      </c>
      <c r="N783">
        <v>3120</v>
      </c>
      <c r="O783">
        <v>880</v>
      </c>
      <c r="P783" s="11">
        <v>0.22</v>
      </c>
    </row>
    <row r="784" spans="1:16" x14ac:dyDescent="0.25">
      <c r="A784" s="36" t="s">
        <v>398</v>
      </c>
      <c r="B784" s="2">
        <v>45824</v>
      </c>
      <c r="C784" s="36" t="s">
        <v>44</v>
      </c>
      <c r="D784">
        <v>2025</v>
      </c>
      <c r="E784" s="36" t="s">
        <v>596</v>
      </c>
      <c r="F784" s="36" t="s">
        <v>39</v>
      </c>
      <c r="G784" s="36" t="s">
        <v>609</v>
      </c>
      <c r="H784" s="36" t="s">
        <v>613</v>
      </c>
      <c r="I784" s="36" t="s">
        <v>630</v>
      </c>
      <c r="J784" s="36" t="s">
        <v>618</v>
      </c>
      <c r="K784">
        <v>5</v>
      </c>
      <c r="L784">
        <v>55000</v>
      </c>
      <c r="M784">
        <v>275000</v>
      </c>
      <c r="N784">
        <v>203500</v>
      </c>
      <c r="O784">
        <v>71500</v>
      </c>
      <c r="P784" s="11">
        <v>0.26</v>
      </c>
    </row>
    <row r="785" spans="1:16" x14ac:dyDescent="0.25">
      <c r="A785" s="36" t="s">
        <v>587</v>
      </c>
      <c r="B785" s="2">
        <v>45824</v>
      </c>
      <c r="C785" s="36" t="s">
        <v>44</v>
      </c>
      <c r="D785">
        <v>2025</v>
      </c>
      <c r="E785" s="36" t="s">
        <v>595</v>
      </c>
      <c r="F785" s="36" t="s">
        <v>39</v>
      </c>
      <c r="G785" s="36" t="s">
        <v>612</v>
      </c>
      <c r="H785" s="36" t="s">
        <v>628</v>
      </c>
      <c r="I785" s="36" t="s">
        <v>617</v>
      </c>
      <c r="J785" s="36" t="s">
        <v>618</v>
      </c>
      <c r="K785">
        <v>1</v>
      </c>
      <c r="L785">
        <v>15000</v>
      </c>
      <c r="M785">
        <v>15000</v>
      </c>
      <c r="N785">
        <v>13500</v>
      </c>
      <c r="O785">
        <v>1500</v>
      </c>
      <c r="P785" s="11">
        <v>0.1</v>
      </c>
    </row>
    <row r="786" spans="1:16" x14ac:dyDescent="0.25">
      <c r="A786" s="36" t="s">
        <v>330</v>
      </c>
      <c r="B786" s="2">
        <v>45825</v>
      </c>
      <c r="C786" s="36" t="s">
        <v>44</v>
      </c>
      <c r="D786">
        <v>2025</v>
      </c>
      <c r="E786" s="36" t="s">
        <v>598</v>
      </c>
      <c r="F786" s="36" t="s">
        <v>40</v>
      </c>
      <c r="G786" s="36" t="s">
        <v>610</v>
      </c>
      <c r="H786" s="36" t="s">
        <v>628</v>
      </c>
      <c r="I786" s="36" t="s">
        <v>631</v>
      </c>
      <c r="J786" s="36" t="s">
        <v>618</v>
      </c>
      <c r="K786">
        <v>20</v>
      </c>
      <c r="L786">
        <v>150</v>
      </c>
      <c r="M786">
        <v>3000</v>
      </c>
      <c r="N786">
        <v>2520</v>
      </c>
      <c r="O786">
        <v>480</v>
      </c>
      <c r="P786" s="11">
        <v>0.16</v>
      </c>
    </row>
    <row r="787" spans="1:16" x14ac:dyDescent="0.25">
      <c r="A787" s="36" t="s">
        <v>336</v>
      </c>
      <c r="B787" s="2">
        <v>45825</v>
      </c>
      <c r="C787" s="36" t="s">
        <v>44</v>
      </c>
      <c r="D787">
        <v>2025</v>
      </c>
      <c r="E787" s="36" t="s">
        <v>592</v>
      </c>
      <c r="F787" s="36" t="s">
        <v>40</v>
      </c>
      <c r="G787" s="36" t="s">
        <v>610</v>
      </c>
      <c r="H787" s="36" t="s">
        <v>620</v>
      </c>
      <c r="I787" s="36" t="s">
        <v>623</v>
      </c>
      <c r="J787" s="36" t="s">
        <v>618</v>
      </c>
      <c r="K787">
        <v>16</v>
      </c>
      <c r="L787">
        <v>150</v>
      </c>
      <c r="M787">
        <v>2400</v>
      </c>
      <c r="N787">
        <v>1584</v>
      </c>
      <c r="O787">
        <v>816</v>
      </c>
      <c r="P787" s="11">
        <v>0.34</v>
      </c>
    </row>
    <row r="788" spans="1:16" x14ac:dyDescent="0.25">
      <c r="A788" s="36" t="s">
        <v>541</v>
      </c>
      <c r="B788" s="2">
        <v>45825</v>
      </c>
      <c r="C788" s="36" t="s">
        <v>44</v>
      </c>
      <c r="D788">
        <v>2025</v>
      </c>
      <c r="E788" s="36" t="s">
        <v>603</v>
      </c>
      <c r="F788" s="36" t="s">
        <v>42</v>
      </c>
      <c r="G788" s="36" t="s">
        <v>611</v>
      </c>
      <c r="H788" s="36" t="s">
        <v>622</v>
      </c>
      <c r="I788" s="36" t="s">
        <v>619</v>
      </c>
      <c r="J788" s="36" t="s">
        <v>618</v>
      </c>
      <c r="K788">
        <v>15</v>
      </c>
      <c r="L788">
        <v>700</v>
      </c>
      <c r="M788">
        <v>10500</v>
      </c>
      <c r="N788">
        <v>8820</v>
      </c>
      <c r="O788">
        <v>1680</v>
      </c>
      <c r="P788" s="11">
        <v>0.16</v>
      </c>
    </row>
    <row r="789" spans="1:16" x14ac:dyDescent="0.25">
      <c r="A789" s="36" t="s">
        <v>210</v>
      </c>
      <c r="B789" s="2">
        <v>45826</v>
      </c>
      <c r="C789" s="36" t="s">
        <v>44</v>
      </c>
      <c r="D789">
        <v>2025</v>
      </c>
      <c r="E789" s="36" t="s">
        <v>604</v>
      </c>
      <c r="F789" s="36" t="s">
        <v>41</v>
      </c>
      <c r="G789" s="36" t="s">
        <v>611</v>
      </c>
      <c r="H789" s="36" t="s">
        <v>621</v>
      </c>
      <c r="I789" s="36" t="s">
        <v>630</v>
      </c>
      <c r="J789" s="36" t="s">
        <v>618</v>
      </c>
      <c r="K789">
        <v>20</v>
      </c>
      <c r="L789">
        <v>700</v>
      </c>
      <c r="M789">
        <v>14000</v>
      </c>
      <c r="N789">
        <v>12320</v>
      </c>
      <c r="O789">
        <v>1680</v>
      </c>
      <c r="P789" s="11">
        <v>0.12</v>
      </c>
    </row>
    <row r="790" spans="1:16" x14ac:dyDescent="0.25">
      <c r="A790" s="36" t="s">
        <v>460</v>
      </c>
      <c r="B790" s="2">
        <v>45826</v>
      </c>
      <c r="C790" s="36" t="s">
        <v>44</v>
      </c>
      <c r="D790">
        <v>2025</v>
      </c>
      <c r="E790" s="36" t="s">
        <v>603</v>
      </c>
      <c r="F790" s="36" t="s">
        <v>42</v>
      </c>
      <c r="G790" s="36" t="s">
        <v>612</v>
      </c>
      <c r="H790" s="36" t="s">
        <v>613</v>
      </c>
      <c r="I790" s="36" t="s">
        <v>645</v>
      </c>
      <c r="J790" s="36" t="s">
        <v>615</v>
      </c>
      <c r="K790">
        <v>12</v>
      </c>
      <c r="L790">
        <v>25000</v>
      </c>
      <c r="M790">
        <v>300000</v>
      </c>
      <c r="N790">
        <v>204000</v>
      </c>
      <c r="O790">
        <v>96000</v>
      </c>
      <c r="P790" s="11">
        <v>0.32</v>
      </c>
    </row>
    <row r="791" spans="1:16" x14ac:dyDescent="0.25">
      <c r="A791" s="36" t="s">
        <v>458</v>
      </c>
      <c r="B791" s="2">
        <v>45827</v>
      </c>
      <c r="C791" s="36" t="s">
        <v>44</v>
      </c>
      <c r="D791">
        <v>2025</v>
      </c>
      <c r="E791" s="36" t="s">
        <v>604</v>
      </c>
      <c r="F791" s="36" t="s">
        <v>41</v>
      </c>
      <c r="G791" s="36" t="s">
        <v>608</v>
      </c>
      <c r="H791" s="36" t="s">
        <v>629</v>
      </c>
      <c r="I791" s="36" t="s">
        <v>627</v>
      </c>
      <c r="J791" s="36" t="s">
        <v>618</v>
      </c>
      <c r="K791">
        <v>18</v>
      </c>
      <c r="L791">
        <v>15000</v>
      </c>
      <c r="M791">
        <v>270000</v>
      </c>
      <c r="N791">
        <v>216000</v>
      </c>
      <c r="O791">
        <v>54000</v>
      </c>
      <c r="P791" s="11">
        <v>0.2</v>
      </c>
    </row>
    <row r="792" spans="1:16" x14ac:dyDescent="0.25">
      <c r="A792" s="36" t="s">
        <v>93</v>
      </c>
      <c r="B792" s="2">
        <v>45831</v>
      </c>
      <c r="C792" s="36" t="s">
        <v>44</v>
      </c>
      <c r="D792">
        <v>2025</v>
      </c>
      <c r="E792" s="36" t="s">
        <v>604</v>
      </c>
      <c r="F792" s="36" t="s">
        <v>41</v>
      </c>
      <c r="G792" s="36" t="s">
        <v>608</v>
      </c>
      <c r="H792" s="36" t="s">
        <v>620</v>
      </c>
      <c r="I792" s="36" t="s">
        <v>614</v>
      </c>
      <c r="J792" s="36" t="s">
        <v>618</v>
      </c>
      <c r="K792">
        <v>12</v>
      </c>
      <c r="L792">
        <v>25000</v>
      </c>
      <c r="M792">
        <v>300000</v>
      </c>
      <c r="N792">
        <v>186000</v>
      </c>
      <c r="O792">
        <v>114000</v>
      </c>
      <c r="P792" s="11">
        <v>0.38</v>
      </c>
    </row>
    <row r="793" spans="1:16" x14ac:dyDescent="0.25">
      <c r="A793" s="36" t="s">
        <v>133</v>
      </c>
      <c r="B793" s="2">
        <v>45831</v>
      </c>
      <c r="C793" s="36" t="s">
        <v>44</v>
      </c>
      <c r="D793">
        <v>2025</v>
      </c>
      <c r="E793" s="36" t="s">
        <v>592</v>
      </c>
      <c r="F793" s="36" t="s">
        <v>40</v>
      </c>
      <c r="G793" s="36" t="s">
        <v>608</v>
      </c>
      <c r="H793" s="36" t="s">
        <v>620</v>
      </c>
      <c r="I793" s="36" t="s">
        <v>614</v>
      </c>
      <c r="J793" s="36" t="s">
        <v>615</v>
      </c>
      <c r="K793">
        <v>18</v>
      </c>
      <c r="L793">
        <v>150</v>
      </c>
      <c r="M793">
        <v>2700</v>
      </c>
      <c r="N793">
        <v>1971</v>
      </c>
      <c r="O793">
        <v>729</v>
      </c>
      <c r="P793" s="11">
        <v>0.27</v>
      </c>
    </row>
    <row r="794" spans="1:16" x14ac:dyDescent="0.25">
      <c r="A794" s="36" t="s">
        <v>217</v>
      </c>
      <c r="B794" s="2">
        <v>45831</v>
      </c>
      <c r="C794" s="36" t="s">
        <v>44</v>
      </c>
      <c r="D794">
        <v>2025</v>
      </c>
      <c r="E794" s="36" t="s">
        <v>605</v>
      </c>
      <c r="F794" s="36" t="s">
        <v>40</v>
      </c>
      <c r="G794" s="36" t="s">
        <v>612</v>
      </c>
      <c r="H794" s="36" t="s">
        <v>620</v>
      </c>
      <c r="I794" s="36" t="s">
        <v>630</v>
      </c>
      <c r="J794" s="36" t="s">
        <v>618</v>
      </c>
      <c r="K794">
        <v>20</v>
      </c>
      <c r="L794">
        <v>55000</v>
      </c>
      <c r="M794">
        <v>1100000</v>
      </c>
      <c r="N794">
        <v>704000</v>
      </c>
      <c r="O794">
        <v>396000</v>
      </c>
      <c r="P794" s="11">
        <v>0.36</v>
      </c>
    </row>
    <row r="795" spans="1:16" x14ac:dyDescent="0.25">
      <c r="A795" s="36" t="s">
        <v>373</v>
      </c>
      <c r="B795" s="2">
        <v>45831</v>
      </c>
      <c r="C795" s="36" t="s">
        <v>44</v>
      </c>
      <c r="D795">
        <v>2025</v>
      </c>
      <c r="E795" s="36" t="s">
        <v>601</v>
      </c>
      <c r="F795" s="36" t="s">
        <v>41</v>
      </c>
      <c r="G795" s="36" t="s">
        <v>608</v>
      </c>
      <c r="H795" s="36" t="s">
        <v>620</v>
      </c>
      <c r="I795" s="36" t="s">
        <v>623</v>
      </c>
      <c r="J795" s="36" t="s">
        <v>618</v>
      </c>
      <c r="K795">
        <v>1</v>
      </c>
      <c r="L795">
        <v>3500</v>
      </c>
      <c r="M795">
        <v>3500</v>
      </c>
      <c r="N795">
        <v>2450</v>
      </c>
      <c r="O795">
        <v>1050</v>
      </c>
      <c r="P795" s="11">
        <v>0.3</v>
      </c>
    </row>
    <row r="796" spans="1:16" x14ac:dyDescent="0.25">
      <c r="A796" s="36" t="s">
        <v>273</v>
      </c>
      <c r="B796" s="2">
        <v>45832</v>
      </c>
      <c r="C796" s="36" t="s">
        <v>44</v>
      </c>
      <c r="D796">
        <v>2025</v>
      </c>
      <c r="E796" s="36" t="s">
        <v>605</v>
      </c>
      <c r="F796" s="36" t="s">
        <v>40</v>
      </c>
      <c r="G796" s="36" t="s">
        <v>609</v>
      </c>
      <c r="H796" s="36" t="s">
        <v>613</v>
      </c>
      <c r="I796" s="36" t="s">
        <v>614</v>
      </c>
      <c r="J796" s="36" t="s">
        <v>615</v>
      </c>
      <c r="K796">
        <v>19</v>
      </c>
      <c r="L796">
        <v>12000</v>
      </c>
      <c r="M796">
        <v>228000</v>
      </c>
      <c r="N796">
        <v>173280</v>
      </c>
      <c r="O796">
        <v>54720</v>
      </c>
      <c r="P796" s="11">
        <v>0.24</v>
      </c>
    </row>
    <row r="797" spans="1:16" x14ac:dyDescent="0.25">
      <c r="A797" s="36" t="s">
        <v>109</v>
      </c>
      <c r="B797" s="2">
        <v>45833</v>
      </c>
      <c r="C797" s="36" t="s">
        <v>44</v>
      </c>
      <c r="D797">
        <v>2025</v>
      </c>
      <c r="E797" s="36" t="s">
        <v>600</v>
      </c>
      <c r="F797" s="36" t="s">
        <v>39</v>
      </c>
      <c r="G797" s="36" t="s">
        <v>608</v>
      </c>
      <c r="H797" s="36" t="s">
        <v>620</v>
      </c>
      <c r="I797" s="36" t="s">
        <v>617</v>
      </c>
      <c r="J797" s="36" t="s">
        <v>615</v>
      </c>
      <c r="K797">
        <v>13</v>
      </c>
      <c r="L797">
        <v>4000</v>
      </c>
      <c r="M797">
        <v>52000</v>
      </c>
      <c r="N797">
        <v>37960</v>
      </c>
      <c r="O797">
        <v>14040</v>
      </c>
      <c r="P797" s="11">
        <v>0.27</v>
      </c>
    </row>
    <row r="798" spans="1:16" x14ac:dyDescent="0.25">
      <c r="A798" s="36" t="s">
        <v>163</v>
      </c>
      <c r="B798" s="2">
        <v>45833</v>
      </c>
      <c r="C798" s="36" t="s">
        <v>44</v>
      </c>
      <c r="D798">
        <v>2025</v>
      </c>
      <c r="E798" s="36" t="s">
        <v>604</v>
      </c>
      <c r="F798" s="36" t="s">
        <v>41</v>
      </c>
      <c r="G798" s="36" t="s">
        <v>610</v>
      </c>
      <c r="H798" s="36" t="s">
        <v>622</v>
      </c>
      <c r="I798" s="36" t="s">
        <v>614</v>
      </c>
      <c r="J798" s="36" t="s">
        <v>618</v>
      </c>
      <c r="K798">
        <v>18</v>
      </c>
      <c r="L798">
        <v>8000</v>
      </c>
      <c r="M798">
        <v>144000</v>
      </c>
      <c r="N798">
        <v>113760</v>
      </c>
      <c r="O798">
        <v>30240</v>
      </c>
      <c r="P798" s="11">
        <v>0.21</v>
      </c>
    </row>
    <row r="799" spans="1:16" x14ac:dyDescent="0.25">
      <c r="A799" s="36" t="s">
        <v>356</v>
      </c>
      <c r="B799" s="2">
        <v>45833</v>
      </c>
      <c r="C799" s="36" t="s">
        <v>44</v>
      </c>
      <c r="D799">
        <v>2025</v>
      </c>
      <c r="E799" s="36" t="s">
        <v>596</v>
      </c>
      <c r="F799" s="36" t="s">
        <v>39</v>
      </c>
      <c r="G799" s="36" t="s">
        <v>611</v>
      </c>
      <c r="H799" s="36" t="s">
        <v>621</v>
      </c>
      <c r="I799" s="36" t="s">
        <v>630</v>
      </c>
      <c r="J799" s="36" t="s">
        <v>615</v>
      </c>
      <c r="K799">
        <v>13</v>
      </c>
      <c r="L799">
        <v>55000</v>
      </c>
      <c r="M799">
        <v>715000</v>
      </c>
      <c r="N799">
        <v>643500</v>
      </c>
      <c r="O799">
        <v>71500</v>
      </c>
      <c r="P799" s="11">
        <v>0.1</v>
      </c>
    </row>
    <row r="800" spans="1:16" x14ac:dyDescent="0.25">
      <c r="A800" s="36" t="s">
        <v>407</v>
      </c>
      <c r="B800" s="2">
        <v>45833</v>
      </c>
      <c r="C800" s="36" t="s">
        <v>44</v>
      </c>
      <c r="D800">
        <v>2025</v>
      </c>
      <c r="E800" s="36" t="s">
        <v>592</v>
      </c>
      <c r="F800" s="36" t="s">
        <v>40</v>
      </c>
      <c r="G800" s="36" t="s">
        <v>608</v>
      </c>
      <c r="H800" s="36" t="s">
        <v>624</v>
      </c>
      <c r="I800" s="36" t="s">
        <v>645</v>
      </c>
      <c r="J800" s="36" t="s">
        <v>618</v>
      </c>
      <c r="K800">
        <v>13</v>
      </c>
      <c r="L800">
        <v>3500</v>
      </c>
      <c r="M800">
        <v>45500</v>
      </c>
      <c r="N800">
        <v>31850</v>
      </c>
      <c r="O800">
        <v>13650</v>
      </c>
      <c r="P800" s="11">
        <v>0.3</v>
      </c>
    </row>
    <row r="801" spans="1:16" x14ac:dyDescent="0.25">
      <c r="A801" s="36" t="s">
        <v>486</v>
      </c>
      <c r="B801" s="2">
        <v>45834</v>
      </c>
      <c r="C801" s="36" t="s">
        <v>44</v>
      </c>
      <c r="D801">
        <v>2025</v>
      </c>
      <c r="E801" s="36" t="s">
        <v>598</v>
      </c>
      <c r="F801" s="36" t="s">
        <v>40</v>
      </c>
      <c r="G801" s="36" t="s">
        <v>610</v>
      </c>
      <c r="H801" s="36" t="s">
        <v>620</v>
      </c>
      <c r="I801" s="36" t="s">
        <v>630</v>
      </c>
      <c r="J801" s="36" t="s">
        <v>615</v>
      </c>
      <c r="K801">
        <v>13</v>
      </c>
      <c r="L801">
        <v>9000</v>
      </c>
      <c r="M801">
        <v>117000</v>
      </c>
      <c r="N801">
        <v>83070</v>
      </c>
      <c r="O801">
        <v>33930</v>
      </c>
      <c r="P801" s="11">
        <v>0.28999999999999998</v>
      </c>
    </row>
    <row r="802" spans="1:16" x14ac:dyDescent="0.25">
      <c r="A802" s="36" t="s">
        <v>390</v>
      </c>
      <c r="B802" s="2">
        <v>45836</v>
      </c>
      <c r="C802" s="36" t="s">
        <v>44</v>
      </c>
      <c r="D802">
        <v>2025</v>
      </c>
      <c r="E802" s="36" t="s">
        <v>597</v>
      </c>
      <c r="F802" s="36" t="s">
        <v>41</v>
      </c>
      <c r="G802" s="36" t="s">
        <v>609</v>
      </c>
      <c r="H802" s="36" t="s">
        <v>622</v>
      </c>
      <c r="I802" s="36" t="s">
        <v>619</v>
      </c>
      <c r="J802" s="36" t="s">
        <v>615</v>
      </c>
      <c r="K802">
        <v>10</v>
      </c>
      <c r="L802">
        <v>7000</v>
      </c>
      <c r="M802">
        <v>70000</v>
      </c>
      <c r="N802">
        <v>46200</v>
      </c>
      <c r="O802">
        <v>23800</v>
      </c>
      <c r="P802" s="11">
        <v>0.34</v>
      </c>
    </row>
    <row r="803" spans="1:16" x14ac:dyDescent="0.25">
      <c r="A803" s="36" t="s">
        <v>82</v>
      </c>
      <c r="B803" s="2">
        <v>45839</v>
      </c>
      <c r="C803" s="36" t="s">
        <v>83</v>
      </c>
      <c r="D803">
        <v>2025</v>
      </c>
      <c r="E803" s="36" t="s">
        <v>600</v>
      </c>
      <c r="F803" s="36" t="s">
        <v>39</v>
      </c>
      <c r="G803" s="36" t="s">
        <v>608</v>
      </c>
      <c r="H803" s="36" t="s">
        <v>613</v>
      </c>
      <c r="I803" s="36" t="s">
        <v>623</v>
      </c>
      <c r="J803" s="36" t="s">
        <v>618</v>
      </c>
      <c r="K803">
        <v>6</v>
      </c>
      <c r="L803">
        <v>1200</v>
      </c>
      <c r="M803">
        <v>7200</v>
      </c>
      <c r="N803">
        <v>5688</v>
      </c>
      <c r="O803">
        <v>1512</v>
      </c>
      <c r="P803" s="11">
        <v>0.21</v>
      </c>
    </row>
    <row r="804" spans="1:16" x14ac:dyDescent="0.25">
      <c r="A804" s="36" t="s">
        <v>302</v>
      </c>
      <c r="B804" s="2">
        <v>45839</v>
      </c>
      <c r="C804" s="36" t="s">
        <v>83</v>
      </c>
      <c r="D804">
        <v>2025</v>
      </c>
      <c r="E804" s="36" t="s">
        <v>607</v>
      </c>
      <c r="F804" s="36" t="s">
        <v>42</v>
      </c>
      <c r="G804" s="36" t="s">
        <v>609</v>
      </c>
      <c r="H804" s="36" t="s">
        <v>621</v>
      </c>
      <c r="I804" s="36" t="s">
        <v>630</v>
      </c>
      <c r="J804" s="36" t="s">
        <v>615</v>
      </c>
      <c r="K804">
        <v>13</v>
      </c>
      <c r="L804">
        <v>20</v>
      </c>
      <c r="M804">
        <v>260</v>
      </c>
      <c r="N804">
        <v>166.4</v>
      </c>
      <c r="O804">
        <v>93.6</v>
      </c>
      <c r="P804" s="11">
        <v>0.36</v>
      </c>
    </row>
    <row r="805" spans="1:16" x14ac:dyDescent="0.25">
      <c r="A805" s="36" t="s">
        <v>547</v>
      </c>
      <c r="B805" s="2">
        <v>45839</v>
      </c>
      <c r="C805" s="36" t="s">
        <v>83</v>
      </c>
      <c r="D805">
        <v>2025</v>
      </c>
      <c r="E805" s="36" t="s">
        <v>597</v>
      </c>
      <c r="F805" s="36" t="s">
        <v>41</v>
      </c>
      <c r="G805" s="36" t="s">
        <v>611</v>
      </c>
      <c r="H805" s="36" t="s">
        <v>624</v>
      </c>
      <c r="I805" s="36" t="s">
        <v>645</v>
      </c>
      <c r="J805" s="36" t="s">
        <v>618</v>
      </c>
      <c r="K805">
        <v>12</v>
      </c>
      <c r="L805">
        <v>4000</v>
      </c>
      <c r="M805">
        <v>48000</v>
      </c>
      <c r="N805">
        <v>34560</v>
      </c>
      <c r="O805">
        <v>13440</v>
      </c>
      <c r="P805" s="11">
        <v>0.28000000000000003</v>
      </c>
    </row>
    <row r="806" spans="1:16" x14ac:dyDescent="0.25">
      <c r="A806" s="36" t="s">
        <v>555</v>
      </c>
      <c r="B806" s="2">
        <v>45840</v>
      </c>
      <c r="C806" s="36" t="s">
        <v>83</v>
      </c>
      <c r="D806">
        <v>2025</v>
      </c>
      <c r="E806" s="36" t="s">
        <v>594</v>
      </c>
      <c r="F806" s="36" t="s">
        <v>39</v>
      </c>
      <c r="G806" s="36" t="s">
        <v>609</v>
      </c>
      <c r="H806" s="36" t="s">
        <v>616</v>
      </c>
      <c r="I806" s="36" t="s">
        <v>623</v>
      </c>
      <c r="J806" s="36" t="s">
        <v>618</v>
      </c>
      <c r="K806">
        <v>5</v>
      </c>
      <c r="L806">
        <v>3500</v>
      </c>
      <c r="M806">
        <v>17500</v>
      </c>
      <c r="N806">
        <v>15225</v>
      </c>
      <c r="O806">
        <v>2275</v>
      </c>
      <c r="P806" s="11">
        <v>0.13</v>
      </c>
    </row>
    <row r="807" spans="1:16" x14ac:dyDescent="0.25">
      <c r="A807" s="36" t="s">
        <v>572</v>
      </c>
      <c r="B807" s="2">
        <v>45840</v>
      </c>
      <c r="C807" s="36" t="s">
        <v>83</v>
      </c>
      <c r="D807">
        <v>2025</v>
      </c>
      <c r="E807" s="36" t="s">
        <v>605</v>
      </c>
      <c r="F807" s="36" t="s">
        <v>40</v>
      </c>
      <c r="G807" s="36" t="s">
        <v>609</v>
      </c>
      <c r="H807" s="36" t="s">
        <v>616</v>
      </c>
      <c r="I807" s="36" t="s">
        <v>617</v>
      </c>
      <c r="J807" s="36" t="s">
        <v>618</v>
      </c>
      <c r="K807">
        <v>17</v>
      </c>
      <c r="L807">
        <v>50</v>
      </c>
      <c r="M807">
        <v>850</v>
      </c>
      <c r="N807">
        <v>680</v>
      </c>
      <c r="O807">
        <v>170</v>
      </c>
      <c r="P807" s="11">
        <v>0.2</v>
      </c>
    </row>
    <row r="808" spans="1:16" x14ac:dyDescent="0.25">
      <c r="A808" s="36" t="s">
        <v>160</v>
      </c>
      <c r="B808" s="2">
        <v>45843</v>
      </c>
      <c r="C808" s="36" t="s">
        <v>83</v>
      </c>
      <c r="D808">
        <v>2025</v>
      </c>
      <c r="E808" s="36" t="s">
        <v>599</v>
      </c>
      <c r="F808" s="36" t="s">
        <v>39</v>
      </c>
      <c r="G808" s="36" t="s">
        <v>610</v>
      </c>
      <c r="H808" s="36" t="s">
        <v>620</v>
      </c>
      <c r="I808" s="36" t="s">
        <v>645</v>
      </c>
      <c r="J808" s="36" t="s">
        <v>618</v>
      </c>
      <c r="K808">
        <v>13</v>
      </c>
      <c r="L808">
        <v>9000</v>
      </c>
      <c r="M808">
        <v>117000</v>
      </c>
      <c r="N808">
        <v>70200</v>
      </c>
      <c r="O808">
        <v>46800</v>
      </c>
      <c r="P808" s="11">
        <v>0.4</v>
      </c>
    </row>
    <row r="809" spans="1:16" x14ac:dyDescent="0.25">
      <c r="A809" s="36" t="s">
        <v>354</v>
      </c>
      <c r="B809" s="2">
        <v>45843</v>
      </c>
      <c r="C809" s="36" t="s">
        <v>83</v>
      </c>
      <c r="D809">
        <v>2025</v>
      </c>
      <c r="E809" s="36" t="s">
        <v>594</v>
      </c>
      <c r="F809" s="36" t="s">
        <v>39</v>
      </c>
      <c r="G809" s="36" t="s">
        <v>610</v>
      </c>
      <c r="H809" s="36" t="s">
        <v>628</v>
      </c>
      <c r="I809" s="36" t="s">
        <v>631</v>
      </c>
      <c r="J809" s="36" t="s">
        <v>618</v>
      </c>
      <c r="K809">
        <v>3</v>
      </c>
      <c r="L809">
        <v>4000</v>
      </c>
      <c r="M809">
        <v>12000</v>
      </c>
      <c r="N809">
        <v>7320</v>
      </c>
      <c r="O809">
        <v>4680</v>
      </c>
      <c r="P809" s="11">
        <v>0.39</v>
      </c>
    </row>
    <row r="810" spans="1:16" x14ac:dyDescent="0.25">
      <c r="A810" s="36" t="s">
        <v>399</v>
      </c>
      <c r="B810" s="2">
        <v>45843</v>
      </c>
      <c r="C810" s="36" t="s">
        <v>83</v>
      </c>
      <c r="D810">
        <v>2025</v>
      </c>
      <c r="E810" s="36" t="s">
        <v>596</v>
      </c>
      <c r="F810" s="36" t="s">
        <v>39</v>
      </c>
      <c r="G810" s="36" t="s">
        <v>609</v>
      </c>
      <c r="H810" s="36" t="s">
        <v>628</v>
      </c>
      <c r="I810" s="36" t="s">
        <v>619</v>
      </c>
      <c r="J810" s="36" t="s">
        <v>615</v>
      </c>
      <c r="K810">
        <v>2</v>
      </c>
      <c r="L810">
        <v>7000</v>
      </c>
      <c r="M810">
        <v>14000</v>
      </c>
      <c r="N810">
        <v>9380</v>
      </c>
      <c r="O810">
        <v>4620</v>
      </c>
      <c r="P810" s="11">
        <v>0.33</v>
      </c>
    </row>
    <row r="811" spans="1:16" x14ac:dyDescent="0.25">
      <c r="A811" s="36" t="s">
        <v>449</v>
      </c>
      <c r="B811" s="2">
        <v>45846</v>
      </c>
      <c r="C811" s="36" t="s">
        <v>83</v>
      </c>
      <c r="D811">
        <v>2025</v>
      </c>
      <c r="E811" s="36" t="s">
        <v>594</v>
      </c>
      <c r="F811" s="36" t="s">
        <v>39</v>
      </c>
      <c r="G811" s="36" t="s">
        <v>610</v>
      </c>
      <c r="H811" s="36" t="s">
        <v>626</v>
      </c>
      <c r="I811" s="36" t="s">
        <v>645</v>
      </c>
      <c r="J811" s="36" t="s">
        <v>618</v>
      </c>
      <c r="K811">
        <v>2</v>
      </c>
      <c r="L811">
        <v>20</v>
      </c>
      <c r="M811">
        <v>40</v>
      </c>
      <c r="N811">
        <v>27.2</v>
      </c>
      <c r="O811">
        <v>12.8</v>
      </c>
      <c r="P811" s="11">
        <v>0.32</v>
      </c>
    </row>
    <row r="812" spans="1:16" x14ac:dyDescent="0.25">
      <c r="A812" s="36" t="s">
        <v>253</v>
      </c>
      <c r="B812" s="2">
        <v>45847</v>
      </c>
      <c r="C812" s="36" t="s">
        <v>83</v>
      </c>
      <c r="D812">
        <v>2025</v>
      </c>
      <c r="E812" s="36" t="s">
        <v>601</v>
      </c>
      <c r="F812" s="36" t="s">
        <v>41</v>
      </c>
      <c r="G812" s="36" t="s">
        <v>610</v>
      </c>
      <c r="H812" s="36" t="s">
        <v>620</v>
      </c>
      <c r="I812" s="36" t="s">
        <v>619</v>
      </c>
      <c r="J812" s="36" t="s">
        <v>615</v>
      </c>
      <c r="K812">
        <v>1</v>
      </c>
      <c r="L812">
        <v>4000</v>
      </c>
      <c r="M812">
        <v>4000</v>
      </c>
      <c r="N812">
        <v>3600</v>
      </c>
      <c r="O812">
        <v>400</v>
      </c>
      <c r="P812" s="11">
        <v>0.1</v>
      </c>
    </row>
    <row r="813" spans="1:16" x14ac:dyDescent="0.25">
      <c r="A813" s="36" t="s">
        <v>527</v>
      </c>
      <c r="B813" s="2">
        <v>45847</v>
      </c>
      <c r="C813" s="36" t="s">
        <v>83</v>
      </c>
      <c r="D813">
        <v>2025</v>
      </c>
      <c r="E813" s="36" t="s">
        <v>605</v>
      </c>
      <c r="F813" s="36" t="s">
        <v>40</v>
      </c>
      <c r="G813" s="36" t="s">
        <v>608</v>
      </c>
      <c r="H813" s="36" t="s">
        <v>616</v>
      </c>
      <c r="I813" s="36" t="s">
        <v>627</v>
      </c>
      <c r="J813" s="36" t="s">
        <v>618</v>
      </c>
      <c r="K813">
        <v>2</v>
      </c>
      <c r="L813">
        <v>3500</v>
      </c>
      <c r="M813">
        <v>7000</v>
      </c>
      <c r="N813">
        <v>5600</v>
      </c>
      <c r="O813">
        <v>1400</v>
      </c>
      <c r="P813" s="11">
        <v>0.2</v>
      </c>
    </row>
    <row r="814" spans="1:16" x14ac:dyDescent="0.25">
      <c r="A814" s="36" t="s">
        <v>535</v>
      </c>
      <c r="B814" s="2">
        <v>45849</v>
      </c>
      <c r="C814" s="36" t="s">
        <v>83</v>
      </c>
      <c r="D814">
        <v>2025</v>
      </c>
      <c r="E814" s="36" t="s">
        <v>602</v>
      </c>
      <c r="F814" s="36" t="s">
        <v>42</v>
      </c>
      <c r="G814" s="36" t="s">
        <v>610</v>
      </c>
      <c r="H814" s="36" t="s">
        <v>624</v>
      </c>
      <c r="I814" s="36" t="s">
        <v>617</v>
      </c>
      <c r="J814" s="36" t="s">
        <v>615</v>
      </c>
      <c r="K814">
        <v>14</v>
      </c>
      <c r="L814">
        <v>55000</v>
      </c>
      <c r="M814">
        <v>770000</v>
      </c>
      <c r="N814">
        <v>654500</v>
      </c>
      <c r="O814">
        <v>115500</v>
      </c>
      <c r="P814" s="11">
        <v>0.15</v>
      </c>
    </row>
    <row r="815" spans="1:16" x14ac:dyDescent="0.25">
      <c r="A815" s="36" t="s">
        <v>576</v>
      </c>
      <c r="B815" s="2">
        <v>45849</v>
      </c>
      <c r="C815" s="36" t="s">
        <v>83</v>
      </c>
      <c r="D815">
        <v>2025</v>
      </c>
      <c r="E815" s="36" t="s">
        <v>592</v>
      </c>
      <c r="F815" s="36" t="s">
        <v>40</v>
      </c>
      <c r="G815" s="36" t="s">
        <v>611</v>
      </c>
      <c r="H815" s="36" t="s">
        <v>621</v>
      </c>
      <c r="I815" s="36" t="s">
        <v>630</v>
      </c>
      <c r="J815" s="36" t="s">
        <v>618</v>
      </c>
      <c r="K815">
        <v>8</v>
      </c>
      <c r="L815">
        <v>4000</v>
      </c>
      <c r="M815">
        <v>32000</v>
      </c>
      <c r="N815">
        <v>24960</v>
      </c>
      <c r="O815">
        <v>7040</v>
      </c>
      <c r="P815" s="11">
        <v>0.22</v>
      </c>
    </row>
    <row r="816" spans="1:16" x14ac:dyDescent="0.25">
      <c r="A816" s="36" t="s">
        <v>405</v>
      </c>
      <c r="B816" s="2">
        <v>45850</v>
      </c>
      <c r="C816" s="36" t="s">
        <v>83</v>
      </c>
      <c r="D816">
        <v>2025</v>
      </c>
      <c r="E816" s="36" t="s">
        <v>599</v>
      </c>
      <c r="F816" s="36" t="s">
        <v>39</v>
      </c>
      <c r="G816" s="36" t="s">
        <v>612</v>
      </c>
      <c r="H816" s="36" t="s">
        <v>625</v>
      </c>
      <c r="I816" s="36" t="s">
        <v>623</v>
      </c>
      <c r="J816" s="36" t="s">
        <v>618</v>
      </c>
      <c r="K816">
        <v>16</v>
      </c>
      <c r="L816">
        <v>8000</v>
      </c>
      <c r="M816">
        <v>128000</v>
      </c>
      <c r="N816">
        <v>90880</v>
      </c>
      <c r="O816">
        <v>37120</v>
      </c>
      <c r="P816" s="11">
        <v>0.28999999999999998</v>
      </c>
    </row>
    <row r="817" spans="1:16" x14ac:dyDescent="0.25">
      <c r="A817" s="36" t="s">
        <v>113</v>
      </c>
      <c r="B817" s="2">
        <v>45851</v>
      </c>
      <c r="C817" s="36" t="s">
        <v>83</v>
      </c>
      <c r="D817">
        <v>2025</v>
      </c>
      <c r="E817" s="36" t="s">
        <v>602</v>
      </c>
      <c r="F817" s="36" t="s">
        <v>42</v>
      </c>
      <c r="G817" s="36" t="s">
        <v>609</v>
      </c>
      <c r="H817" s="36" t="s">
        <v>621</v>
      </c>
      <c r="I817" s="36" t="s">
        <v>645</v>
      </c>
      <c r="J817" s="36" t="s">
        <v>618</v>
      </c>
      <c r="K817">
        <v>1</v>
      </c>
      <c r="L817">
        <v>1200</v>
      </c>
      <c r="M817">
        <v>1200</v>
      </c>
      <c r="N817">
        <v>924</v>
      </c>
      <c r="O817">
        <v>276</v>
      </c>
      <c r="P817" s="11">
        <v>0.23</v>
      </c>
    </row>
    <row r="818" spans="1:16" x14ac:dyDescent="0.25">
      <c r="A818" s="36" t="s">
        <v>495</v>
      </c>
      <c r="B818" s="2">
        <v>45851</v>
      </c>
      <c r="C818" s="36" t="s">
        <v>83</v>
      </c>
      <c r="D818">
        <v>2025</v>
      </c>
      <c r="E818" s="36" t="s">
        <v>598</v>
      </c>
      <c r="F818" s="36" t="s">
        <v>40</v>
      </c>
      <c r="G818" s="36" t="s">
        <v>612</v>
      </c>
      <c r="H818" s="36" t="s">
        <v>626</v>
      </c>
      <c r="I818" s="36" t="s">
        <v>614</v>
      </c>
      <c r="J818" s="36" t="s">
        <v>618</v>
      </c>
      <c r="K818">
        <v>16</v>
      </c>
      <c r="L818">
        <v>3500</v>
      </c>
      <c r="M818">
        <v>56000</v>
      </c>
      <c r="N818">
        <v>38080</v>
      </c>
      <c r="O818">
        <v>17920</v>
      </c>
      <c r="P818" s="11">
        <v>0.32</v>
      </c>
    </row>
    <row r="819" spans="1:16" x14ac:dyDescent="0.25">
      <c r="A819" s="36" t="s">
        <v>161</v>
      </c>
      <c r="B819" s="2">
        <v>45852</v>
      </c>
      <c r="C819" s="36" t="s">
        <v>83</v>
      </c>
      <c r="D819">
        <v>2025</v>
      </c>
      <c r="E819" s="36" t="s">
        <v>596</v>
      </c>
      <c r="F819" s="36" t="s">
        <v>39</v>
      </c>
      <c r="G819" s="36" t="s">
        <v>611</v>
      </c>
      <c r="H819" s="36" t="s">
        <v>621</v>
      </c>
      <c r="I819" s="36" t="s">
        <v>631</v>
      </c>
      <c r="J819" s="36" t="s">
        <v>618</v>
      </c>
      <c r="K819">
        <v>9</v>
      </c>
      <c r="L819">
        <v>1200</v>
      </c>
      <c r="M819">
        <v>10800</v>
      </c>
      <c r="N819">
        <v>9612</v>
      </c>
      <c r="O819">
        <v>1188</v>
      </c>
      <c r="P819" s="11">
        <v>0.11</v>
      </c>
    </row>
    <row r="820" spans="1:16" x14ac:dyDescent="0.25">
      <c r="A820" s="36" t="s">
        <v>443</v>
      </c>
      <c r="B820" s="2">
        <v>45852</v>
      </c>
      <c r="C820" s="36" t="s">
        <v>83</v>
      </c>
      <c r="D820">
        <v>2025</v>
      </c>
      <c r="E820" s="36" t="s">
        <v>603</v>
      </c>
      <c r="F820" s="36" t="s">
        <v>42</v>
      </c>
      <c r="G820" s="36" t="s">
        <v>611</v>
      </c>
      <c r="H820" s="36" t="s">
        <v>629</v>
      </c>
      <c r="I820" s="36" t="s">
        <v>645</v>
      </c>
      <c r="J820" s="36" t="s">
        <v>615</v>
      </c>
      <c r="K820">
        <v>7</v>
      </c>
      <c r="L820">
        <v>9000</v>
      </c>
      <c r="M820">
        <v>63000</v>
      </c>
      <c r="N820">
        <v>46620</v>
      </c>
      <c r="O820">
        <v>16380</v>
      </c>
      <c r="P820" s="11">
        <v>0.26</v>
      </c>
    </row>
    <row r="821" spans="1:16" x14ac:dyDescent="0.25">
      <c r="A821" s="36" t="s">
        <v>122</v>
      </c>
      <c r="B821" s="2">
        <v>45853</v>
      </c>
      <c r="C821" s="36" t="s">
        <v>83</v>
      </c>
      <c r="D821">
        <v>2025</v>
      </c>
      <c r="E821" s="36" t="s">
        <v>595</v>
      </c>
      <c r="F821" s="36" t="s">
        <v>39</v>
      </c>
      <c r="G821" s="36" t="s">
        <v>609</v>
      </c>
      <c r="H821" s="36" t="s">
        <v>613</v>
      </c>
      <c r="I821" s="36" t="s">
        <v>617</v>
      </c>
      <c r="J821" s="36" t="s">
        <v>615</v>
      </c>
      <c r="K821">
        <v>17</v>
      </c>
      <c r="L821">
        <v>300</v>
      </c>
      <c r="M821">
        <v>5100</v>
      </c>
      <c r="N821">
        <v>4284</v>
      </c>
      <c r="O821">
        <v>816</v>
      </c>
      <c r="P821" s="11">
        <v>0.16</v>
      </c>
    </row>
    <row r="822" spans="1:16" x14ac:dyDescent="0.25">
      <c r="A822" s="36" t="s">
        <v>503</v>
      </c>
      <c r="B822" s="2">
        <v>45853</v>
      </c>
      <c r="C822" s="36" t="s">
        <v>83</v>
      </c>
      <c r="D822">
        <v>2025</v>
      </c>
      <c r="E822" s="36" t="s">
        <v>601</v>
      </c>
      <c r="F822" s="36" t="s">
        <v>41</v>
      </c>
      <c r="G822" s="36" t="s">
        <v>611</v>
      </c>
      <c r="H822" s="36" t="s">
        <v>629</v>
      </c>
      <c r="I822" s="36" t="s">
        <v>630</v>
      </c>
      <c r="J822" s="36" t="s">
        <v>615</v>
      </c>
      <c r="K822">
        <v>9</v>
      </c>
      <c r="L822">
        <v>12000</v>
      </c>
      <c r="M822">
        <v>108000</v>
      </c>
      <c r="N822">
        <v>77760</v>
      </c>
      <c r="O822">
        <v>30240</v>
      </c>
      <c r="P822" s="11">
        <v>0.28000000000000003</v>
      </c>
    </row>
    <row r="823" spans="1:16" x14ac:dyDescent="0.25">
      <c r="A823" s="36" t="s">
        <v>212</v>
      </c>
      <c r="B823" s="2">
        <v>45855</v>
      </c>
      <c r="C823" s="36" t="s">
        <v>83</v>
      </c>
      <c r="D823">
        <v>2025</v>
      </c>
      <c r="E823" s="36" t="s">
        <v>595</v>
      </c>
      <c r="F823" s="36" t="s">
        <v>39</v>
      </c>
      <c r="G823" s="36" t="s">
        <v>610</v>
      </c>
      <c r="H823" s="36" t="s">
        <v>622</v>
      </c>
      <c r="I823" s="36" t="s">
        <v>630</v>
      </c>
      <c r="J823" s="36" t="s">
        <v>615</v>
      </c>
      <c r="K823">
        <v>18</v>
      </c>
      <c r="L823">
        <v>12000</v>
      </c>
      <c r="M823">
        <v>216000</v>
      </c>
      <c r="N823">
        <v>159840</v>
      </c>
      <c r="O823">
        <v>56160</v>
      </c>
      <c r="P823" s="11">
        <v>0.26</v>
      </c>
    </row>
    <row r="824" spans="1:16" x14ac:dyDescent="0.25">
      <c r="A824" s="36" t="s">
        <v>512</v>
      </c>
      <c r="B824" s="2">
        <v>45855</v>
      </c>
      <c r="C824" s="36" t="s">
        <v>83</v>
      </c>
      <c r="D824">
        <v>2025</v>
      </c>
      <c r="E824" s="36" t="s">
        <v>596</v>
      </c>
      <c r="F824" s="36" t="s">
        <v>39</v>
      </c>
      <c r="G824" s="36" t="s">
        <v>612</v>
      </c>
      <c r="H824" s="36" t="s">
        <v>616</v>
      </c>
      <c r="I824" s="36" t="s">
        <v>619</v>
      </c>
      <c r="J824" s="36" t="s">
        <v>618</v>
      </c>
      <c r="K824">
        <v>12</v>
      </c>
      <c r="L824">
        <v>4000</v>
      </c>
      <c r="M824">
        <v>48000</v>
      </c>
      <c r="N824">
        <v>40320</v>
      </c>
      <c r="O824">
        <v>7680</v>
      </c>
      <c r="P824" s="11">
        <v>0.16</v>
      </c>
    </row>
    <row r="825" spans="1:16" x14ac:dyDescent="0.25">
      <c r="A825" s="36" t="s">
        <v>192</v>
      </c>
      <c r="B825" s="2">
        <v>45857</v>
      </c>
      <c r="C825" s="36" t="s">
        <v>83</v>
      </c>
      <c r="D825">
        <v>2025</v>
      </c>
      <c r="E825" s="36" t="s">
        <v>605</v>
      </c>
      <c r="F825" s="36" t="s">
        <v>40</v>
      </c>
      <c r="G825" s="36" t="s">
        <v>608</v>
      </c>
      <c r="H825" s="36" t="s">
        <v>626</v>
      </c>
      <c r="I825" s="36" t="s">
        <v>623</v>
      </c>
      <c r="J825" s="36" t="s">
        <v>615</v>
      </c>
      <c r="K825">
        <v>13</v>
      </c>
      <c r="L825">
        <v>8000</v>
      </c>
      <c r="M825">
        <v>104000</v>
      </c>
      <c r="N825">
        <v>79040</v>
      </c>
      <c r="O825">
        <v>24960</v>
      </c>
      <c r="P825" s="11">
        <v>0.24</v>
      </c>
    </row>
    <row r="826" spans="1:16" x14ac:dyDescent="0.25">
      <c r="A826" s="36" t="s">
        <v>416</v>
      </c>
      <c r="B826" s="2">
        <v>45859</v>
      </c>
      <c r="C826" s="36" t="s">
        <v>83</v>
      </c>
      <c r="D826">
        <v>2025</v>
      </c>
      <c r="E826" s="36" t="s">
        <v>607</v>
      </c>
      <c r="F826" s="36" t="s">
        <v>42</v>
      </c>
      <c r="G826" s="36" t="s">
        <v>609</v>
      </c>
      <c r="H826" s="36" t="s">
        <v>624</v>
      </c>
      <c r="I826" s="36" t="s">
        <v>630</v>
      </c>
      <c r="J826" s="36" t="s">
        <v>615</v>
      </c>
      <c r="K826">
        <v>9</v>
      </c>
      <c r="L826">
        <v>45000</v>
      </c>
      <c r="M826">
        <v>405000</v>
      </c>
      <c r="N826">
        <v>303750</v>
      </c>
      <c r="O826">
        <v>101250</v>
      </c>
      <c r="P826" s="11">
        <v>0.25</v>
      </c>
    </row>
    <row r="827" spans="1:16" x14ac:dyDescent="0.25">
      <c r="A827" s="36" t="s">
        <v>470</v>
      </c>
      <c r="B827" s="2">
        <v>45859</v>
      </c>
      <c r="C827" s="36" t="s">
        <v>83</v>
      </c>
      <c r="D827">
        <v>2025</v>
      </c>
      <c r="E827" s="36" t="s">
        <v>597</v>
      </c>
      <c r="F827" s="36" t="s">
        <v>41</v>
      </c>
      <c r="G827" s="36" t="s">
        <v>610</v>
      </c>
      <c r="H827" s="36" t="s">
        <v>629</v>
      </c>
      <c r="I827" s="36" t="s">
        <v>619</v>
      </c>
      <c r="J827" s="36" t="s">
        <v>615</v>
      </c>
      <c r="K827">
        <v>19</v>
      </c>
      <c r="L827">
        <v>1200</v>
      </c>
      <c r="M827">
        <v>22800</v>
      </c>
      <c r="N827">
        <v>14136</v>
      </c>
      <c r="O827">
        <v>8664</v>
      </c>
      <c r="P827" s="11">
        <v>0.38</v>
      </c>
    </row>
    <row r="828" spans="1:16" x14ac:dyDescent="0.25">
      <c r="A828" s="36" t="s">
        <v>120</v>
      </c>
      <c r="B828" s="2">
        <v>45860</v>
      </c>
      <c r="C828" s="36" t="s">
        <v>83</v>
      </c>
      <c r="D828">
        <v>2025</v>
      </c>
      <c r="E828" s="36" t="s">
        <v>599</v>
      </c>
      <c r="F828" s="36" t="s">
        <v>39</v>
      </c>
      <c r="G828" s="36" t="s">
        <v>611</v>
      </c>
      <c r="H828" s="36" t="s">
        <v>625</v>
      </c>
      <c r="I828" s="36" t="s">
        <v>645</v>
      </c>
      <c r="J828" s="36" t="s">
        <v>618</v>
      </c>
      <c r="K828">
        <v>1</v>
      </c>
      <c r="L828">
        <v>9000</v>
      </c>
      <c r="M828">
        <v>9000</v>
      </c>
      <c r="N828">
        <v>6300</v>
      </c>
      <c r="O828">
        <v>2700</v>
      </c>
      <c r="P828" s="11">
        <v>0.3</v>
      </c>
    </row>
    <row r="829" spans="1:16" x14ac:dyDescent="0.25">
      <c r="A829" s="36" t="s">
        <v>149</v>
      </c>
      <c r="B829" s="2">
        <v>45860</v>
      </c>
      <c r="C829" s="36" t="s">
        <v>83</v>
      </c>
      <c r="D829">
        <v>2025</v>
      </c>
      <c r="E829" s="36" t="s">
        <v>601</v>
      </c>
      <c r="F829" s="36" t="s">
        <v>41</v>
      </c>
      <c r="G829" s="36" t="s">
        <v>611</v>
      </c>
      <c r="H829" s="36" t="s">
        <v>629</v>
      </c>
      <c r="I829" s="36" t="s">
        <v>630</v>
      </c>
      <c r="J829" s="36" t="s">
        <v>615</v>
      </c>
      <c r="K829">
        <v>9</v>
      </c>
      <c r="L829">
        <v>8000</v>
      </c>
      <c r="M829">
        <v>72000</v>
      </c>
      <c r="N829">
        <v>49680</v>
      </c>
      <c r="O829">
        <v>22320</v>
      </c>
      <c r="P829" s="11">
        <v>0.31</v>
      </c>
    </row>
    <row r="830" spans="1:16" x14ac:dyDescent="0.25">
      <c r="A830" s="36" t="s">
        <v>166</v>
      </c>
      <c r="B830" s="2">
        <v>45860</v>
      </c>
      <c r="C830" s="36" t="s">
        <v>83</v>
      </c>
      <c r="D830">
        <v>2025</v>
      </c>
      <c r="E830" s="36" t="s">
        <v>600</v>
      </c>
      <c r="F830" s="36" t="s">
        <v>39</v>
      </c>
      <c r="G830" s="36" t="s">
        <v>612</v>
      </c>
      <c r="H830" s="36" t="s">
        <v>624</v>
      </c>
      <c r="I830" s="36" t="s">
        <v>631</v>
      </c>
      <c r="J830" s="36" t="s">
        <v>615</v>
      </c>
      <c r="K830">
        <v>5</v>
      </c>
      <c r="L830">
        <v>8000</v>
      </c>
      <c r="M830">
        <v>40000</v>
      </c>
      <c r="N830">
        <v>32400</v>
      </c>
      <c r="O830">
        <v>7600</v>
      </c>
      <c r="P830" s="11">
        <v>0.19</v>
      </c>
    </row>
    <row r="831" spans="1:16" x14ac:dyDescent="0.25">
      <c r="A831" s="36" t="s">
        <v>410</v>
      </c>
      <c r="B831" s="2">
        <v>45860</v>
      </c>
      <c r="C831" s="36" t="s">
        <v>83</v>
      </c>
      <c r="D831">
        <v>2025</v>
      </c>
      <c r="E831" s="36" t="s">
        <v>605</v>
      </c>
      <c r="F831" s="36" t="s">
        <v>40</v>
      </c>
      <c r="G831" s="36" t="s">
        <v>609</v>
      </c>
      <c r="H831" s="36" t="s">
        <v>629</v>
      </c>
      <c r="I831" s="36" t="s">
        <v>631</v>
      </c>
      <c r="J831" s="36" t="s">
        <v>618</v>
      </c>
      <c r="K831">
        <v>10</v>
      </c>
      <c r="L831">
        <v>20</v>
      </c>
      <c r="M831">
        <v>200</v>
      </c>
      <c r="N831">
        <v>176</v>
      </c>
      <c r="O831">
        <v>24</v>
      </c>
      <c r="P831" s="11">
        <v>0.12</v>
      </c>
    </row>
    <row r="832" spans="1:16" x14ac:dyDescent="0.25">
      <c r="A832" s="36" t="s">
        <v>457</v>
      </c>
      <c r="B832" s="2">
        <v>45860</v>
      </c>
      <c r="C832" s="36" t="s">
        <v>83</v>
      </c>
      <c r="D832">
        <v>2025</v>
      </c>
      <c r="E832" s="36" t="s">
        <v>596</v>
      </c>
      <c r="F832" s="36" t="s">
        <v>39</v>
      </c>
      <c r="G832" s="36" t="s">
        <v>608</v>
      </c>
      <c r="H832" s="36" t="s">
        <v>616</v>
      </c>
      <c r="I832" s="36" t="s">
        <v>623</v>
      </c>
      <c r="J832" s="36" t="s">
        <v>615</v>
      </c>
      <c r="K832">
        <v>6</v>
      </c>
      <c r="L832">
        <v>8000</v>
      </c>
      <c r="M832">
        <v>48000</v>
      </c>
      <c r="N832">
        <v>39360</v>
      </c>
      <c r="O832">
        <v>8640</v>
      </c>
      <c r="P832" s="11">
        <v>0.18</v>
      </c>
    </row>
    <row r="833" spans="1:16" x14ac:dyDescent="0.25">
      <c r="A833" s="36" t="s">
        <v>391</v>
      </c>
      <c r="B833" s="2">
        <v>45861</v>
      </c>
      <c r="C833" s="36" t="s">
        <v>83</v>
      </c>
      <c r="D833">
        <v>2025</v>
      </c>
      <c r="E833" s="36" t="s">
        <v>594</v>
      </c>
      <c r="F833" s="36" t="s">
        <v>39</v>
      </c>
      <c r="G833" s="36" t="s">
        <v>610</v>
      </c>
      <c r="H833" s="36" t="s">
        <v>616</v>
      </c>
      <c r="I833" s="36" t="s">
        <v>627</v>
      </c>
      <c r="J833" s="36" t="s">
        <v>615</v>
      </c>
      <c r="K833">
        <v>12</v>
      </c>
      <c r="L833">
        <v>20</v>
      </c>
      <c r="M833">
        <v>240</v>
      </c>
      <c r="N833">
        <v>199.2</v>
      </c>
      <c r="O833">
        <v>40.800000000000011</v>
      </c>
      <c r="P833" s="11">
        <v>0.17000000000000004</v>
      </c>
    </row>
    <row r="834" spans="1:16" x14ac:dyDescent="0.25">
      <c r="A834" s="36" t="s">
        <v>551</v>
      </c>
      <c r="B834" s="2">
        <v>45861</v>
      </c>
      <c r="C834" s="36" t="s">
        <v>83</v>
      </c>
      <c r="D834">
        <v>2025</v>
      </c>
      <c r="E834" s="36" t="s">
        <v>606</v>
      </c>
      <c r="F834" s="36" t="s">
        <v>40</v>
      </c>
      <c r="G834" s="36" t="s">
        <v>610</v>
      </c>
      <c r="H834" s="36" t="s">
        <v>624</v>
      </c>
      <c r="I834" s="36" t="s">
        <v>614</v>
      </c>
      <c r="J834" s="36" t="s">
        <v>618</v>
      </c>
      <c r="K834">
        <v>9</v>
      </c>
      <c r="L834">
        <v>55000</v>
      </c>
      <c r="M834">
        <v>495000</v>
      </c>
      <c r="N834">
        <v>297000</v>
      </c>
      <c r="O834">
        <v>198000</v>
      </c>
      <c r="P834" s="11">
        <v>0.4</v>
      </c>
    </row>
    <row r="835" spans="1:16" x14ac:dyDescent="0.25">
      <c r="A835" s="36" t="s">
        <v>196</v>
      </c>
      <c r="B835" s="2">
        <v>45862</v>
      </c>
      <c r="C835" s="36" t="s">
        <v>83</v>
      </c>
      <c r="D835">
        <v>2025</v>
      </c>
      <c r="E835" s="36" t="s">
        <v>597</v>
      </c>
      <c r="F835" s="36" t="s">
        <v>41</v>
      </c>
      <c r="G835" s="36" t="s">
        <v>611</v>
      </c>
      <c r="H835" s="36" t="s">
        <v>624</v>
      </c>
      <c r="I835" s="36" t="s">
        <v>617</v>
      </c>
      <c r="J835" s="36" t="s">
        <v>615</v>
      </c>
      <c r="K835">
        <v>17</v>
      </c>
      <c r="L835">
        <v>15000</v>
      </c>
      <c r="M835">
        <v>255000</v>
      </c>
      <c r="N835">
        <v>165750</v>
      </c>
      <c r="O835">
        <v>89250</v>
      </c>
      <c r="P835" s="11">
        <v>0.35</v>
      </c>
    </row>
    <row r="836" spans="1:16" x14ac:dyDescent="0.25">
      <c r="A836" s="36" t="s">
        <v>204</v>
      </c>
      <c r="B836" s="2">
        <v>45862</v>
      </c>
      <c r="C836" s="36" t="s">
        <v>83</v>
      </c>
      <c r="D836">
        <v>2025</v>
      </c>
      <c r="E836" s="36" t="s">
        <v>594</v>
      </c>
      <c r="F836" s="36" t="s">
        <v>39</v>
      </c>
      <c r="G836" s="36" t="s">
        <v>609</v>
      </c>
      <c r="H836" s="36" t="s">
        <v>626</v>
      </c>
      <c r="I836" s="36" t="s">
        <v>645</v>
      </c>
      <c r="J836" s="36" t="s">
        <v>618</v>
      </c>
      <c r="K836">
        <v>11</v>
      </c>
      <c r="L836">
        <v>4000</v>
      </c>
      <c r="M836">
        <v>44000</v>
      </c>
      <c r="N836">
        <v>27280</v>
      </c>
      <c r="O836">
        <v>16720</v>
      </c>
      <c r="P836" s="11">
        <v>0.38</v>
      </c>
    </row>
    <row r="837" spans="1:16" x14ac:dyDescent="0.25">
      <c r="A837" s="36" t="s">
        <v>550</v>
      </c>
      <c r="B837" s="2">
        <v>45862</v>
      </c>
      <c r="C837" s="36" t="s">
        <v>83</v>
      </c>
      <c r="D837">
        <v>2025</v>
      </c>
      <c r="E837" s="36" t="s">
        <v>599</v>
      </c>
      <c r="F837" s="36" t="s">
        <v>39</v>
      </c>
      <c r="G837" s="36" t="s">
        <v>612</v>
      </c>
      <c r="H837" s="36" t="s">
        <v>622</v>
      </c>
      <c r="I837" s="36" t="s">
        <v>614</v>
      </c>
      <c r="J837" s="36" t="s">
        <v>615</v>
      </c>
      <c r="K837">
        <v>17</v>
      </c>
      <c r="L837">
        <v>55000</v>
      </c>
      <c r="M837">
        <v>935000</v>
      </c>
      <c r="N837">
        <v>673200</v>
      </c>
      <c r="O837">
        <v>261800</v>
      </c>
      <c r="P837" s="11">
        <v>0.28000000000000003</v>
      </c>
    </row>
    <row r="838" spans="1:16" x14ac:dyDescent="0.25">
      <c r="A838" s="36" t="s">
        <v>187</v>
      </c>
      <c r="B838" s="2">
        <v>45863</v>
      </c>
      <c r="C838" s="36" t="s">
        <v>83</v>
      </c>
      <c r="D838">
        <v>2025</v>
      </c>
      <c r="E838" s="36" t="s">
        <v>603</v>
      </c>
      <c r="F838" s="36" t="s">
        <v>42</v>
      </c>
      <c r="G838" s="36" t="s">
        <v>611</v>
      </c>
      <c r="H838" s="36" t="s">
        <v>625</v>
      </c>
      <c r="I838" s="36" t="s">
        <v>614</v>
      </c>
      <c r="J838" s="36" t="s">
        <v>618</v>
      </c>
      <c r="K838">
        <v>9</v>
      </c>
      <c r="L838">
        <v>150</v>
      </c>
      <c r="M838">
        <v>1350</v>
      </c>
      <c r="N838">
        <v>810</v>
      </c>
      <c r="O838">
        <v>540</v>
      </c>
      <c r="P838" s="11">
        <v>0.4</v>
      </c>
    </row>
    <row r="839" spans="1:16" x14ac:dyDescent="0.25">
      <c r="A839" s="36" t="s">
        <v>387</v>
      </c>
      <c r="B839" s="2">
        <v>45863</v>
      </c>
      <c r="C839" s="36" t="s">
        <v>83</v>
      </c>
      <c r="D839">
        <v>2025</v>
      </c>
      <c r="E839" s="36" t="s">
        <v>605</v>
      </c>
      <c r="F839" s="36" t="s">
        <v>40</v>
      </c>
      <c r="G839" s="36" t="s">
        <v>612</v>
      </c>
      <c r="H839" s="36" t="s">
        <v>625</v>
      </c>
      <c r="I839" s="36" t="s">
        <v>623</v>
      </c>
      <c r="J839" s="36" t="s">
        <v>615</v>
      </c>
      <c r="K839">
        <v>11</v>
      </c>
      <c r="L839">
        <v>50</v>
      </c>
      <c r="M839">
        <v>550</v>
      </c>
      <c r="N839">
        <v>357.5</v>
      </c>
      <c r="O839">
        <v>192.5</v>
      </c>
      <c r="P839" s="11">
        <v>0.35</v>
      </c>
    </row>
    <row r="840" spans="1:16" x14ac:dyDescent="0.25">
      <c r="A840" s="36" t="s">
        <v>461</v>
      </c>
      <c r="B840" s="2">
        <v>45863</v>
      </c>
      <c r="C840" s="36" t="s">
        <v>83</v>
      </c>
      <c r="D840">
        <v>2025</v>
      </c>
      <c r="E840" s="36" t="s">
        <v>606</v>
      </c>
      <c r="F840" s="36" t="s">
        <v>40</v>
      </c>
      <c r="G840" s="36" t="s">
        <v>608</v>
      </c>
      <c r="H840" s="36" t="s">
        <v>629</v>
      </c>
      <c r="I840" s="36" t="s">
        <v>614</v>
      </c>
      <c r="J840" s="36" t="s">
        <v>618</v>
      </c>
      <c r="K840">
        <v>4</v>
      </c>
      <c r="L840">
        <v>7000</v>
      </c>
      <c r="M840">
        <v>28000</v>
      </c>
      <c r="N840">
        <v>24920</v>
      </c>
      <c r="O840">
        <v>3080</v>
      </c>
      <c r="P840" s="11">
        <v>0.11</v>
      </c>
    </row>
    <row r="841" spans="1:16" x14ac:dyDescent="0.25">
      <c r="A841" s="36" t="s">
        <v>239</v>
      </c>
      <c r="B841" s="2">
        <v>45864</v>
      </c>
      <c r="C841" s="36" t="s">
        <v>83</v>
      </c>
      <c r="D841">
        <v>2025</v>
      </c>
      <c r="E841" s="36" t="s">
        <v>607</v>
      </c>
      <c r="F841" s="36" t="s">
        <v>42</v>
      </c>
      <c r="G841" s="36" t="s">
        <v>610</v>
      </c>
      <c r="H841" s="36" t="s">
        <v>629</v>
      </c>
      <c r="I841" s="36" t="s">
        <v>631</v>
      </c>
      <c r="J841" s="36" t="s">
        <v>618</v>
      </c>
      <c r="K841">
        <v>20</v>
      </c>
      <c r="L841">
        <v>9000</v>
      </c>
      <c r="M841">
        <v>180000</v>
      </c>
      <c r="N841">
        <v>122400</v>
      </c>
      <c r="O841">
        <v>57600</v>
      </c>
      <c r="P841" s="11">
        <v>0.32</v>
      </c>
    </row>
    <row r="842" spans="1:16" x14ac:dyDescent="0.25">
      <c r="A842" s="36" t="s">
        <v>357</v>
      </c>
      <c r="B842" s="2">
        <v>45864</v>
      </c>
      <c r="C842" s="36" t="s">
        <v>83</v>
      </c>
      <c r="D842">
        <v>2025</v>
      </c>
      <c r="E842" s="36" t="s">
        <v>603</v>
      </c>
      <c r="F842" s="36" t="s">
        <v>42</v>
      </c>
      <c r="G842" s="36" t="s">
        <v>612</v>
      </c>
      <c r="H842" s="36" t="s">
        <v>626</v>
      </c>
      <c r="I842" s="36" t="s">
        <v>631</v>
      </c>
      <c r="J842" s="36" t="s">
        <v>615</v>
      </c>
      <c r="K842">
        <v>13</v>
      </c>
      <c r="L842">
        <v>15000</v>
      </c>
      <c r="M842">
        <v>195000</v>
      </c>
      <c r="N842">
        <v>152100</v>
      </c>
      <c r="O842">
        <v>42900</v>
      </c>
      <c r="P842" s="11">
        <v>0.22</v>
      </c>
    </row>
    <row r="843" spans="1:16" x14ac:dyDescent="0.25">
      <c r="A843" s="36" t="s">
        <v>389</v>
      </c>
      <c r="B843" s="2">
        <v>45864</v>
      </c>
      <c r="C843" s="36" t="s">
        <v>83</v>
      </c>
      <c r="D843">
        <v>2025</v>
      </c>
      <c r="E843" s="36" t="s">
        <v>593</v>
      </c>
      <c r="F843" s="36" t="s">
        <v>41</v>
      </c>
      <c r="G843" s="36" t="s">
        <v>608</v>
      </c>
      <c r="H843" s="36" t="s">
        <v>626</v>
      </c>
      <c r="I843" s="36" t="s">
        <v>614</v>
      </c>
      <c r="J843" s="36" t="s">
        <v>618</v>
      </c>
      <c r="K843">
        <v>14</v>
      </c>
      <c r="L843">
        <v>700</v>
      </c>
      <c r="M843">
        <v>9800</v>
      </c>
      <c r="N843">
        <v>7056</v>
      </c>
      <c r="O843">
        <v>2744</v>
      </c>
      <c r="P843" s="11">
        <v>0.28000000000000003</v>
      </c>
    </row>
    <row r="844" spans="1:16" x14ac:dyDescent="0.25">
      <c r="A844" s="36" t="s">
        <v>147</v>
      </c>
      <c r="B844" s="2">
        <v>45865</v>
      </c>
      <c r="C844" s="36" t="s">
        <v>83</v>
      </c>
      <c r="D844">
        <v>2025</v>
      </c>
      <c r="E844" s="36" t="s">
        <v>596</v>
      </c>
      <c r="F844" s="36" t="s">
        <v>39</v>
      </c>
      <c r="G844" s="36" t="s">
        <v>610</v>
      </c>
      <c r="H844" s="36" t="s">
        <v>613</v>
      </c>
      <c r="I844" s="36" t="s">
        <v>617</v>
      </c>
      <c r="J844" s="36" t="s">
        <v>615</v>
      </c>
      <c r="K844">
        <v>5</v>
      </c>
      <c r="L844">
        <v>7000</v>
      </c>
      <c r="M844">
        <v>35000</v>
      </c>
      <c r="N844">
        <v>24500</v>
      </c>
      <c r="O844">
        <v>10500</v>
      </c>
      <c r="P844" s="11">
        <v>0.3</v>
      </c>
    </row>
    <row r="845" spans="1:16" x14ac:dyDescent="0.25">
      <c r="A845" s="36" t="s">
        <v>577</v>
      </c>
      <c r="B845" s="2">
        <v>45865</v>
      </c>
      <c r="C845" s="36" t="s">
        <v>83</v>
      </c>
      <c r="D845">
        <v>2025</v>
      </c>
      <c r="E845" s="36" t="s">
        <v>599</v>
      </c>
      <c r="F845" s="36" t="s">
        <v>39</v>
      </c>
      <c r="G845" s="36" t="s">
        <v>612</v>
      </c>
      <c r="H845" s="36" t="s">
        <v>629</v>
      </c>
      <c r="I845" s="36" t="s">
        <v>614</v>
      </c>
      <c r="J845" s="36" t="s">
        <v>615</v>
      </c>
      <c r="K845">
        <v>5</v>
      </c>
      <c r="L845">
        <v>12000</v>
      </c>
      <c r="M845">
        <v>60000</v>
      </c>
      <c r="N845">
        <v>53400</v>
      </c>
      <c r="O845">
        <v>6600</v>
      </c>
      <c r="P845" s="11">
        <v>0.11</v>
      </c>
    </row>
    <row r="846" spans="1:16" x14ac:dyDescent="0.25">
      <c r="A846" s="36" t="s">
        <v>157</v>
      </c>
      <c r="B846" s="2">
        <v>45872</v>
      </c>
      <c r="C846" s="36" t="s">
        <v>50</v>
      </c>
      <c r="D846">
        <v>2025</v>
      </c>
      <c r="E846" s="36" t="s">
        <v>598</v>
      </c>
      <c r="F846" s="36" t="s">
        <v>40</v>
      </c>
      <c r="G846" s="36" t="s">
        <v>610</v>
      </c>
      <c r="H846" s="36" t="s">
        <v>620</v>
      </c>
      <c r="I846" s="36" t="s">
        <v>645</v>
      </c>
      <c r="J846" s="36" t="s">
        <v>618</v>
      </c>
      <c r="K846">
        <v>9</v>
      </c>
      <c r="L846">
        <v>3500</v>
      </c>
      <c r="M846">
        <v>31500</v>
      </c>
      <c r="N846">
        <v>26460</v>
      </c>
      <c r="O846">
        <v>5040</v>
      </c>
      <c r="P846" s="11">
        <v>0.16</v>
      </c>
    </row>
    <row r="847" spans="1:16" x14ac:dyDescent="0.25">
      <c r="A847" s="36" t="s">
        <v>294</v>
      </c>
      <c r="B847" s="2">
        <v>45872</v>
      </c>
      <c r="C847" s="36" t="s">
        <v>50</v>
      </c>
      <c r="D847">
        <v>2025</v>
      </c>
      <c r="E847" s="36" t="s">
        <v>607</v>
      </c>
      <c r="F847" s="36" t="s">
        <v>42</v>
      </c>
      <c r="G847" s="36" t="s">
        <v>611</v>
      </c>
      <c r="H847" s="36" t="s">
        <v>620</v>
      </c>
      <c r="I847" s="36" t="s">
        <v>617</v>
      </c>
      <c r="J847" s="36" t="s">
        <v>615</v>
      </c>
      <c r="K847">
        <v>9</v>
      </c>
      <c r="L847">
        <v>3500</v>
      </c>
      <c r="M847">
        <v>31500</v>
      </c>
      <c r="N847">
        <v>24570</v>
      </c>
      <c r="O847">
        <v>6930</v>
      </c>
      <c r="P847" s="11">
        <v>0.22</v>
      </c>
    </row>
    <row r="848" spans="1:16" x14ac:dyDescent="0.25">
      <c r="A848" s="36" t="s">
        <v>376</v>
      </c>
      <c r="B848" s="2">
        <v>45872</v>
      </c>
      <c r="C848" s="36" t="s">
        <v>50</v>
      </c>
      <c r="D848">
        <v>2025</v>
      </c>
      <c r="E848" s="36" t="s">
        <v>605</v>
      </c>
      <c r="F848" s="36" t="s">
        <v>40</v>
      </c>
      <c r="G848" s="36" t="s">
        <v>609</v>
      </c>
      <c r="H848" s="36" t="s">
        <v>616</v>
      </c>
      <c r="I848" s="36" t="s">
        <v>619</v>
      </c>
      <c r="J848" s="36" t="s">
        <v>618</v>
      </c>
      <c r="K848">
        <v>12</v>
      </c>
      <c r="L848">
        <v>12000</v>
      </c>
      <c r="M848">
        <v>144000</v>
      </c>
      <c r="N848">
        <v>106560</v>
      </c>
      <c r="O848">
        <v>37440</v>
      </c>
      <c r="P848" s="11">
        <v>0.26</v>
      </c>
    </row>
    <row r="849" spans="1:16" x14ac:dyDescent="0.25">
      <c r="A849" s="36" t="s">
        <v>511</v>
      </c>
      <c r="B849" s="2">
        <v>45872</v>
      </c>
      <c r="C849" s="36" t="s">
        <v>50</v>
      </c>
      <c r="D849">
        <v>2025</v>
      </c>
      <c r="E849" s="36" t="s">
        <v>595</v>
      </c>
      <c r="F849" s="36" t="s">
        <v>39</v>
      </c>
      <c r="G849" s="36" t="s">
        <v>612</v>
      </c>
      <c r="H849" s="36" t="s">
        <v>616</v>
      </c>
      <c r="I849" s="36" t="s">
        <v>623</v>
      </c>
      <c r="J849" s="36" t="s">
        <v>618</v>
      </c>
      <c r="K849">
        <v>1</v>
      </c>
      <c r="L849">
        <v>20</v>
      </c>
      <c r="M849">
        <v>20</v>
      </c>
      <c r="N849">
        <v>15.6</v>
      </c>
      <c r="O849">
        <v>4.4000000000000004</v>
      </c>
      <c r="P849" s="11">
        <v>0.22000000000000003</v>
      </c>
    </row>
    <row r="850" spans="1:16" x14ac:dyDescent="0.25">
      <c r="A850" s="36" t="s">
        <v>582</v>
      </c>
      <c r="B850" s="2">
        <v>45872</v>
      </c>
      <c r="C850" s="36" t="s">
        <v>50</v>
      </c>
      <c r="D850">
        <v>2025</v>
      </c>
      <c r="E850" s="36" t="s">
        <v>599</v>
      </c>
      <c r="F850" s="36" t="s">
        <v>39</v>
      </c>
      <c r="G850" s="36" t="s">
        <v>608</v>
      </c>
      <c r="H850" s="36" t="s">
        <v>626</v>
      </c>
      <c r="I850" s="36" t="s">
        <v>645</v>
      </c>
      <c r="J850" s="36" t="s">
        <v>615</v>
      </c>
      <c r="K850">
        <v>6</v>
      </c>
      <c r="L850">
        <v>1200</v>
      </c>
      <c r="M850">
        <v>7200</v>
      </c>
      <c r="N850">
        <v>4680</v>
      </c>
      <c r="O850">
        <v>2520</v>
      </c>
      <c r="P850" s="11">
        <v>0.35</v>
      </c>
    </row>
    <row r="851" spans="1:16" x14ac:dyDescent="0.25">
      <c r="A851" s="36" t="s">
        <v>155</v>
      </c>
      <c r="B851" s="2">
        <v>45873</v>
      </c>
      <c r="C851" s="36" t="s">
        <v>50</v>
      </c>
      <c r="D851">
        <v>2025</v>
      </c>
      <c r="E851" s="36" t="s">
        <v>592</v>
      </c>
      <c r="F851" s="36" t="s">
        <v>40</v>
      </c>
      <c r="G851" s="36" t="s">
        <v>610</v>
      </c>
      <c r="H851" s="36" t="s">
        <v>616</v>
      </c>
      <c r="I851" s="36" t="s">
        <v>617</v>
      </c>
      <c r="J851" s="36" t="s">
        <v>615</v>
      </c>
      <c r="K851">
        <v>19</v>
      </c>
      <c r="L851">
        <v>12000</v>
      </c>
      <c r="M851">
        <v>228000</v>
      </c>
      <c r="N851">
        <v>148200</v>
      </c>
      <c r="O851">
        <v>79800</v>
      </c>
      <c r="P851" s="11">
        <v>0.35</v>
      </c>
    </row>
    <row r="852" spans="1:16" x14ac:dyDescent="0.25">
      <c r="A852" s="36" t="s">
        <v>92</v>
      </c>
      <c r="B852" s="2">
        <v>45875</v>
      </c>
      <c r="C852" s="36" t="s">
        <v>50</v>
      </c>
      <c r="D852">
        <v>2025</v>
      </c>
      <c r="E852" s="36" t="s">
        <v>595</v>
      </c>
      <c r="F852" s="36" t="s">
        <v>39</v>
      </c>
      <c r="G852" s="36" t="s">
        <v>611</v>
      </c>
      <c r="H852" s="36" t="s">
        <v>622</v>
      </c>
      <c r="I852" s="36" t="s">
        <v>645</v>
      </c>
      <c r="J852" s="36" t="s">
        <v>615</v>
      </c>
      <c r="K852">
        <v>7</v>
      </c>
      <c r="L852">
        <v>20</v>
      </c>
      <c r="M852">
        <v>140</v>
      </c>
      <c r="N852">
        <v>96.6</v>
      </c>
      <c r="O852">
        <v>43.400000000000006</v>
      </c>
      <c r="P852" s="11">
        <v>0.31000000000000005</v>
      </c>
    </row>
    <row r="853" spans="1:16" x14ac:dyDescent="0.25">
      <c r="A853" s="36" t="s">
        <v>275</v>
      </c>
      <c r="B853" s="2">
        <v>45875</v>
      </c>
      <c r="C853" s="36" t="s">
        <v>50</v>
      </c>
      <c r="D853">
        <v>2025</v>
      </c>
      <c r="E853" s="36" t="s">
        <v>593</v>
      </c>
      <c r="F853" s="36" t="s">
        <v>41</v>
      </c>
      <c r="G853" s="36" t="s">
        <v>609</v>
      </c>
      <c r="H853" s="36" t="s">
        <v>613</v>
      </c>
      <c r="I853" s="36" t="s">
        <v>645</v>
      </c>
      <c r="J853" s="36" t="s">
        <v>615</v>
      </c>
      <c r="K853">
        <v>14</v>
      </c>
      <c r="L853">
        <v>7000</v>
      </c>
      <c r="M853">
        <v>98000</v>
      </c>
      <c r="N853">
        <v>76440</v>
      </c>
      <c r="O853">
        <v>21560</v>
      </c>
      <c r="P853" s="11">
        <v>0.22</v>
      </c>
    </row>
    <row r="854" spans="1:16" x14ac:dyDescent="0.25">
      <c r="A854" s="36" t="s">
        <v>288</v>
      </c>
      <c r="B854" s="2">
        <v>45876</v>
      </c>
      <c r="C854" s="36" t="s">
        <v>50</v>
      </c>
      <c r="D854">
        <v>2025</v>
      </c>
      <c r="E854" s="36" t="s">
        <v>607</v>
      </c>
      <c r="F854" s="36" t="s">
        <v>42</v>
      </c>
      <c r="G854" s="36" t="s">
        <v>608</v>
      </c>
      <c r="H854" s="36" t="s">
        <v>622</v>
      </c>
      <c r="I854" s="36" t="s">
        <v>623</v>
      </c>
      <c r="J854" s="36" t="s">
        <v>615</v>
      </c>
      <c r="K854">
        <v>18</v>
      </c>
      <c r="L854">
        <v>25000</v>
      </c>
      <c r="M854">
        <v>450000</v>
      </c>
      <c r="N854">
        <v>328500</v>
      </c>
      <c r="O854">
        <v>121500</v>
      </c>
      <c r="P854" s="11">
        <v>0.27</v>
      </c>
    </row>
    <row r="855" spans="1:16" x14ac:dyDescent="0.25">
      <c r="A855" s="36" t="s">
        <v>303</v>
      </c>
      <c r="B855" s="2">
        <v>45876</v>
      </c>
      <c r="C855" s="36" t="s">
        <v>50</v>
      </c>
      <c r="D855">
        <v>2025</v>
      </c>
      <c r="E855" s="36" t="s">
        <v>605</v>
      </c>
      <c r="F855" s="36" t="s">
        <v>40</v>
      </c>
      <c r="G855" s="36" t="s">
        <v>610</v>
      </c>
      <c r="H855" s="36" t="s">
        <v>616</v>
      </c>
      <c r="I855" s="36" t="s">
        <v>645</v>
      </c>
      <c r="J855" s="36" t="s">
        <v>615</v>
      </c>
      <c r="K855">
        <v>16</v>
      </c>
      <c r="L855">
        <v>3500</v>
      </c>
      <c r="M855">
        <v>56000</v>
      </c>
      <c r="N855">
        <v>36960</v>
      </c>
      <c r="O855">
        <v>19040</v>
      </c>
      <c r="P855" s="11">
        <v>0.34</v>
      </c>
    </row>
    <row r="856" spans="1:16" x14ac:dyDescent="0.25">
      <c r="A856" s="36" t="s">
        <v>76</v>
      </c>
      <c r="B856" s="2">
        <v>45877</v>
      </c>
      <c r="C856" s="36" t="s">
        <v>50</v>
      </c>
      <c r="D856">
        <v>2025</v>
      </c>
      <c r="E856" s="36" t="s">
        <v>592</v>
      </c>
      <c r="F856" s="36" t="s">
        <v>40</v>
      </c>
      <c r="G856" s="36" t="s">
        <v>610</v>
      </c>
      <c r="H856" s="36" t="s">
        <v>629</v>
      </c>
      <c r="I856" s="36" t="s">
        <v>623</v>
      </c>
      <c r="J856" s="36" t="s">
        <v>615</v>
      </c>
      <c r="K856">
        <v>18</v>
      </c>
      <c r="L856">
        <v>3500</v>
      </c>
      <c r="M856">
        <v>63000</v>
      </c>
      <c r="N856">
        <v>51030</v>
      </c>
      <c r="O856">
        <v>11970</v>
      </c>
      <c r="P856" s="11">
        <v>0.19</v>
      </c>
    </row>
    <row r="857" spans="1:16" x14ac:dyDescent="0.25">
      <c r="A857" s="36" t="s">
        <v>590</v>
      </c>
      <c r="B857" s="2">
        <v>45878</v>
      </c>
      <c r="C857" s="36" t="s">
        <v>50</v>
      </c>
      <c r="D857">
        <v>2025</v>
      </c>
      <c r="E857" s="36" t="s">
        <v>607</v>
      </c>
      <c r="F857" s="36" t="s">
        <v>42</v>
      </c>
      <c r="G857" s="36" t="s">
        <v>608</v>
      </c>
      <c r="H857" s="36" t="s">
        <v>625</v>
      </c>
      <c r="I857" s="36" t="s">
        <v>619</v>
      </c>
      <c r="J857" s="36" t="s">
        <v>615</v>
      </c>
      <c r="K857">
        <v>15</v>
      </c>
      <c r="L857">
        <v>50</v>
      </c>
      <c r="M857">
        <v>750</v>
      </c>
      <c r="N857">
        <v>667.5</v>
      </c>
      <c r="O857">
        <v>82.5</v>
      </c>
      <c r="P857" s="11">
        <v>0.11</v>
      </c>
    </row>
    <row r="858" spans="1:16" x14ac:dyDescent="0.25">
      <c r="A858" s="36" t="s">
        <v>151</v>
      </c>
      <c r="B858" s="2">
        <v>45879</v>
      </c>
      <c r="C858" s="36" t="s">
        <v>50</v>
      </c>
      <c r="D858">
        <v>2025</v>
      </c>
      <c r="E858" s="36" t="s">
        <v>599</v>
      </c>
      <c r="F858" s="36" t="s">
        <v>39</v>
      </c>
      <c r="G858" s="36" t="s">
        <v>612</v>
      </c>
      <c r="H858" s="36" t="s">
        <v>625</v>
      </c>
      <c r="I858" s="36" t="s">
        <v>645</v>
      </c>
      <c r="J858" s="36" t="s">
        <v>615</v>
      </c>
      <c r="K858">
        <v>8</v>
      </c>
      <c r="L858">
        <v>1200</v>
      </c>
      <c r="M858">
        <v>9600</v>
      </c>
      <c r="N858">
        <v>8352</v>
      </c>
      <c r="O858">
        <v>1248</v>
      </c>
      <c r="P858" s="11">
        <v>0.13</v>
      </c>
    </row>
    <row r="859" spans="1:16" x14ac:dyDescent="0.25">
      <c r="A859" s="36" t="s">
        <v>282</v>
      </c>
      <c r="B859" s="2">
        <v>45879</v>
      </c>
      <c r="C859" s="36" t="s">
        <v>50</v>
      </c>
      <c r="D859">
        <v>2025</v>
      </c>
      <c r="E859" s="36" t="s">
        <v>603</v>
      </c>
      <c r="F859" s="36" t="s">
        <v>42</v>
      </c>
      <c r="G859" s="36" t="s">
        <v>608</v>
      </c>
      <c r="H859" s="36" t="s">
        <v>622</v>
      </c>
      <c r="I859" s="36" t="s">
        <v>645</v>
      </c>
      <c r="J859" s="36" t="s">
        <v>615</v>
      </c>
      <c r="K859">
        <v>18</v>
      </c>
      <c r="L859">
        <v>45000</v>
      </c>
      <c r="M859">
        <v>810000</v>
      </c>
      <c r="N859">
        <v>639900</v>
      </c>
      <c r="O859">
        <v>170100</v>
      </c>
      <c r="P859" s="11">
        <v>0.21</v>
      </c>
    </row>
    <row r="860" spans="1:16" x14ac:dyDescent="0.25">
      <c r="A860" s="36" t="s">
        <v>49</v>
      </c>
      <c r="B860" s="2">
        <v>45880</v>
      </c>
      <c r="C860" s="36" t="s">
        <v>50</v>
      </c>
      <c r="D860">
        <v>2025</v>
      </c>
      <c r="E860" s="36" t="s">
        <v>595</v>
      </c>
      <c r="F860" s="36" t="s">
        <v>39</v>
      </c>
      <c r="G860" s="36" t="s">
        <v>610</v>
      </c>
      <c r="H860" s="36" t="s">
        <v>620</v>
      </c>
      <c r="I860" s="36" t="s">
        <v>619</v>
      </c>
      <c r="J860" s="36" t="s">
        <v>615</v>
      </c>
      <c r="K860">
        <v>9</v>
      </c>
      <c r="L860">
        <v>700</v>
      </c>
      <c r="M860">
        <v>6300</v>
      </c>
      <c r="N860">
        <v>4347</v>
      </c>
      <c r="O860">
        <v>1953</v>
      </c>
      <c r="P860" s="11">
        <v>0.31</v>
      </c>
    </row>
    <row r="861" spans="1:16" x14ac:dyDescent="0.25">
      <c r="A861" s="36" t="s">
        <v>220</v>
      </c>
      <c r="B861" s="2">
        <v>45881</v>
      </c>
      <c r="C861" s="36" t="s">
        <v>50</v>
      </c>
      <c r="D861">
        <v>2025</v>
      </c>
      <c r="E861" s="36" t="s">
        <v>607</v>
      </c>
      <c r="F861" s="36" t="s">
        <v>42</v>
      </c>
      <c r="G861" s="36" t="s">
        <v>609</v>
      </c>
      <c r="H861" s="36" t="s">
        <v>620</v>
      </c>
      <c r="I861" s="36" t="s">
        <v>623</v>
      </c>
      <c r="J861" s="36" t="s">
        <v>618</v>
      </c>
      <c r="K861">
        <v>1</v>
      </c>
      <c r="L861">
        <v>8000</v>
      </c>
      <c r="M861">
        <v>8000</v>
      </c>
      <c r="N861">
        <v>5920</v>
      </c>
      <c r="O861">
        <v>2080</v>
      </c>
      <c r="P861" s="11">
        <v>0.26</v>
      </c>
    </row>
    <row r="862" spans="1:16" x14ac:dyDescent="0.25">
      <c r="A862" s="36" t="s">
        <v>397</v>
      </c>
      <c r="B862" s="2">
        <v>45882</v>
      </c>
      <c r="C862" s="36" t="s">
        <v>50</v>
      </c>
      <c r="D862">
        <v>2025</v>
      </c>
      <c r="E862" s="36" t="s">
        <v>596</v>
      </c>
      <c r="F862" s="36" t="s">
        <v>39</v>
      </c>
      <c r="G862" s="36" t="s">
        <v>611</v>
      </c>
      <c r="H862" s="36" t="s">
        <v>628</v>
      </c>
      <c r="I862" s="36" t="s">
        <v>630</v>
      </c>
      <c r="J862" s="36" t="s">
        <v>615</v>
      </c>
      <c r="K862">
        <v>1</v>
      </c>
      <c r="L862">
        <v>20</v>
      </c>
      <c r="M862">
        <v>20</v>
      </c>
      <c r="N862">
        <v>17.399999999999999</v>
      </c>
      <c r="O862">
        <v>2.6000000000000014</v>
      </c>
      <c r="P862" s="11">
        <v>0.13000000000000006</v>
      </c>
    </row>
    <row r="863" spans="1:16" x14ac:dyDescent="0.25">
      <c r="A863" s="36" t="s">
        <v>69</v>
      </c>
      <c r="B863" s="2">
        <v>45885</v>
      </c>
      <c r="C863" s="36" t="s">
        <v>50</v>
      </c>
      <c r="D863">
        <v>2025</v>
      </c>
      <c r="E863" s="36" t="s">
        <v>602</v>
      </c>
      <c r="F863" s="36" t="s">
        <v>42</v>
      </c>
      <c r="G863" s="36" t="s">
        <v>612</v>
      </c>
      <c r="H863" s="36" t="s">
        <v>628</v>
      </c>
      <c r="I863" s="36" t="s">
        <v>627</v>
      </c>
      <c r="J863" s="36" t="s">
        <v>615</v>
      </c>
      <c r="K863">
        <v>10</v>
      </c>
      <c r="L863">
        <v>1200</v>
      </c>
      <c r="M863">
        <v>12000</v>
      </c>
      <c r="N863">
        <v>7680</v>
      </c>
      <c r="O863">
        <v>4320</v>
      </c>
      <c r="P863" s="11">
        <v>0.36</v>
      </c>
    </row>
    <row r="864" spans="1:16" x14ac:dyDescent="0.25">
      <c r="A864" s="36" t="s">
        <v>78</v>
      </c>
      <c r="B864" s="2">
        <v>45885</v>
      </c>
      <c r="C864" s="36" t="s">
        <v>50</v>
      </c>
      <c r="D864">
        <v>2025</v>
      </c>
      <c r="E864" s="36" t="s">
        <v>605</v>
      </c>
      <c r="F864" s="36" t="s">
        <v>40</v>
      </c>
      <c r="G864" s="36" t="s">
        <v>609</v>
      </c>
      <c r="H864" s="36" t="s">
        <v>626</v>
      </c>
      <c r="I864" s="36" t="s">
        <v>617</v>
      </c>
      <c r="J864" s="36" t="s">
        <v>615</v>
      </c>
      <c r="K864">
        <v>17</v>
      </c>
      <c r="L864">
        <v>3500</v>
      </c>
      <c r="M864">
        <v>59500</v>
      </c>
      <c r="N864">
        <v>49980</v>
      </c>
      <c r="O864">
        <v>9520</v>
      </c>
      <c r="P864" s="11">
        <v>0.16</v>
      </c>
    </row>
    <row r="865" spans="1:16" x14ac:dyDescent="0.25">
      <c r="A865" s="36" t="s">
        <v>298</v>
      </c>
      <c r="B865" s="2">
        <v>45885</v>
      </c>
      <c r="C865" s="36" t="s">
        <v>50</v>
      </c>
      <c r="D865">
        <v>2025</v>
      </c>
      <c r="E865" s="36" t="s">
        <v>598</v>
      </c>
      <c r="F865" s="36" t="s">
        <v>40</v>
      </c>
      <c r="G865" s="36" t="s">
        <v>609</v>
      </c>
      <c r="H865" s="36" t="s">
        <v>624</v>
      </c>
      <c r="I865" s="36" t="s">
        <v>645</v>
      </c>
      <c r="J865" s="36" t="s">
        <v>615</v>
      </c>
      <c r="K865">
        <v>19</v>
      </c>
      <c r="L865">
        <v>300</v>
      </c>
      <c r="M865">
        <v>5700</v>
      </c>
      <c r="N865">
        <v>4845</v>
      </c>
      <c r="O865">
        <v>855</v>
      </c>
      <c r="P865" s="11">
        <v>0.15</v>
      </c>
    </row>
    <row r="866" spans="1:16" x14ac:dyDescent="0.25">
      <c r="A866" s="36" t="s">
        <v>514</v>
      </c>
      <c r="B866" s="2">
        <v>45885</v>
      </c>
      <c r="C866" s="36" t="s">
        <v>50</v>
      </c>
      <c r="D866">
        <v>2025</v>
      </c>
      <c r="E866" s="36" t="s">
        <v>594</v>
      </c>
      <c r="F866" s="36" t="s">
        <v>39</v>
      </c>
      <c r="G866" s="36" t="s">
        <v>609</v>
      </c>
      <c r="H866" s="36" t="s">
        <v>620</v>
      </c>
      <c r="I866" s="36" t="s">
        <v>619</v>
      </c>
      <c r="J866" s="36" t="s">
        <v>618</v>
      </c>
      <c r="K866">
        <v>5</v>
      </c>
      <c r="L866">
        <v>12000</v>
      </c>
      <c r="M866">
        <v>60000</v>
      </c>
      <c r="N866">
        <v>38400</v>
      </c>
      <c r="O866">
        <v>21600</v>
      </c>
      <c r="P866" s="11">
        <v>0.36</v>
      </c>
    </row>
    <row r="867" spans="1:16" x14ac:dyDescent="0.25">
      <c r="A867" s="36" t="s">
        <v>523</v>
      </c>
      <c r="B867" s="2">
        <v>45885</v>
      </c>
      <c r="C867" s="36" t="s">
        <v>50</v>
      </c>
      <c r="D867">
        <v>2025</v>
      </c>
      <c r="E867" s="36" t="s">
        <v>598</v>
      </c>
      <c r="F867" s="36" t="s">
        <v>40</v>
      </c>
      <c r="G867" s="36" t="s">
        <v>608</v>
      </c>
      <c r="H867" s="36" t="s">
        <v>625</v>
      </c>
      <c r="I867" s="36" t="s">
        <v>627</v>
      </c>
      <c r="J867" s="36" t="s">
        <v>615</v>
      </c>
      <c r="K867">
        <v>13</v>
      </c>
      <c r="L867">
        <v>700</v>
      </c>
      <c r="M867">
        <v>9100</v>
      </c>
      <c r="N867">
        <v>7007</v>
      </c>
      <c r="O867">
        <v>2093</v>
      </c>
      <c r="P867" s="11">
        <v>0.23</v>
      </c>
    </row>
    <row r="868" spans="1:16" x14ac:dyDescent="0.25">
      <c r="A868" s="36" t="s">
        <v>525</v>
      </c>
      <c r="B868" s="2">
        <v>45885</v>
      </c>
      <c r="C868" s="36" t="s">
        <v>50</v>
      </c>
      <c r="D868">
        <v>2025</v>
      </c>
      <c r="E868" s="36" t="s">
        <v>605</v>
      </c>
      <c r="F868" s="36" t="s">
        <v>40</v>
      </c>
      <c r="G868" s="36" t="s">
        <v>609</v>
      </c>
      <c r="H868" s="36" t="s">
        <v>628</v>
      </c>
      <c r="I868" s="36" t="s">
        <v>619</v>
      </c>
      <c r="J868" s="36" t="s">
        <v>615</v>
      </c>
      <c r="K868">
        <v>4</v>
      </c>
      <c r="L868">
        <v>300</v>
      </c>
      <c r="M868">
        <v>1200</v>
      </c>
      <c r="N868">
        <v>768</v>
      </c>
      <c r="O868">
        <v>432</v>
      </c>
      <c r="P868" s="11">
        <v>0.36</v>
      </c>
    </row>
    <row r="869" spans="1:16" x14ac:dyDescent="0.25">
      <c r="A869" s="36" t="s">
        <v>118</v>
      </c>
      <c r="B869" s="2">
        <v>45886</v>
      </c>
      <c r="C869" s="36" t="s">
        <v>50</v>
      </c>
      <c r="D869">
        <v>2025</v>
      </c>
      <c r="E869" s="36" t="s">
        <v>601</v>
      </c>
      <c r="F869" s="36" t="s">
        <v>41</v>
      </c>
      <c r="G869" s="36" t="s">
        <v>610</v>
      </c>
      <c r="H869" s="36" t="s">
        <v>625</v>
      </c>
      <c r="I869" s="36" t="s">
        <v>631</v>
      </c>
      <c r="J869" s="36" t="s">
        <v>618</v>
      </c>
      <c r="K869">
        <v>12</v>
      </c>
      <c r="L869">
        <v>300</v>
      </c>
      <c r="M869">
        <v>3600</v>
      </c>
      <c r="N869">
        <v>2160</v>
      </c>
      <c r="O869">
        <v>1440</v>
      </c>
      <c r="P869" s="11">
        <v>0.4</v>
      </c>
    </row>
    <row r="870" spans="1:16" x14ac:dyDescent="0.25">
      <c r="A870" s="36" t="s">
        <v>205</v>
      </c>
      <c r="B870" s="2">
        <v>45887</v>
      </c>
      <c r="C870" s="36" t="s">
        <v>50</v>
      </c>
      <c r="D870">
        <v>2025</v>
      </c>
      <c r="E870" s="36" t="s">
        <v>592</v>
      </c>
      <c r="F870" s="36" t="s">
        <v>40</v>
      </c>
      <c r="G870" s="36" t="s">
        <v>611</v>
      </c>
      <c r="H870" s="36" t="s">
        <v>616</v>
      </c>
      <c r="I870" s="36" t="s">
        <v>645</v>
      </c>
      <c r="J870" s="36" t="s">
        <v>618</v>
      </c>
      <c r="K870">
        <v>17</v>
      </c>
      <c r="L870">
        <v>300</v>
      </c>
      <c r="M870">
        <v>5100</v>
      </c>
      <c r="N870">
        <v>4080</v>
      </c>
      <c r="O870">
        <v>1020</v>
      </c>
      <c r="P870" s="11">
        <v>0.2</v>
      </c>
    </row>
    <row r="871" spans="1:16" x14ac:dyDescent="0.25">
      <c r="A871" s="36" t="s">
        <v>102</v>
      </c>
      <c r="B871" s="2">
        <v>45888</v>
      </c>
      <c r="C871" s="36" t="s">
        <v>50</v>
      </c>
      <c r="D871">
        <v>2025</v>
      </c>
      <c r="E871" s="36" t="s">
        <v>592</v>
      </c>
      <c r="F871" s="36" t="s">
        <v>40</v>
      </c>
      <c r="G871" s="36" t="s">
        <v>610</v>
      </c>
      <c r="H871" s="36" t="s">
        <v>625</v>
      </c>
      <c r="I871" s="36" t="s">
        <v>617</v>
      </c>
      <c r="J871" s="36" t="s">
        <v>618</v>
      </c>
      <c r="K871">
        <v>20</v>
      </c>
      <c r="L871">
        <v>3500</v>
      </c>
      <c r="M871">
        <v>70000</v>
      </c>
      <c r="N871">
        <v>42000</v>
      </c>
      <c r="O871">
        <v>28000</v>
      </c>
      <c r="P871" s="11">
        <v>0.4</v>
      </c>
    </row>
    <row r="872" spans="1:16" x14ac:dyDescent="0.25">
      <c r="A872" s="36" t="s">
        <v>236</v>
      </c>
      <c r="B872" s="2">
        <v>45888</v>
      </c>
      <c r="C872" s="36" t="s">
        <v>50</v>
      </c>
      <c r="D872">
        <v>2025</v>
      </c>
      <c r="E872" s="36" t="s">
        <v>601</v>
      </c>
      <c r="F872" s="36" t="s">
        <v>41</v>
      </c>
      <c r="G872" s="36" t="s">
        <v>610</v>
      </c>
      <c r="H872" s="36" t="s">
        <v>628</v>
      </c>
      <c r="I872" s="36" t="s">
        <v>617</v>
      </c>
      <c r="J872" s="36" t="s">
        <v>615</v>
      </c>
      <c r="K872">
        <v>9</v>
      </c>
      <c r="L872">
        <v>300</v>
      </c>
      <c r="M872">
        <v>2700</v>
      </c>
      <c r="N872">
        <v>2079</v>
      </c>
      <c r="O872">
        <v>621</v>
      </c>
      <c r="P872" s="11">
        <v>0.23</v>
      </c>
    </row>
    <row r="873" spans="1:16" x14ac:dyDescent="0.25">
      <c r="A873" s="36" t="s">
        <v>73</v>
      </c>
      <c r="B873" s="2">
        <v>45889</v>
      </c>
      <c r="C873" s="36" t="s">
        <v>50</v>
      </c>
      <c r="D873">
        <v>2025</v>
      </c>
      <c r="E873" s="36" t="s">
        <v>601</v>
      </c>
      <c r="F873" s="36" t="s">
        <v>41</v>
      </c>
      <c r="G873" s="36" t="s">
        <v>608</v>
      </c>
      <c r="H873" s="36" t="s">
        <v>629</v>
      </c>
      <c r="I873" s="36" t="s">
        <v>630</v>
      </c>
      <c r="J873" s="36" t="s">
        <v>615</v>
      </c>
      <c r="K873">
        <v>11</v>
      </c>
      <c r="L873">
        <v>4000</v>
      </c>
      <c r="M873">
        <v>44000</v>
      </c>
      <c r="N873">
        <v>32560</v>
      </c>
      <c r="O873">
        <v>11440</v>
      </c>
      <c r="P873" s="11">
        <v>0.26</v>
      </c>
    </row>
    <row r="874" spans="1:16" x14ac:dyDescent="0.25">
      <c r="A874" s="36" t="s">
        <v>86</v>
      </c>
      <c r="B874" s="2">
        <v>45889</v>
      </c>
      <c r="C874" s="36" t="s">
        <v>50</v>
      </c>
      <c r="D874">
        <v>2025</v>
      </c>
      <c r="E874" s="36" t="s">
        <v>595</v>
      </c>
      <c r="F874" s="36" t="s">
        <v>39</v>
      </c>
      <c r="G874" s="36" t="s">
        <v>609</v>
      </c>
      <c r="H874" s="36" t="s">
        <v>625</v>
      </c>
      <c r="I874" s="36" t="s">
        <v>630</v>
      </c>
      <c r="J874" s="36" t="s">
        <v>618</v>
      </c>
      <c r="K874">
        <v>19</v>
      </c>
      <c r="L874">
        <v>9000</v>
      </c>
      <c r="M874">
        <v>171000</v>
      </c>
      <c r="N874">
        <v>136800</v>
      </c>
      <c r="O874">
        <v>34200</v>
      </c>
      <c r="P874" s="11">
        <v>0.2</v>
      </c>
    </row>
    <row r="875" spans="1:16" x14ac:dyDescent="0.25">
      <c r="A875" s="36" t="s">
        <v>291</v>
      </c>
      <c r="B875" s="2">
        <v>45889</v>
      </c>
      <c r="C875" s="36" t="s">
        <v>50</v>
      </c>
      <c r="D875">
        <v>2025</v>
      </c>
      <c r="E875" s="36" t="s">
        <v>604</v>
      </c>
      <c r="F875" s="36" t="s">
        <v>41</v>
      </c>
      <c r="G875" s="36" t="s">
        <v>609</v>
      </c>
      <c r="H875" s="36" t="s">
        <v>620</v>
      </c>
      <c r="I875" s="36" t="s">
        <v>619</v>
      </c>
      <c r="J875" s="36" t="s">
        <v>618</v>
      </c>
      <c r="K875">
        <v>1</v>
      </c>
      <c r="L875">
        <v>150</v>
      </c>
      <c r="M875">
        <v>150</v>
      </c>
      <c r="N875">
        <v>97.5</v>
      </c>
      <c r="O875">
        <v>52.5</v>
      </c>
      <c r="P875" s="11">
        <v>0.35</v>
      </c>
    </row>
    <row r="876" spans="1:16" x14ac:dyDescent="0.25">
      <c r="A876" s="36" t="s">
        <v>469</v>
      </c>
      <c r="B876" s="2">
        <v>45889</v>
      </c>
      <c r="C876" s="36" t="s">
        <v>50</v>
      </c>
      <c r="D876">
        <v>2025</v>
      </c>
      <c r="E876" s="36" t="s">
        <v>607</v>
      </c>
      <c r="F876" s="36" t="s">
        <v>42</v>
      </c>
      <c r="G876" s="36" t="s">
        <v>610</v>
      </c>
      <c r="H876" s="36" t="s">
        <v>613</v>
      </c>
      <c r="I876" s="36" t="s">
        <v>623</v>
      </c>
      <c r="J876" s="36" t="s">
        <v>618</v>
      </c>
      <c r="K876">
        <v>2</v>
      </c>
      <c r="L876">
        <v>20</v>
      </c>
      <c r="M876">
        <v>40</v>
      </c>
      <c r="N876">
        <v>34.799999999999997</v>
      </c>
      <c r="O876">
        <v>5.2000000000000028</v>
      </c>
      <c r="P876" s="11">
        <v>0.13000000000000006</v>
      </c>
    </row>
    <row r="877" spans="1:16" x14ac:dyDescent="0.25">
      <c r="A877" s="36" t="s">
        <v>482</v>
      </c>
      <c r="B877" s="2">
        <v>45889</v>
      </c>
      <c r="C877" s="36" t="s">
        <v>50</v>
      </c>
      <c r="D877">
        <v>2025</v>
      </c>
      <c r="E877" s="36" t="s">
        <v>605</v>
      </c>
      <c r="F877" s="36" t="s">
        <v>40</v>
      </c>
      <c r="G877" s="36" t="s">
        <v>610</v>
      </c>
      <c r="H877" s="36" t="s">
        <v>613</v>
      </c>
      <c r="I877" s="36" t="s">
        <v>623</v>
      </c>
      <c r="J877" s="36" t="s">
        <v>615</v>
      </c>
      <c r="K877">
        <v>16</v>
      </c>
      <c r="L877">
        <v>1200</v>
      </c>
      <c r="M877">
        <v>19200</v>
      </c>
      <c r="N877">
        <v>15552</v>
      </c>
      <c r="O877">
        <v>3648</v>
      </c>
      <c r="P877" s="11">
        <v>0.19</v>
      </c>
    </row>
    <row r="878" spans="1:16" x14ac:dyDescent="0.25">
      <c r="A878" s="36" t="s">
        <v>561</v>
      </c>
      <c r="B878" s="2">
        <v>45889</v>
      </c>
      <c r="C878" s="36" t="s">
        <v>50</v>
      </c>
      <c r="D878">
        <v>2025</v>
      </c>
      <c r="E878" s="36" t="s">
        <v>597</v>
      </c>
      <c r="F878" s="36" t="s">
        <v>41</v>
      </c>
      <c r="G878" s="36" t="s">
        <v>608</v>
      </c>
      <c r="H878" s="36" t="s">
        <v>613</v>
      </c>
      <c r="I878" s="36" t="s">
        <v>619</v>
      </c>
      <c r="J878" s="36" t="s">
        <v>615</v>
      </c>
      <c r="K878">
        <v>12</v>
      </c>
      <c r="L878">
        <v>50</v>
      </c>
      <c r="M878">
        <v>600</v>
      </c>
      <c r="N878">
        <v>414</v>
      </c>
      <c r="O878">
        <v>186</v>
      </c>
      <c r="P878" s="11">
        <v>0.31</v>
      </c>
    </row>
    <row r="879" spans="1:16" x14ac:dyDescent="0.25">
      <c r="A879" s="36" t="s">
        <v>422</v>
      </c>
      <c r="B879" s="2">
        <v>45890</v>
      </c>
      <c r="C879" s="36" t="s">
        <v>50</v>
      </c>
      <c r="D879">
        <v>2025</v>
      </c>
      <c r="E879" s="36" t="s">
        <v>599</v>
      </c>
      <c r="F879" s="36" t="s">
        <v>39</v>
      </c>
      <c r="G879" s="36" t="s">
        <v>609</v>
      </c>
      <c r="H879" s="36" t="s">
        <v>620</v>
      </c>
      <c r="I879" s="36" t="s">
        <v>614</v>
      </c>
      <c r="J879" s="36" t="s">
        <v>618</v>
      </c>
      <c r="K879">
        <v>3</v>
      </c>
      <c r="L879">
        <v>20</v>
      </c>
      <c r="M879">
        <v>60</v>
      </c>
      <c r="N879">
        <v>36.6</v>
      </c>
      <c r="O879">
        <v>23.4</v>
      </c>
      <c r="P879" s="11">
        <v>0.38999999999999996</v>
      </c>
    </row>
    <row r="880" spans="1:16" x14ac:dyDescent="0.25">
      <c r="A880" s="36" t="s">
        <v>97</v>
      </c>
      <c r="B880" s="2">
        <v>45891</v>
      </c>
      <c r="C880" s="36" t="s">
        <v>50</v>
      </c>
      <c r="D880">
        <v>2025</v>
      </c>
      <c r="E880" s="36" t="s">
        <v>601</v>
      </c>
      <c r="F880" s="36" t="s">
        <v>41</v>
      </c>
      <c r="G880" s="36" t="s">
        <v>608</v>
      </c>
      <c r="H880" s="36" t="s">
        <v>628</v>
      </c>
      <c r="I880" s="36" t="s">
        <v>645</v>
      </c>
      <c r="J880" s="36" t="s">
        <v>615</v>
      </c>
      <c r="K880">
        <v>17</v>
      </c>
      <c r="L880">
        <v>45000</v>
      </c>
      <c r="M880">
        <v>765000</v>
      </c>
      <c r="N880">
        <v>466650</v>
      </c>
      <c r="O880">
        <v>298350</v>
      </c>
      <c r="P880" s="11">
        <v>0.39</v>
      </c>
    </row>
    <row r="881" spans="1:16" x14ac:dyDescent="0.25">
      <c r="A881" s="36" t="s">
        <v>331</v>
      </c>
      <c r="B881" s="2">
        <v>45891</v>
      </c>
      <c r="C881" s="36" t="s">
        <v>50</v>
      </c>
      <c r="D881">
        <v>2025</v>
      </c>
      <c r="E881" s="36" t="s">
        <v>599</v>
      </c>
      <c r="F881" s="36" t="s">
        <v>39</v>
      </c>
      <c r="G881" s="36" t="s">
        <v>612</v>
      </c>
      <c r="H881" s="36" t="s">
        <v>613</v>
      </c>
      <c r="I881" s="36" t="s">
        <v>617</v>
      </c>
      <c r="J881" s="36" t="s">
        <v>618</v>
      </c>
      <c r="K881">
        <v>16</v>
      </c>
      <c r="L881">
        <v>1200</v>
      </c>
      <c r="M881">
        <v>19200</v>
      </c>
      <c r="N881">
        <v>15936</v>
      </c>
      <c r="O881">
        <v>3264</v>
      </c>
      <c r="P881" s="11">
        <v>0.17</v>
      </c>
    </row>
    <row r="882" spans="1:16" x14ac:dyDescent="0.25">
      <c r="A882" s="36" t="s">
        <v>566</v>
      </c>
      <c r="B882" s="2">
        <v>45891</v>
      </c>
      <c r="C882" s="36" t="s">
        <v>50</v>
      </c>
      <c r="D882">
        <v>2025</v>
      </c>
      <c r="E882" s="36" t="s">
        <v>603</v>
      </c>
      <c r="F882" s="36" t="s">
        <v>42</v>
      </c>
      <c r="G882" s="36" t="s">
        <v>610</v>
      </c>
      <c r="H882" s="36" t="s">
        <v>626</v>
      </c>
      <c r="I882" s="36" t="s">
        <v>627</v>
      </c>
      <c r="J882" s="36" t="s">
        <v>615</v>
      </c>
      <c r="K882">
        <v>7</v>
      </c>
      <c r="L882">
        <v>25000</v>
      </c>
      <c r="M882">
        <v>175000</v>
      </c>
      <c r="N882">
        <v>143500</v>
      </c>
      <c r="O882">
        <v>31500</v>
      </c>
      <c r="P882" s="11">
        <v>0.18</v>
      </c>
    </row>
    <row r="883" spans="1:16" x14ac:dyDescent="0.25">
      <c r="A883" s="36" t="s">
        <v>283</v>
      </c>
      <c r="B883" s="2">
        <v>45892</v>
      </c>
      <c r="C883" s="36" t="s">
        <v>50</v>
      </c>
      <c r="D883">
        <v>2025</v>
      </c>
      <c r="E883" s="36" t="s">
        <v>597</v>
      </c>
      <c r="F883" s="36" t="s">
        <v>41</v>
      </c>
      <c r="G883" s="36" t="s">
        <v>610</v>
      </c>
      <c r="H883" s="36" t="s">
        <v>621</v>
      </c>
      <c r="I883" s="36" t="s">
        <v>630</v>
      </c>
      <c r="J883" s="36" t="s">
        <v>615</v>
      </c>
      <c r="K883">
        <v>14</v>
      </c>
      <c r="L883">
        <v>300</v>
      </c>
      <c r="M883">
        <v>4200</v>
      </c>
      <c r="N883">
        <v>3738</v>
      </c>
      <c r="O883">
        <v>462</v>
      </c>
      <c r="P883" s="11">
        <v>0.11</v>
      </c>
    </row>
    <row r="884" spans="1:16" x14ac:dyDescent="0.25">
      <c r="A884" s="36" t="s">
        <v>334</v>
      </c>
      <c r="B884" s="2">
        <v>45892</v>
      </c>
      <c r="C884" s="36" t="s">
        <v>50</v>
      </c>
      <c r="D884">
        <v>2025</v>
      </c>
      <c r="E884" s="36" t="s">
        <v>600</v>
      </c>
      <c r="F884" s="36" t="s">
        <v>39</v>
      </c>
      <c r="G884" s="36" t="s">
        <v>609</v>
      </c>
      <c r="H884" s="36" t="s">
        <v>622</v>
      </c>
      <c r="I884" s="36" t="s">
        <v>617</v>
      </c>
      <c r="J884" s="36" t="s">
        <v>618</v>
      </c>
      <c r="K884">
        <v>5</v>
      </c>
      <c r="L884">
        <v>45000</v>
      </c>
      <c r="M884">
        <v>225000</v>
      </c>
      <c r="N884">
        <v>186750</v>
      </c>
      <c r="O884">
        <v>38250</v>
      </c>
      <c r="P884" s="11">
        <v>0.17</v>
      </c>
    </row>
    <row r="885" spans="1:16" x14ac:dyDescent="0.25">
      <c r="A885" s="36" t="s">
        <v>444</v>
      </c>
      <c r="B885" s="2">
        <v>45892</v>
      </c>
      <c r="C885" s="36" t="s">
        <v>50</v>
      </c>
      <c r="D885">
        <v>2025</v>
      </c>
      <c r="E885" s="36" t="s">
        <v>596</v>
      </c>
      <c r="F885" s="36" t="s">
        <v>39</v>
      </c>
      <c r="G885" s="36" t="s">
        <v>611</v>
      </c>
      <c r="H885" s="36" t="s">
        <v>613</v>
      </c>
      <c r="I885" s="36" t="s">
        <v>631</v>
      </c>
      <c r="J885" s="36" t="s">
        <v>615</v>
      </c>
      <c r="K885">
        <v>4</v>
      </c>
      <c r="L885">
        <v>20</v>
      </c>
      <c r="M885">
        <v>80</v>
      </c>
      <c r="N885">
        <v>52</v>
      </c>
      <c r="O885">
        <v>28</v>
      </c>
      <c r="P885" s="11">
        <v>0.35</v>
      </c>
    </row>
    <row r="886" spans="1:16" x14ac:dyDescent="0.25">
      <c r="A886" s="36" t="s">
        <v>66</v>
      </c>
      <c r="B886" s="2">
        <v>45894</v>
      </c>
      <c r="C886" s="36" t="s">
        <v>50</v>
      </c>
      <c r="D886">
        <v>2025</v>
      </c>
      <c r="E886" s="36" t="s">
        <v>597</v>
      </c>
      <c r="F886" s="36" t="s">
        <v>41</v>
      </c>
      <c r="G886" s="36" t="s">
        <v>611</v>
      </c>
      <c r="H886" s="36" t="s">
        <v>626</v>
      </c>
      <c r="I886" s="36" t="s">
        <v>614</v>
      </c>
      <c r="J886" s="36" t="s">
        <v>618</v>
      </c>
      <c r="K886">
        <v>4</v>
      </c>
      <c r="L886">
        <v>700</v>
      </c>
      <c r="M886">
        <v>2800</v>
      </c>
      <c r="N886">
        <v>2296</v>
      </c>
      <c r="O886">
        <v>504</v>
      </c>
      <c r="P886" s="11">
        <v>0.18</v>
      </c>
    </row>
    <row r="887" spans="1:16" x14ac:dyDescent="0.25">
      <c r="A887" s="36" t="s">
        <v>406</v>
      </c>
      <c r="B887" s="2">
        <v>45894</v>
      </c>
      <c r="C887" s="36" t="s">
        <v>50</v>
      </c>
      <c r="D887">
        <v>2025</v>
      </c>
      <c r="E887" s="36" t="s">
        <v>603</v>
      </c>
      <c r="F887" s="36" t="s">
        <v>42</v>
      </c>
      <c r="G887" s="36" t="s">
        <v>608</v>
      </c>
      <c r="H887" s="36" t="s">
        <v>621</v>
      </c>
      <c r="I887" s="36" t="s">
        <v>623</v>
      </c>
      <c r="J887" s="36" t="s">
        <v>618</v>
      </c>
      <c r="K887">
        <v>11</v>
      </c>
      <c r="L887">
        <v>55000</v>
      </c>
      <c r="M887">
        <v>605000</v>
      </c>
      <c r="N887">
        <v>496100</v>
      </c>
      <c r="O887">
        <v>108900</v>
      </c>
      <c r="P887" s="11">
        <v>0.18</v>
      </c>
    </row>
    <row r="888" spans="1:16" x14ac:dyDescent="0.25">
      <c r="A888" s="36" t="s">
        <v>363</v>
      </c>
      <c r="B888" s="2">
        <v>45897</v>
      </c>
      <c r="C888" s="36" t="s">
        <v>50</v>
      </c>
      <c r="D888">
        <v>2025</v>
      </c>
      <c r="E888" s="36" t="s">
        <v>601</v>
      </c>
      <c r="F888" s="36" t="s">
        <v>41</v>
      </c>
      <c r="G888" s="36" t="s">
        <v>612</v>
      </c>
      <c r="H888" s="36" t="s">
        <v>613</v>
      </c>
      <c r="I888" s="36" t="s">
        <v>645</v>
      </c>
      <c r="J888" s="36" t="s">
        <v>618</v>
      </c>
      <c r="K888">
        <v>6</v>
      </c>
      <c r="L888">
        <v>1200</v>
      </c>
      <c r="M888">
        <v>7200</v>
      </c>
      <c r="N888">
        <v>6264</v>
      </c>
      <c r="O888">
        <v>936</v>
      </c>
      <c r="P888" s="11">
        <v>0.13</v>
      </c>
    </row>
    <row r="889" spans="1:16" x14ac:dyDescent="0.25">
      <c r="A889" s="36" t="s">
        <v>90</v>
      </c>
      <c r="B889" s="2">
        <v>45902</v>
      </c>
      <c r="C889" s="36" t="s">
        <v>53</v>
      </c>
      <c r="D889">
        <v>2025</v>
      </c>
      <c r="E889" s="36" t="s">
        <v>598</v>
      </c>
      <c r="F889" s="36" t="s">
        <v>40</v>
      </c>
      <c r="G889" s="36" t="s">
        <v>608</v>
      </c>
      <c r="H889" s="36" t="s">
        <v>613</v>
      </c>
      <c r="I889" s="36" t="s">
        <v>631</v>
      </c>
      <c r="J889" s="36" t="s">
        <v>618</v>
      </c>
      <c r="K889">
        <v>5</v>
      </c>
      <c r="L889">
        <v>300</v>
      </c>
      <c r="M889">
        <v>1500</v>
      </c>
      <c r="N889">
        <v>975</v>
      </c>
      <c r="O889">
        <v>525</v>
      </c>
      <c r="P889" s="11">
        <v>0.35</v>
      </c>
    </row>
    <row r="890" spans="1:16" x14ac:dyDescent="0.25">
      <c r="A890" s="36" t="s">
        <v>520</v>
      </c>
      <c r="B890" s="2">
        <v>45902</v>
      </c>
      <c r="C890" s="36" t="s">
        <v>53</v>
      </c>
      <c r="D890">
        <v>2025</v>
      </c>
      <c r="E890" s="36" t="s">
        <v>607</v>
      </c>
      <c r="F890" s="36" t="s">
        <v>42</v>
      </c>
      <c r="G890" s="36" t="s">
        <v>612</v>
      </c>
      <c r="H890" s="36" t="s">
        <v>625</v>
      </c>
      <c r="I890" s="36" t="s">
        <v>631</v>
      </c>
      <c r="J890" s="36" t="s">
        <v>618</v>
      </c>
      <c r="K890">
        <v>17</v>
      </c>
      <c r="L890">
        <v>300</v>
      </c>
      <c r="M890">
        <v>5100</v>
      </c>
      <c r="N890">
        <v>3723</v>
      </c>
      <c r="O890">
        <v>1377</v>
      </c>
      <c r="P890" s="11">
        <v>0.27</v>
      </c>
    </row>
    <row r="891" spans="1:16" x14ac:dyDescent="0.25">
      <c r="A891" s="36" t="s">
        <v>421</v>
      </c>
      <c r="B891" s="2">
        <v>45903</v>
      </c>
      <c r="C891" s="36" t="s">
        <v>53</v>
      </c>
      <c r="D891">
        <v>2025</v>
      </c>
      <c r="E891" s="36" t="s">
        <v>599</v>
      </c>
      <c r="F891" s="36" t="s">
        <v>39</v>
      </c>
      <c r="G891" s="36" t="s">
        <v>610</v>
      </c>
      <c r="H891" s="36" t="s">
        <v>622</v>
      </c>
      <c r="I891" s="36" t="s">
        <v>631</v>
      </c>
      <c r="J891" s="36" t="s">
        <v>618</v>
      </c>
      <c r="K891">
        <v>8</v>
      </c>
      <c r="L891">
        <v>8000</v>
      </c>
      <c r="M891">
        <v>64000</v>
      </c>
      <c r="N891">
        <v>40960</v>
      </c>
      <c r="O891">
        <v>23040</v>
      </c>
      <c r="P891" s="11">
        <v>0.36</v>
      </c>
    </row>
    <row r="892" spans="1:16" x14ac:dyDescent="0.25">
      <c r="A892" s="36" t="s">
        <v>96</v>
      </c>
      <c r="B892" s="2">
        <v>45904</v>
      </c>
      <c r="C892" s="36" t="s">
        <v>53</v>
      </c>
      <c r="D892">
        <v>2025</v>
      </c>
      <c r="E892" s="36" t="s">
        <v>606</v>
      </c>
      <c r="F892" s="36" t="s">
        <v>40</v>
      </c>
      <c r="G892" s="36" t="s">
        <v>609</v>
      </c>
      <c r="H892" s="36" t="s">
        <v>625</v>
      </c>
      <c r="I892" s="36" t="s">
        <v>619</v>
      </c>
      <c r="J892" s="36" t="s">
        <v>618</v>
      </c>
      <c r="K892">
        <v>10</v>
      </c>
      <c r="L892">
        <v>55000</v>
      </c>
      <c r="M892">
        <v>550000</v>
      </c>
      <c r="N892">
        <v>462000</v>
      </c>
      <c r="O892">
        <v>88000</v>
      </c>
      <c r="P892" s="11">
        <v>0.16</v>
      </c>
    </row>
    <row r="893" spans="1:16" x14ac:dyDescent="0.25">
      <c r="A893" s="36" t="s">
        <v>153</v>
      </c>
      <c r="B893" s="2">
        <v>45904</v>
      </c>
      <c r="C893" s="36" t="s">
        <v>53</v>
      </c>
      <c r="D893">
        <v>2025</v>
      </c>
      <c r="E893" s="36" t="s">
        <v>607</v>
      </c>
      <c r="F893" s="36" t="s">
        <v>42</v>
      </c>
      <c r="G893" s="36" t="s">
        <v>608</v>
      </c>
      <c r="H893" s="36" t="s">
        <v>626</v>
      </c>
      <c r="I893" s="36" t="s">
        <v>631</v>
      </c>
      <c r="J893" s="36" t="s">
        <v>618</v>
      </c>
      <c r="K893">
        <v>16</v>
      </c>
      <c r="L893">
        <v>25000</v>
      </c>
      <c r="M893">
        <v>400000</v>
      </c>
      <c r="N893">
        <v>320000</v>
      </c>
      <c r="O893">
        <v>80000</v>
      </c>
      <c r="P893" s="11">
        <v>0.2</v>
      </c>
    </row>
    <row r="894" spans="1:16" x14ac:dyDescent="0.25">
      <c r="A894" s="36" t="s">
        <v>280</v>
      </c>
      <c r="B894" s="2">
        <v>45904</v>
      </c>
      <c r="C894" s="36" t="s">
        <v>53</v>
      </c>
      <c r="D894">
        <v>2025</v>
      </c>
      <c r="E894" s="36" t="s">
        <v>595</v>
      </c>
      <c r="F894" s="36" t="s">
        <v>39</v>
      </c>
      <c r="G894" s="36" t="s">
        <v>609</v>
      </c>
      <c r="H894" s="36" t="s">
        <v>624</v>
      </c>
      <c r="I894" s="36" t="s">
        <v>623</v>
      </c>
      <c r="J894" s="36" t="s">
        <v>615</v>
      </c>
      <c r="K894">
        <v>14</v>
      </c>
      <c r="L894">
        <v>4000</v>
      </c>
      <c r="M894">
        <v>56000</v>
      </c>
      <c r="N894">
        <v>39760</v>
      </c>
      <c r="O894">
        <v>16240</v>
      </c>
      <c r="P894" s="11">
        <v>0.28999999999999998</v>
      </c>
    </row>
    <row r="895" spans="1:16" x14ac:dyDescent="0.25">
      <c r="A895" s="36" t="s">
        <v>552</v>
      </c>
      <c r="B895" s="2">
        <v>45904</v>
      </c>
      <c r="C895" s="36" t="s">
        <v>53</v>
      </c>
      <c r="D895">
        <v>2025</v>
      </c>
      <c r="E895" s="36" t="s">
        <v>592</v>
      </c>
      <c r="F895" s="36" t="s">
        <v>40</v>
      </c>
      <c r="G895" s="36" t="s">
        <v>611</v>
      </c>
      <c r="H895" s="36" t="s">
        <v>624</v>
      </c>
      <c r="I895" s="36" t="s">
        <v>617</v>
      </c>
      <c r="J895" s="36" t="s">
        <v>618</v>
      </c>
      <c r="K895">
        <v>2</v>
      </c>
      <c r="L895">
        <v>8000</v>
      </c>
      <c r="M895">
        <v>16000</v>
      </c>
      <c r="N895">
        <v>12480</v>
      </c>
      <c r="O895">
        <v>3520</v>
      </c>
      <c r="P895" s="11">
        <v>0.22</v>
      </c>
    </row>
    <row r="896" spans="1:16" x14ac:dyDescent="0.25">
      <c r="A896" s="36" t="s">
        <v>442</v>
      </c>
      <c r="B896" s="2">
        <v>45905</v>
      </c>
      <c r="C896" s="36" t="s">
        <v>53</v>
      </c>
      <c r="D896">
        <v>2025</v>
      </c>
      <c r="E896" s="36" t="s">
        <v>601</v>
      </c>
      <c r="F896" s="36" t="s">
        <v>41</v>
      </c>
      <c r="G896" s="36" t="s">
        <v>611</v>
      </c>
      <c r="H896" s="36" t="s">
        <v>613</v>
      </c>
      <c r="I896" s="36" t="s">
        <v>617</v>
      </c>
      <c r="J896" s="36" t="s">
        <v>615</v>
      </c>
      <c r="K896">
        <v>4</v>
      </c>
      <c r="L896">
        <v>300</v>
      </c>
      <c r="M896">
        <v>1200</v>
      </c>
      <c r="N896">
        <v>1008</v>
      </c>
      <c r="O896">
        <v>192</v>
      </c>
      <c r="P896" s="11">
        <v>0.16</v>
      </c>
    </row>
    <row r="897" spans="1:16" x14ac:dyDescent="0.25">
      <c r="A897" s="36" t="s">
        <v>72</v>
      </c>
      <c r="B897" s="2">
        <v>45906</v>
      </c>
      <c r="C897" s="36" t="s">
        <v>53</v>
      </c>
      <c r="D897">
        <v>2025</v>
      </c>
      <c r="E897" s="36" t="s">
        <v>602</v>
      </c>
      <c r="F897" s="36" t="s">
        <v>42</v>
      </c>
      <c r="G897" s="36" t="s">
        <v>611</v>
      </c>
      <c r="H897" s="36" t="s">
        <v>626</v>
      </c>
      <c r="I897" s="36" t="s">
        <v>619</v>
      </c>
      <c r="J897" s="36" t="s">
        <v>618</v>
      </c>
      <c r="K897">
        <v>15</v>
      </c>
      <c r="L897">
        <v>15000</v>
      </c>
      <c r="M897">
        <v>225000</v>
      </c>
      <c r="N897">
        <v>189000</v>
      </c>
      <c r="O897">
        <v>36000</v>
      </c>
      <c r="P897" s="11">
        <v>0.16</v>
      </c>
    </row>
    <row r="898" spans="1:16" x14ac:dyDescent="0.25">
      <c r="A898" s="36" t="s">
        <v>173</v>
      </c>
      <c r="B898" s="2">
        <v>45906</v>
      </c>
      <c r="C898" s="36" t="s">
        <v>53</v>
      </c>
      <c r="D898">
        <v>2025</v>
      </c>
      <c r="E898" s="36" t="s">
        <v>600</v>
      </c>
      <c r="F898" s="36" t="s">
        <v>39</v>
      </c>
      <c r="G898" s="36" t="s">
        <v>608</v>
      </c>
      <c r="H898" s="36" t="s">
        <v>628</v>
      </c>
      <c r="I898" s="36" t="s">
        <v>630</v>
      </c>
      <c r="J898" s="36" t="s">
        <v>618</v>
      </c>
      <c r="K898">
        <v>9</v>
      </c>
      <c r="L898">
        <v>20</v>
      </c>
      <c r="M898">
        <v>180</v>
      </c>
      <c r="N898">
        <v>131.4</v>
      </c>
      <c r="O898">
        <v>48.599999999999994</v>
      </c>
      <c r="P898" s="11">
        <v>0.26999999999999996</v>
      </c>
    </row>
    <row r="899" spans="1:16" x14ac:dyDescent="0.25">
      <c r="A899" s="36" t="s">
        <v>369</v>
      </c>
      <c r="B899" s="2">
        <v>45906</v>
      </c>
      <c r="C899" s="36" t="s">
        <v>53</v>
      </c>
      <c r="D899">
        <v>2025</v>
      </c>
      <c r="E899" s="36" t="s">
        <v>607</v>
      </c>
      <c r="F899" s="36" t="s">
        <v>42</v>
      </c>
      <c r="G899" s="36" t="s">
        <v>609</v>
      </c>
      <c r="H899" s="36" t="s">
        <v>626</v>
      </c>
      <c r="I899" s="36" t="s">
        <v>631</v>
      </c>
      <c r="J899" s="36" t="s">
        <v>618</v>
      </c>
      <c r="K899">
        <v>11</v>
      </c>
      <c r="L899">
        <v>8000</v>
      </c>
      <c r="M899">
        <v>88000</v>
      </c>
      <c r="N899">
        <v>62480</v>
      </c>
      <c r="O899">
        <v>25520</v>
      </c>
      <c r="P899" s="11">
        <v>0.28999999999999998</v>
      </c>
    </row>
    <row r="900" spans="1:16" x14ac:dyDescent="0.25">
      <c r="A900" s="36" t="s">
        <v>505</v>
      </c>
      <c r="B900" s="2">
        <v>45906</v>
      </c>
      <c r="C900" s="36" t="s">
        <v>53</v>
      </c>
      <c r="D900">
        <v>2025</v>
      </c>
      <c r="E900" s="36" t="s">
        <v>597</v>
      </c>
      <c r="F900" s="36" t="s">
        <v>41</v>
      </c>
      <c r="G900" s="36" t="s">
        <v>609</v>
      </c>
      <c r="H900" s="36" t="s">
        <v>622</v>
      </c>
      <c r="I900" s="36" t="s">
        <v>617</v>
      </c>
      <c r="J900" s="36" t="s">
        <v>618</v>
      </c>
      <c r="K900">
        <v>13</v>
      </c>
      <c r="L900">
        <v>45000</v>
      </c>
      <c r="M900">
        <v>585000</v>
      </c>
      <c r="N900">
        <v>520650</v>
      </c>
      <c r="O900">
        <v>64350</v>
      </c>
      <c r="P900" s="11">
        <v>0.11</v>
      </c>
    </row>
    <row r="901" spans="1:16" x14ac:dyDescent="0.25">
      <c r="A901" s="36" t="s">
        <v>247</v>
      </c>
      <c r="B901" s="2">
        <v>45907</v>
      </c>
      <c r="C901" s="36" t="s">
        <v>53</v>
      </c>
      <c r="D901">
        <v>2025</v>
      </c>
      <c r="E901" s="36" t="s">
        <v>598</v>
      </c>
      <c r="F901" s="36" t="s">
        <v>40</v>
      </c>
      <c r="G901" s="36" t="s">
        <v>608</v>
      </c>
      <c r="H901" s="36" t="s">
        <v>624</v>
      </c>
      <c r="I901" s="36" t="s">
        <v>623</v>
      </c>
      <c r="J901" s="36" t="s">
        <v>618</v>
      </c>
      <c r="K901">
        <v>20</v>
      </c>
      <c r="L901">
        <v>700</v>
      </c>
      <c r="M901">
        <v>14000</v>
      </c>
      <c r="N901">
        <v>11200</v>
      </c>
      <c r="O901">
        <v>2800</v>
      </c>
      <c r="P901" s="11">
        <v>0.2</v>
      </c>
    </row>
    <row r="902" spans="1:16" x14ac:dyDescent="0.25">
      <c r="A902" s="36" t="s">
        <v>533</v>
      </c>
      <c r="B902" s="2">
        <v>45907</v>
      </c>
      <c r="C902" s="36" t="s">
        <v>53</v>
      </c>
      <c r="D902">
        <v>2025</v>
      </c>
      <c r="E902" s="36" t="s">
        <v>592</v>
      </c>
      <c r="F902" s="36" t="s">
        <v>40</v>
      </c>
      <c r="G902" s="36" t="s">
        <v>611</v>
      </c>
      <c r="H902" s="36" t="s">
        <v>620</v>
      </c>
      <c r="I902" s="36" t="s">
        <v>627</v>
      </c>
      <c r="J902" s="36" t="s">
        <v>618</v>
      </c>
      <c r="K902">
        <v>12</v>
      </c>
      <c r="L902">
        <v>150</v>
      </c>
      <c r="M902">
        <v>1800</v>
      </c>
      <c r="N902">
        <v>1206</v>
      </c>
      <c r="O902">
        <v>594</v>
      </c>
      <c r="P902" s="11">
        <v>0.33</v>
      </c>
    </row>
    <row r="903" spans="1:16" x14ac:dyDescent="0.25">
      <c r="A903" s="36" t="s">
        <v>404</v>
      </c>
      <c r="B903" s="2">
        <v>45908</v>
      </c>
      <c r="C903" s="36" t="s">
        <v>53</v>
      </c>
      <c r="D903">
        <v>2025</v>
      </c>
      <c r="E903" s="36" t="s">
        <v>598</v>
      </c>
      <c r="F903" s="36" t="s">
        <v>40</v>
      </c>
      <c r="G903" s="36" t="s">
        <v>610</v>
      </c>
      <c r="H903" s="36" t="s">
        <v>616</v>
      </c>
      <c r="I903" s="36" t="s">
        <v>619</v>
      </c>
      <c r="J903" s="36" t="s">
        <v>615</v>
      </c>
      <c r="K903">
        <v>7</v>
      </c>
      <c r="L903">
        <v>25000</v>
      </c>
      <c r="M903">
        <v>175000</v>
      </c>
      <c r="N903">
        <v>147000</v>
      </c>
      <c r="O903">
        <v>28000</v>
      </c>
      <c r="P903" s="11">
        <v>0.16</v>
      </c>
    </row>
    <row r="904" spans="1:16" x14ac:dyDescent="0.25">
      <c r="A904" s="36" t="s">
        <v>481</v>
      </c>
      <c r="B904" s="2">
        <v>45908</v>
      </c>
      <c r="C904" s="36" t="s">
        <v>53</v>
      </c>
      <c r="D904">
        <v>2025</v>
      </c>
      <c r="E904" s="36" t="s">
        <v>600</v>
      </c>
      <c r="F904" s="36" t="s">
        <v>39</v>
      </c>
      <c r="G904" s="36" t="s">
        <v>608</v>
      </c>
      <c r="H904" s="36" t="s">
        <v>622</v>
      </c>
      <c r="I904" s="36" t="s">
        <v>630</v>
      </c>
      <c r="J904" s="36" t="s">
        <v>618</v>
      </c>
      <c r="K904">
        <v>3</v>
      </c>
      <c r="L904">
        <v>45000</v>
      </c>
      <c r="M904">
        <v>135000</v>
      </c>
      <c r="N904">
        <v>85050</v>
      </c>
      <c r="O904">
        <v>49950</v>
      </c>
      <c r="P904" s="11">
        <v>0.37</v>
      </c>
    </row>
    <row r="905" spans="1:16" x14ac:dyDescent="0.25">
      <c r="A905" s="36" t="s">
        <v>84</v>
      </c>
      <c r="B905" s="2">
        <v>45909</v>
      </c>
      <c r="C905" s="36" t="s">
        <v>53</v>
      </c>
      <c r="D905">
        <v>2025</v>
      </c>
      <c r="E905" s="36" t="s">
        <v>598</v>
      </c>
      <c r="F905" s="36" t="s">
        <v>40</v>
      </c>
      <c r="G905" s="36" t="s">
        <v>610</v>
      </c>
      <c r="H905" s="36" t="s">
        <v>625</v>
      </c>
      <c r="I905" s="36" t="s">
        <v>645</v>
      </c>
      <c r="J905" s="36" t="s">
        <v>618</v>
      </c>
      <c r="K905">
        <v>8</v>
      </c>
      <c r="L905">
        <v>55000</v>
      </c>
      <c r="M905">
        <v>440000</v>
      </c>
      <c r="N905">
        <v>347600</v>
      </c>
      <c r="O905">
        <v>92400</v>
      </c>
      <c r="P905" s="11">
        <v>0.21</v>
      </c>
    </row>
    <row r="906" spans="1:16" x14ac:dyDescent="0.25">
      <c r="A906" s="36" t="s">
        <v>313</v>
      </c>
      <c r="B906" s="2">
        <v>45909</v>
      </c>
      <c r="C906" s="36" t="s">
        <v>53</v>
      </c>
      <c r="D906">
        <v>2025</v>
      </c>
      <c r="E906" s="36" t="s">
        <v>601</v>
      </c>
      <c r="F906" s="36" t="s">
        <v>41</v>
      </c>
      <c r="G906" s="36" t="s">
        <v>611</v>
      </c>
      <c r="H906" s="36" t="s">
        <v>629</v>
      </c>
      <c r="I906" s="36" t="s">
        <v>617</v>
      </c>
      <c r="J906" s="36" t="s">
        <v>615</v>
      </c>
      <c r="K906">
        <v>17</v>
      </c>
      <c r="L906">
        <v>3500</v>
      </c>
      <c r="M906">
        <v>59500</v>
      </c>
      <c r="N906">
        <v>41055</v>
      </c>
      <c r="O906">
        <v>18445</v>
      </c>
      <c r="P906" s="11">
        <v>0.31</v>
      </c>
    </row>
    <row r="907" spans="1:16" x14ac:dyDescent="0.25">
      <c r="A907" s="36" t="s">
        <v>100</v>
      </c>
      <c r="B907" s="2">
        <v>45910</v>
      </c>
      <c r="C907" s="36" t="s">
        <v>53</v>
      </c>
      <c r="D907">
        <v>2025</v>
      </c>
      <c r="E907" s="36" t="s">
        <v>606</v>
      </c>
      <c r="F907" s="36" t="s">
        <v>40</v>
      </c>
      <c r="G907" s="36" t="s">
        <v>611</v>
      </c>
      <c r="H907" s="36" t="s">
        <v>620</v>
      </c>
      <c r="I907" s="36" t="s">
        <v>614</v>
      </c>
      <c r="J907" s="36" t="s">
        <v>615</v>
      </c>
      <c r="K907">
        <v>13</v>
      </c>
      <c r="L907">
        <v>300</v>
      </c>
      <c r="M907">
        <v>3900</v>
      </c>
      <c r="N907">
        <v>3237</v>
      </c>
      <c r="O907">
        <v>663</v>
      </c>
      <c r="P907" s="11">
        <v>0.17</v>
      </c>
    </row>
    <row r="908" spans="1:16" x14ac:dyDescent="0.25">
      <c r="A908" s="36" t="s">
        <v>307</v>
      </c>
      <c r="B908" s="2">
        <v>45910</v>
      </c>
      <c r="C908" s="36" t="s">
        <v>53</v>
      </c>
      <c r="D908">
        <v>2025</v>
      </c>
      <c r="E908" s="36" t="s">
        <v>601</v>
      </c>
      <c r="F908" s="36" t="s">
        <v>41</v>
      </c>
      <c r="G908" s="36" t="s">
        <v>612</v>
      </c>
      <c r="H908" s="36" t="s">
        <v>621</v>
      </c>
      <c r="I908" s="36" t="s">
        <v>645</v>
      </c>
      <c r="J908" s="36" t="s">
        <v>615</v>
      </c>
      <c r="K908">
        <v>7</v>
      </c>
      <c r="L908">
        <v>25000</v>
      </c>
      <c r="M908">
        <v>175000</v>
      </c>
      <c r="N908">
        <v>124250</v>
      </c>
      <c r="O908">
        <v>50750</v>
      </c>
      <c r="P908" s="11">
        <v>0.28999999999999998</v>
      </c>
    </row>
    <row r="909" spans="1:16" x14ac:dyDescent="0.25">
      <c r="A909" s="36" t="s">
        <v>425</v>
      </c>
      <c r="B909" s="2">
        <v>45911</v>
      </c>
      <c r="C909" s="36" t="s">
        <v>53</v>
      </c>
      <c r="D909">
        <v>2025</v>
      </c>
      <c r="E909" s="36" t="s">
        <v>599</v>
      </c>
      <c r="F909" s="36" t="s">
        <v>39</v>
      </c>
      <c r="G909" s="36" t="s">
        <v>610</v>
      </c>
      <c r="H909" s="36" t="s">
        <v>626</v>
      </c>
      <c r="I909" s="36" t="s">
        <v>627</v>
      </c>
      <c r="J909" s="36" t="s">
        <v>615</v>
      </c>
      <c r="K909">
        <v>7</v>
      </c>
      <c r="L909">
        <v>50</v>
      </c>
      <c r="M909">
        <v>350</v>
      </c>
      <c r="N909">
        <v>294</v>
      </c>
      <c r="O909">
        <v>56</v>
      </c>
      <c r="P909" s="11">
        <v>0.16</v>
      </c>
    </row>
    <row r="910" spans="1:16" x14ac:dyDescent="0.25">
      <c r="A910" s="36" t="s">
        <v>105</v>
      </c>
      <c r="B910" s="2">
        <v>45913</v>
      </c>
      <c r="C910" s="36" t="s">
        <v>53</v>
      </c>
      <c r="D910">
        <v>2025</v>
      </c>
      <c r="E910" s="36" t="s">
        <v>607</v>
      </c>
      <c r="F910" s="36" t="s">
        <v>42</v>
      </c>
      <c r="G910" s="36" t="s">
        <v>611</v>
      </c>
      <c r="H910" s="36" t="s">
        <v>620</v>
      </c>
      <c r="I910" s="36" t="s">
        <v>627</v>
      </c>
      <c r="J910" s="36" t="s">
        <v>618</v>
      </c>
      <c r="K910">
        <v>12</v>
      </c>
      <c r="L910">
        <v>8000</v>
      </c>
      <c r="M910">
        <v>96000</v>
      </c>
      <c r="N910">
        <v>63360</v>
      </c>
      <c r="O910">
        <v>32640</v>
      </c>
      <c r="P910" s="11">
        <v>0.34</v>
      </c>
    </row>
    <row r="911" spans="1:16" x14ac:dyDescent="0.25">
      <c r="A911" s="36" t="s">
        <v>439</v>
      </c>
      <c r="B911" s="2">
        <v>45913</v>
      </c>
      <c r="C911" s="36" t="s">
        <v>53</v>
      </c>
      <c r="D911">
        <v>2025</v>
      </c>
      <c r="E911" s="36" t="s">
        <v>593</v>
      </c>
      <c r="F911" s="36" t="s">
        <v>41</v>
      </c>
      <c r="G911" s="36" t="s">
        <v>612</v>
      </c>
      <c r="H911" s="36" t="s">
        <v>622</v>
      </c>
      <c r="I911" s="36" t="s">
        <v>627</v>
      </c>
      <c r="J911" s="36" t="s">
        <v>618</v>
      </c>
      <c r="K911">
        <v>5</v>
      </c>
      <c r="L911">
        <v>4000</v>
      </c>
      <c r="M911">
        <v>20000</v>
      </c>
      <c r="N911">
        <v>14000</v>
      </c>
      <c r="O911">
        <v>6000</v>
      </c>
      <c r="P911" s="11">
        <v>0.3</v>
      </c>
    </row>
    <row r="912" spans="1:16" x14ac:dyDescent="0.25">
      <c r="A912" s="36" t="s">
        <v>521</v>
      </c>
      <c r="B912" s="2">
        <v>45913</v>
      </c>
      <c r="C912" s="36" t="s">
        <v>53</v>
      </c>
      <c r="D912">
        <v>2025</v>
      </c>
      <c r="E912" s="36" t="s">
        <v>603</v>
      </c>
      <c r="F912" s="36" t="s">
        <v>42</v>
      </c>
      <c r="G912" s="36" t="s">
        <v>608</v>
      </c>
      <c r="H912" s="36" t="s">
        <v>629</v>
      </c>
      <c r="I912" s="36" t="s">
        <v>627</v>
      </c>
      <c r="J912" s="36" t="s">
        <v>615</v>
      </c>
      <c r="K912">
        <v>13</v>
      </c>
      <c r="L912">
        <v>4000</v>
      </c>
      <c r="M912">
        <v>52000</v>
      </c>
      <c r="N912">
        <v>45760</v>
      </c>
      <c r="O912">
        <v>6240</v>
      </c>
      <c r="P912" s="11">
        <v>0.12</v>
      </c>
    </row>
    <row r="913" spans="1:16" x14ac:dyDescent="0.25">
      <c r="A913" s="36" t="s">
        <v>297</v>
      </c>
      <c r="B913" s="2">
        <v>45915</v>
      </c>
      <c r="C913" s="36" t="s">
        <v>53</v>
      </c>
      <c r="D913">
        <v>2025</v>
      </c>
      <c r="E913" s="36" t="s">
        <v>594</v>
      </c>
      <c r="F913" s="36" t="s">
        <v>39</v>
      </c>
      <c r="G913" s="36" t="s">
        <v>610</v>
      </c>
      <c r="H913" s="36" t="s">
        <v>629</v>
      </c>
      <c r="I913" s="36" t="s">
        <v>617</v>
      </c>
      <c r="J913" s="36" t="s">
        <v>618</v>
      </c>
      <c r="K913">
        <v>7</v>
      </c>
      <c r="L913">
        <v>20</v>
      </c>
      <c r="M913">
        <v>140</v>
      </c>
      <c r="N913">
        <v>85.4</v>
      </c>
      <c r="O913">
        <v>54.599999999999994</v>
      </c>
      <c r="P913" s="11">
        <v>0.38999999999999996</v>
      </c>
    </row>
    <row r="914" spans="1:16" x14ac:dyDescent="0.25">
      <c r="A914" s="36" t="s">
        <v>375</v>
      </c>
      <c r="B914" s="2">
        <v>45916</v>
      </c>
      <c r="C914" s="36" t="s">
        <v>53</v>
      </c>
      <c r="D914">
        <v>2025</v>
      </c>
      <c r="E914" s="36" t="s">
        <v>600</v>
      </c>
      <c r="F914" s="36" t="s">
        <v>39</v>
      </c>
      <c r="G914" s="36" t="s">
        <v>610</v>
      </c>
      <c r="H914" s="36" t="s">
        <v>622</v>
      </c>
      <c r="I914" s="36" t="s">
        <v>630</v>
      </c>
      <c r="J914" s="36" t="s">
        <v>618</v>
      </c>
      <c r="K914">
        <v>13</v>
      </c>
      <c r="L914">
        <v>20</v>
      </c>
      <c r="M914">
        <v>260</v>
      </c>
      <c r="N914">
        <v>179.4</v>
      </c>
      <c r="O914">
        <v>80.599999999999994</v>
      </c>
      <c r="P914" s="11">
        <v>0.31</v>
      </c>
    </row>
    <row r="915" spans="1:16" x14ac:dyDescent="0.25">
      <c r="A915" s="36" t="s">
        <v>500</v>
      </c>
      <c r="B915" s="2">
        <v>45916</v>
      </c>
      <c r="C915" s="36" t="s">
        <v>53</v>
      </c>
      <c r="D915">
        <v>2025</v>
      </c>
      <c r="E915" s="36" t="s">
        <v>602</v>
      </c>
      <c r="F915" s="36" t="s">
        <v>42</v>
      </c>
      <c r="G915" s="36" t="s">
        <v>611</v>
      </c>
      <c r="H915" s="36" t="s">
        <v>622</v>
      </c>
      <c r="I915" s="36" t="s">
        <v>617</v>
      </c>
      <c r="J915" s="36" t="s">
        <v>618</v>
      </c>
      <c r="K915">
        <v>15</v>
      </c>
      <c r="L915">
        <v>8000</v>
      </c>
      <c r="M915">
        <v>120000</v>
      </c>
      <c r="N915">
        <v>85200</v>
      </c>
      <c r="O915">
        <v>34800</v>
      </c>
      <c r="P915" s="11">
        <v>0.28999999999999998</v>
      </c>
    </row>
    <row r="916" spans="1:16" x14ac:dyDescent="0.25">
      <c r="A916" s="36" t="s">
        <v>409</v>
      </c>
      <c r="B916" s="2">
        <v>45917</v>
      </c>
      <c r="C916" s="36" t="s">
        <v>53</v>
      </c>
      <c r="D916">
        <v>2025</v>
      </c>
      <c r="E916" s="36" t="s">
        <v>592</v>
      </c>
      <c r="F916" s="36" t="s">
        <v>40</v>
      </c>
      <c r="G916" s="36" t="s">
        <v>608</v>
      </c>
      <c r="H916" s="36" t="s">
        <v>616</v>
      </c>
      <c r="I916" s="36" t="s">
        <v>619</v>
      </c>
      <c r="J916" s="36" t="s">
        <v>615</v>
      </c>
      <c r="K916">
        <v>18</v>
      </c>
      <c r="L916">
        <v>55000</v>
      </c>
      <c r="M916">
        <v>990000</v>
      </c>
      <c r="N916">
        <v>811800</v>
      </c>
      <c r="O916">
        <v>178200</v>
      </c>
      <c r="P916" s="11">
        <v>0.18</v>
      </c>
    </row>
    <row r="917" spans="1:16" x14ac:dyDescent="0.25">
      <c r="A917" s="36" t="s">
        <v>485</v>
      </c>
      <c r="B917" s="2">
        <v>45917</v>
      </c>
      <c r="C917" s="36" t="s">
        <v>53</v>
      </c>
      <c r="D917">
        <v>2025</v>
      </c>
      <c r="E917" s="36" t="s">
        <v>601</v>
      </c>
      <c r="F917" s="36" t="s">
        <v>41</v>
      </c>
      <c r="G917" s="36" t="s">
        <v>609</v>
      </c>
      <c r="H917" s="36" t="s">
        <v>628</v>
      </c>
      <c r="I917" s="36" t="s">
        <v>630</v>
      </c>
      <c r="J917" s="36" t="s">
        <v>618</v>
      </c>
      <c r="K917">
        <v>10</v>
      </c>
      <c r="L917">
        <v>300</v>
      </c>
      <c r="M917">
        <v>3000</v>
      </c>
      <c r="N917">
        <v>2490</v>
      </c>
      <c r="O917">
        <v>510</v>
      </c>
      <c r="P917" s="11">
        <v>0.17</v>
      </c>
    </row>
    <row r="918" spans="1:16" x14ac:dyDescent="0.25">
      <c r="A918" s="36" t="s">
        <v>585</v>
      </c>
      <c r="B918" s="2">
        <v>45917</v>
      </c>
      <c r="C918" s="36" t="s">
        <v>53</v>
      </c>
      <c r="D918">
        <v>2025</v>
      </c>
      <c r="E918" s="36" t="s">
        <v>607</v>
      </c>
      <c r="F918" s="36" t="s">
        <v>42</v>
      </c>
      <c r="G918" s="36" t="s">
        <v>610</v>
      </c>
      <c r="H918" s="36" t="s">
        <v>628</v>
      </c>
      <c r="I918" s="36" t="s">
        <v>617</v>
      </c>
      <c r="J918" s="36" t="s">
        <v>615</v>
      </c>
      <c r="K918">
        <v>5</v>
      </c>
      <c r="L918">
        <v>12000</v>
      </c>
      <c r="M918">
        <v>60000</v>
      </c>
      <c r="N918">
        <v>44400</v>
      </c>
      <c r="O918">
        <v>15600</v>
      </c>
      <c r="P918" s="11">
        <v>0.26</v>
      </c>
    </row>
    <row r="919" spans="1:16" x14ac:dyDescent="0.25">
      <c r="A919" s="36" t="s">
        <v>413</v>
      </c>
      <c r="B919" s="2">
        <v>45919</v>
      </c>
      <c r="C919" s="36" t="s">
        <v>53</v>
      </c>
      <c r="D919">
        <v>2025</v>
      </c>
      <c r="E919" s="36" t="s">
        <v>596</v>
      </c>
      <c r="F919" s="36" t="s">
        <v>39</v>
      </c>
      <c r="G919" s="36" t="s">
        <v>611</v>
      </c>
      <c r="H919" s="36" t="s">
        <v>628</v>
      </c>
      <c r="I919" s="36" t="s">
        <v>627</v>
      </c>
      <c r="J919" s="36" t="s">
        <v>618</v>
      </c>
      <c r="K919">
        <v>7</v>
      </c>
      <c r="L919">
        <v>1200</v>
      </c>
      <c r="M919">
        <v>8400</v>
      </c>
      <c r="N919">
        <v>6552</v>
      </c>
      <c r="O919">
        <v>1848</v>
      </c>
      <c r="P919" s="11">
        <v>0.22</v>
      </c>
    </row>
    <row r="920" spans="1:16" x14ac:dyDescent="0.25">
      <c r="A920" s="36" t="s">
        <v>473</v>
      </c>
      <c r="B920" s="2">
        <v>45919</v>
      </c>
      <c r="C920" s="36" t="s">
        <v>53</v>
      </c>
      <c r="D920">
        <v>2025</v>
      </c>
      <c r="E920" s="36" t="s">
        <v>603</v>
      </c>
      <c r="F920" s="36" t="s">
        <v>42</v>
      </c>
      <c r="G920" s="36" t="s">
        <v>611</v>
      </c>
      <c r="H920" s="36" t="s">
        <v>620</v>
      </c>
      <c r="I920" s="36" t="s">
        <v>630</v>
      </c>
      <c r="J920" s="36" t="s">
        <v>615</v>
      </c>
      <c r="K920">
        <v>1</v>
      </c>
      <c r="L920">
        <v>55000</v>
      </c>
      <c r="M920">
        <v>55000</v>
      </c>
      <c r="N920">
        <v>37950</v>
      </c>
      <c r="O920">
        <v>17050</v>
      </c>
      <c r="P920" s="11">
        <v>0.31</v>
      </c>
    </row>
    <row r="921" spans="1:16" x14ac:dyDescent="0.25">
      <c r="A921" s="36" t="s">
        <v>530</v>
      </c>
      <c r="B921" s="2">
        <v>45919</v>
      </c>
      <c r="C921" s="36" t="s">
        <v>53</v>
      </c>
      <c r="D921">
        <v>2025</v>
      </c>
      <c r="E921" s="36" t="s">
        <v>595</v>
      </c>
      <c r="F921" s="36" t="s">
        <v>39</v>
      </c>
      <c r="G921" s="36" t="s">
        <v>612</v>
      </c>
      <c r="H921" s="36" t="s">
        <v>613</v>
      </c>
      <c r="I921" s="36" t="s">
        <v>623</v>
      </c>
      <c r="J921" s="36" t="s">
        <v>618</v>
      </c>
      <c r="K921">
        <v>18</v>
      </c>
      <c r="L921">
        <v>50</v>
      </c>
      <c r="M921">
        <v>900</v>
      </c>
      <c r="N921">
        <v>594</v>
      </c>
      <c r="O921">
        <v>306</v>
      </c>
      <c r="P921" s="11">
        <v>0.34</v>
      </c>
    </row>
    <row r="922" spans="1:16" x14ac:dyDescent="0.25">
      <c r="A922" s="36" t="s">
        <v>143</v>
      </c>
      <c r="B922" s="2">
        <v>45920</v>
      </c>
      <c r="C922" s="36" t="s">
        <v>53</v>
      </c>
      <c r="D922">
        <v>2025</v>
      </c>
      <c r="E922" s="36" t="s">
        <v>593</v>
      </c>
      <c r="F922" s="36" t="s">
        <v>41</v>
      </c>
      <c r="G922" s="36" t="s">
        <v>609</v>
      </c>
      <c r="H922" s="36" t="s">
        <v>625</v>
      </c>
      <c r="I922" s="36" t="s">
        <v>645</v>
      </c>
      <c r="J922" s="36" t="s">
        <v>615</v>
      </c>
      <c r="K922">
        <v>1</v>
      </c>
      <c r="L922">
        <v>4000</v>
      </c>
      <c r="M922">
        <v>4000</v>
      </c>
      <c r="N922">
        <v>2600</v>
      </c>
      <c r="O922">
        <v>1400</v>
      </c>
      <c r="P922" s="11">
        <v>0.35</v>
      </c>
    </row>
    <row r="923" spans="1:16" x14ac:dyDescent="0.25">
      <c r="A923" s="36" t="s">
        <v>279</v>
      </c>
      <c r="B923" s="2">
        <v>45921</v>
      </c>
      <c r="C923" s="36" t="s">
        <v>53</v>
      </c>
      <c r="D923">
        <v>2025</v>
      </c>
      <c r="E923" s="36" t="s">
        <v>600</v>
      </c>
      <c r="F923" s="36" t="s">
        <v>39</v>
      </c>
      <c r="G923" s="36" t="s">
        <v>610</v>
      </c>
      <c r="H923" s="36" t="s">
        <v>628</v>
      </c>
      <c r="I923" s="36" t="s">
        <v>645</v>
      </c>
      <c r="J923" s="36" t="s">
        <v>615</v>
      </c>
      <c r="K923">
        <v>2</v>
      </c>
      <c r="L923">
        <v>20</v>
      </c>
      <c r="M923">
        <v>40</v>
      </c>
      <c r="N923">
        <v>31.6</v>
      </c>
      <c r="O923">
        <v>8.3999999999999986</v>
      </c>
      <c r="P923" s="11">
        <v>0.20999999999999996</v>
      </c>
    </row>
    <row r="924" spans="1:16" x14ac:dyDescent="0.25">
      <c r="A924" s="36" t="s">
        <v>496</v>
      </c>
      <c r="B924" s="2">
        <v>45921</v>
      </c>
      <c r="C924" s="36" t="s">
        <v>53</v>
      </c>
      <c r="D924">
        <v>2025</v>
      </c>
      <c r="E924" s="36" t="s">
        <v>603</v>
      </c>
      <c r="F924" s="36" t="s">
        <v>42</v>
      </c>
      <c r="G924" s="36" t="s">
        <v>611</v>
      </c>
      <c r="H924" s="36" t="s">
        <v>621</v>
      </c>
      <c r="I924" s="36" t="s">
        <v>614</v>
      </c>
      <c r="J924" s="36" t="s">
        <v>615</v>
      </c>
      <c r="K924">
        <v>4</v>
      </c>
      <c r="L924">
        <v>55000</v>
      </c>
      <c r="M924">
        <v>220000</v>
      </c>
      <c r="N924">
        <v>176000</v>
      </c>
      <c r="O924">
        <v>44000</v>
      </c>
      <c r="P924" s="11">
        <v>0.2</v>
      </c>
    </row>
    <row r="925" spans="1:16" x14ac:dyDescent="0.25">
      <c r="A925" s="36" t="s">
        <v>289</v>
      </c>
      <c r="B925" s="2">
        <v>45922</v>
      </c>
      <c r="C925" s="36" t="s">
        <v>53</v>
      </c>
      <c r="D925">
        <v>2025</v>
      </c>
      <c r="E925" s="36" t="s">
        <v>592</v>
      </c>
      <c r="F925" s="36" t="s">
        <v>40</v>
      </c>
      <c r="G925" s="36" t="s">
        <v>608</v>
      </c>
      <c r="H925" s="36" t="s">
        <v>626</v>
      </c>
      <c r="I925" s="36" t="s">
        <v>614</v>
      </c>
      <c r="J925" s="36" t="s">
        <v>618</v>
      </c>
      <c r="K925">
        <v>1</v>
      </c>
      <c r="L925">
        <v>9000</v>
      </c>
      <c r="M925">
        <v>9000</v>
      </c>
      <c r="N925">
        <v>7290</v>
      </c>
      <c r="O925">
        <v>1710</v>
      </c>
      <c r="P925" s="11">
        <v>0.19</v>
      </c>
    </row>
    <row r="926" spans="1:16" x14ac:dyDescent="0.25">
      <c r="A926" s="36" t="s">
        <v>266</v>
      </c>
      <c r="B926" s="2">
        <v>45923</v>
      </c>
      <c r="C926" s="36" t="s">
        <v>53</v>
      </c>
      <c r="D926">
        <v>2025</v>
      </c>
      <c r="E926" s="36" t="s">
        <v>598</v>
      </c>
      <c r="F926" s="36" t="s">
        <v>40</v>
      </c>
      <c r="G926" s="36" t="s">
        <v>608</v>
      </c>
      <c r="H926" s="36" t="s">
        <v>624</v>
      </c>
      <c r="I926" s="36" t="s">
        <v>623</v>
      </c>
      <c r="J926" s="36" t="s">
        <v>615</v>
      </c>
      <c r="K926">
        <v>14</v>
      </c>
      <c r="L926">
        <v>3500</v>
      </c>
      <c r="M926">
        <v>49000</v>
      </c>
      <c r="N926">
        <v>41650</v>
      </c>
      <c r="O926">
        <v>7350</v>
      </c>
      <c r="P926" s="11">
        <v>0.15</v>
      </c>
    </row>
    <row r="927" spans="1:16" x14ac:dyDescent="0.25">
      <c r="A927" s="36" t="s">
        <v>359</v>
      </c>
      <c r="B927" s="2">
        <v>45923</v>
      </c>
      <c r="C927" s="36" t="s">
        <v>53</v>
      </c>
      <c r="D927">
        <v>2025</v>
      </c>
      <c r="E927" s="36" t="s">
        <v>597</v>
      </c>
      <c r="F927" s="36" t="s">
        <v>41</v>
      </c>
      <c r="G927" s="36" t="s">
        <v>608</v>
      </c>
      <c r="H927" s="36" t="s">
        <v>629</v>
      </c>
      <c r="I927" s="36" t="s">
        <v>619</v>
      </c>
      <c r="J927" s="36" t="s">
        <v>618</v>
      </c>
      <c r="K927">
        <v>8</v>
      </c>
      <c r="L927">
        <v>300</v>
      </c>
      <c r="M927">
        <v>2400</v>
      </c>
      <c r="N927">
        <v>2136</v>
      </c>
      <c r="O927">
        <v>264</v>
      </c>
      <c r="P927" s="11">
        <v>0.11</v>
      </c>
    </row>
    <row r="928" spans="1:16" x14ac:dyDescent="0.25">
      <c r="A928" s="36" t="s">
        <v>52</v>
      </c>
      <c r="B928" s="2">
        <v>45926</v>
      </c>
      <c r="C928" s="36" t="s">
        <v>53</v>
      </c>
      <c r="D928">
        <v>2025</v>
      </c>
      <c r="E928" s="36" t="s">
        <v>592</v>
      </c>
      <c r="F928" s="36" t="s">
        <v>40</v>
      </c>
      <c r="G928" s="36" t="s">
        <v>608</v>
      </c>
      <c r="H928" s="36" t="s">
        <v>621</v>
      </c>
      <c r="I928" s="36" t="s">
        <v>619</v>
      </c>
      <c r="J928" s="36" t="s">
        <v>615</v>
      </c>
      <c r="K928">
        <v>11</v>
      </c>
      <c r="L928">
        <v>300</v>
      </c>
      <c r="M928">
        <v>3300</v>
      </c>
      <c r="N928">
        <v>2442</v>
      </c>
      <c r="O928">
        <v>858</v>
      </c>
      <c r="P928" s="11">
        <v>0.26</v>
      </c>
    </row>
    <row r="929" spans="1:16" x14ac:dyDescent="0.25">
      <c r="A929" s="36" t="s">
        <v>258</v>
      </c>
      <c r="B929" s="2">
        <v>45926</v>
      </c>
      <c r="C929" s="36" t="s">
        <v>53</v>
      </c>
      <c r="D929">
        <v>2025</v>
      </c>
      <c r="E929" s="36" t="s">
        <v>593</v>
      </c>
      <c r="F929" s="36" t="s">
        <v>41</v>
      </c>
      <c r="G929" s="36" t="s">
        <v>609</v>
      </c>
      <c r="H929" s="36" t="s">
        <v>613</v>
      </c>
      <c r="I929" s="36" t="s">
        <v>619</v>
      </c>
      <c r="J929" s="36" t="s">
        <v>615</v>
      </c>
      <c r="K929">
        <v>17</v>
      </c>
      <c r="L929">
        <v>50</v>
      </c>
      <c r="M929">
        <v>850</v>
      </c>
      <c r="N929">
        <v>586.5</v>
      </c>
      <c r="O929">
        <v>263.5</v>
      </c>
      <c r="P929" s="11">
        <v>0.31</v>
      </c>
    </row>
    <row r="930" spans="1:16" x14ac:dyDescent="0.25">
      <c r="A930" s="36" t="s">
        <v>372</v>
      </c>
      <c r="B930" s="2">
        <v>45926</v>
      </c>
      <c r="C930" s="36" t="s">
        <v>53</v>
      </c>
      <c r="D930">
        <v>2025</v>
      </c>
      <c r="E930" s="36" t="s">
        <v>595</v>
      </c>
      <c r="F930" s="36" t="s">
        <v>39</v>
      </c>
      <c r="G930" s="36" t="s">
        <v>608</v>
      </c>
      <c r="H930" s="36" t="s">
        <v>621</v>
      </c>
      <c r="I930" s="36" t="s">
        <v>619</v>
      </c>
      <c r="J930" s="36" t="s">
        <v>615</v>
      </c>
      <c r="K930">
        <v>2</v>
      </c>
      <c r="L930">
        <v>8000</v>
      </c>
      <c r="M930">
        <v>16000</v>
      </c>
      <c r="N930">
        <v>10240</v>
      </c>
      <c r="O930">
        <v>5760</v>
      </c>
      <c r="P930" s="11">
        <v>0.36</v>
      </c>
    </row>
    <row r="931" spans="1:16" x14ac:dyDescent="0.25">
      <c r="A931" s="36" t="s">
        <v>436</v>
      </c>
      <c r="B931" s="2">
        <v>45926</v>
      </c>
      <c r="C931" s="36" t="s">
        <v>53</v>
      </c>
      <c r="D931">
        <v>2025</v>
      </c>
      <c r="E931" s="36" t="s">
        <v>604</v>
      </c>
      <c r="F931" s="36" t="s">
        <v>41</v>
      </c>
      <c r="G931" s="36" t="s">
        <v>608</v>
      </c>
      <c r="H931" s="36" t="s">
        <v>616</v>
      </c>
      <c r="I931" s="36" t="s">
        <v>631</v>
      </c>
      <c r="J931" s="36" t="s">
        <v>615</v>
      </c>
      <c r="K931">
        <v>10</v>
      </c>
      <c r="L931">
        <v>45000</v>
      </c>
      <c r="M931">
        <v>450000</v>
      </c>
      <c r="N931">
        <v>333000</v>
      </c>
      <c r="O931">
        <v>117000</v>
      </c>
      <c r="P931" s="11">
        <v>0.26</v>
      </c>
    </row>
    <row r="932" spans="1:16" x14ac:dyDescent="0.25">
      <c r="A932" s="36" t="s">
        <v>371</v>
      </c>
      <c r="B932" s="2">
        <v>45927</v>
      </c>
      <c r="C932" s="36" t="s">
        <v>53</v>
      </c>
      <c r="D932">
        <v>2025</v>
      </c>
      <c r="E932" s="36" t="s">
        <v>600</v>
      </c>
      <c r="F932" s="36" t="s">
        <v>39</v>
      </c>
      <c r="G932" s="36" t="s">
        <v>608</v>
      </c>
      <c r="H932" s="36" t="s">
        <v>621</v>
      </c>
      <c r="I932" s="36" t="s">
        <v>631</v>
      </c>
      <c r="J932" s="36" t="s">
        <v>618</v>
      </c>
      <c r="K932">
        <v>9</v>
      </c>
      <c r="L932">
        <v>45000</v>
      </c>
      <c r="M932">
        <v>405000</v>
      </c>
      <c r="N932">
        <v>259200</v>
      </c>
      <c r="O932">
        <v>145800</v>
      </c>
      <c r="P932" s="11">
        <v>0.36</v>
      </c>
    </row>
    <row r="933" spans="1:16" x14ac:dyDescent="0.25">
      <c r="A933" s="36" t="s">
        <v>388</v>
      </c>
      <c r="B933" s="2">
        <v>45927</v>
      </c>
      <c r="C933" s="36" t="s">
        <v>53</v>
      </c>
      <c r="D933">
        <v>2025</v>
      </c>
      <c r="E933" s="36" t="s">
        <v>597</v>
      </c>
      <c r="F933" s="36" t="s">
        <v>41</v>
      </c>
      <c r="G933" s="36" t="s">
        <v>609</v>
      </c>
      <c r="H933" s="36" t="s">
        <v>624</v>
      </c>
      <c r="I933" s="36" t="s">
        <v>623</v>
      </c>
      <c r="J933" s="36" t="s">
        <v>618</v>
      </c>
      <c r="K933">
        <v>6</v>
      </c>
      <c r="L933">
        <v>3500</v>
      </c>
      <c r="M933">
        <v>21000</v>
      </c>
      <c r="N933">
        <v>12810</v>
      </c>
      <c r="O933">
        <v>8190</v>
      </c>
      <c r="P933" s="11">
        <v>0.39</v>
      </c>
    </row>
    <row r="934" spans="1:16" x14ac:dyDescent="0.25">
      <c r="A934" s="36" t="s">
        <v>180</v>
      </c>
      <c r="B934" s="2">
        <v>45928</v>
      </c>
      <c r="C934" s="36" t="s">
        <v>53</v>
      </c>
      <c r="D934">
        <v>2025</v>
      </c>
      <c r="E934" s="36" t="s">
        <v>602</v>
      </c>
      <c r="F934" s="36" t="s">
        <v>42</v>
      </c>
      <c r="G934" s="36" t="s">
        <v>610</v>
      </c>
      <c r="H934" s="36" t="s">
        <v>626</v>
      </c>
      <c r="I934" s="36" t="s">
        <v>627</v>
      </c>
      <c r="J934" s="36" t="s">
        <v>615</v>
      </c>
      <c r="K934">
        <v>12</v>
      </c>
      <c r="L934">
        <v>20</v>
      </c>
      <c r="M934">
        <v>240</v>
      </c>
      <c r="N934">
        <v>192</v>
      </c>
      <c r="O934">
        <v>48</v>
      </c>
      <c r="P934" s="11">
        <v>0.2</v>
      </c>
    </row>
    <row r="935" spans="1:16" x14ac:dyDescent="0.25">
      <c r="A935" s="36" t="s">
        <v>475</v>
      </c>
      <c r="B935" s="2">
        <v>45928</v>
      </c>
      <c r="C935" s="36" t="s">
        <v>53</v>
      </c>
      <c r="D935">
        <v>2025</v>
      </c>
      <c r="E935" s="36" t="s">
        <v>599</v>
      </c>
      <c r="F935" s="36" t="s">
        <v>39</v>
      </c>
      <c r="G935" s="36" t="s">
        <v>612</v>
      </c>
      <c r="H935" s="36" t="s">
        <v>621</v>
      </c>
      <c r="I935" s="36" t="s">
        <v>614</v>
      </c>
      <c r="J935" s="36" t="s">
        <v>615</v>
      </c>
      <c r="K935">
        <v>19</v>
      </c>
      <c r="L935">
        <v>150</v>
      </c>
      <c r="M935">
        <v>2850</v>
      </c>
      <c r="N935">
        <v>2194.5</v>
      </c>
      <c r="O935">
        <v>655.5</v>
      </c>
      <c r="P935" s="11">
        <v>0.23</v>
      </c>
    </row>
    <row r="936" spans="1:16" x14ac:dyDescent="0.25">
      <c r="A936" s="36" t="s">
        <v>229</v>
      </c>
      <c r="B936" s="2">
        <v>45931</v>
      </c>
      <c r="C936" s="36" t="s">
        <v>65</v>
      </c>
      <c r="D936">
        <v>2025</v>
      </c>
      <c r="E936" s="36" t="s">
        <v>601</v>
      </c>
      <c r="F936" s="36" t="s">
        <v>41</v>
      </c>
      <c r="G936" s="36" t="s">
        <v>609</v>
      </c>
      <c r="H936" s="36" t="s">
        <v>628</v>
      </c>
      <c r="I936" s="36" t="s">
        <v>630</v>
      </c>
      <c r="J936" s="36" t="s">
        <v>615</v>
      </c>
      <c r="K936">
        <v>4</v>
      </c>
      <c r="L936">
        <v>3500</v>
      </c>
      <c r="M936">
        <v>14000</v>
      </c>
      <c r="N936">
        <v>10920</v>
      </c>
      <c r="O936">
        <v>3080</v>
      </c>
      <c r="P936" s="11">
        <v>0.22</v>
      </c>
    </row>
    <row r="937" spans="1:16" x14ac:dyDescent="0.25">
      <c r="A937" s="36" t="s">
        <v>564</v>
      </c>
      <c r="B937" s="2">
        <v>45931</v>
      </c>
      <c r="C937" s="36" t="s">
        <v>65</v>
      </c>
      <c r="D937">
        <v>2025</v>
      </c>
      <c r="E937" s="36" t="s">
        <v>601</v>
      </c>
      <c r="F937" s="36" t="s">
        <v>41</v>
      </c>
      <c r="G937" s="36" t="s">
        <v>609</v>
      </c>
      <c r="H937" s="36" t="s">
        <v>622</v>
      </c>
      <c r="I937" s="36" t="s">
        <v>623</v>
      </c>
      <c r="J937" s="36" t="s">
        <v>618</v>
      </c>
      <c r="K937">
        <v>17</v>
      </c>
      <c r="L937">
        <v>7000</v>
      </c>
      <c r="M937">
        <v>119000</v>
      </c>
      <c r="N937">
        <v>82110</v>
      </c>
      <c r="O937">
        <v>36890</v>
      </c>
      <c r="P937" s="11">
        <v>0.31</v>
      </c>
    </row>
    <row r="938" spans="1:16" x14ac:dyDescent="0.25">
      <c r="A938" s="36" t="s">
        <v>264</v>
      </c>
      <c r="B938" s="2">
        <v>45932</v>
      </c>
      <c r="C938" s="36" t="s">
        <v>65</v>
      </c>
      <c r="D938">
        <v>2025</v>
      </c>
      <c r="E938" s="36" t="s">
        <v>594</v>
      </c>
      <c r="F938" s="36" t="s">
        <v>39</v>
      </c>
      <c r="G938" s="36" t="s">
        <v>611</v>
      </c>
      <c r="H938" s="36" t="s">
        <v>616</v>
      </c>
      <c r="I938" s="36" t="s">
        <v>617</v>
      </c>
      <c r="J938" s="36" t="s">
        <v>615</v>
      </c>
      <c r="K938">
        <v>9</v>
      </c>
      <c r="L938">
        <v>4000</v>
      </c>
      <c r="M938">
        <v>36000</v>
      </c>
      <c r="N938">
        <v>24480</v>
      </c>
      <c r="O938">
        <v>11520</v>
      </c>
      <c r="P938" s="11">
        <v>0.32</v>
      </c>
    </row>
    <row r="939" spans="1:16" x14ac:dyDescent="0.25">
      <c r="A939" s="36" t="s">
        <v>384</v>
      </c>
      <c r="B939" s="2">
        <v>45932</v>
      </c>
      <c r="C939" s="36" t="s">
        <v>65</v>
      </c>
      <c r="D939">
        <v>2025</v>
      </c>
      <c r="E939" s="36" t="s">
        <v>596</v>
      </c>
      <c r="F939" s="36" t="s">
        <v>39</v>
      </c>
      <c r="G939" s="36" t="s">
        <v>610</v>
      </c>
      <c r="H939" s="36" t="s">
        <v>624</v>
      </c>
      <c r="I939" s="36" t="s">
        <v>631</v>
      </c>
      <c r="J939" s="36" t="s">
        <v>615</v>
      </c>
      <c r="K939">
        <v>9</v>
      </c>
      <c r="L939">
        <v>4000</v>
      </c>
      <c r="M939">
        <v>36000</v>
      </c>
      <c r="N939">
        <v>28800</v>
      </c>
      <c r="O939">
        <v>7200</v>
      </c>
      <c r="P939" s="11">
        <v>0.2</v>
      </c>
    </row>
    <row r="940" spans="1:16" x14ac:dyDescent="0.25">
      <c r="A940" s="36" t="s">
        <v>544</v>
      </c>
      <c r="B940" s="2">
        <v>45932</v>
      </c>
      <c r="C940" s="36" t="s">
        <v>65</v>
      </c>
      <c r="D940">
        <v>2025</v>
      </c>
      <c r="E940" s="36" t="s">
        <v>605</v>
      </c>
      <c r="F940" s="36" t="s">
        <v>40</v>
      </c>
      <c r="G940" s="36" t="s">
        <v>610</v>
      </c>
      <c r="H940" s="36" t="s">
        <v>628</v>
      </c>
      <c r="I940" s="36" t="s">
        <v>631</v>
      </c>
      <c r="J940" s="36" t="s">
        <v>618</v>
      </c>
      <c r="K940">
        <v>8</v>
      </c>
      <c r="L940">
        <v>20</v>
      </c>
      <c r="M940">
        <v>160</v>
      </c>
      <c r="N940">
        <v>132.80000000000001</v>
      </c>
      <c r="O940">
        <v>27.199999999999989</v>
      </c>
      <c r="P940" s="11">
        <v>0.16999999999999993</v>
      </c>
    </row>
    <row r="941" spans="1:16" x14ac:dyDescent="0.25">
      <c r="A941" s="36" t="s">
        <v>64</v>
      </c>
      <c r="B941" s="2">
        <v>45933</v>
      </c>
      <c r="C941" s="36" t="s">
        <v>65</v>
      </c>
      <c r="D941">
        <v>2025</v>
      </c>
      <c r="E941" s="36" t="s">
        <v>600</v>
      </c>
      <c r="F941" s="36" t="s">
        <v>39</v>
      </c>
      <c r="G941" s="36" t="s">
        <v>610</v>
      </c>
      <c r="H941" s="36" t="s">
        <v>624</v>
      </c>
      <c r="I941" s="36" t="s">
        <v>619</v>
      </c>
      <c r="J941" s="36" t="s">
        <v>618</v>
      </c>
      <c r="K941">
        <v>12</v>
      </c>
      <c r="L941">
        <v>45000</v>
      </c>
      <c r="M941">
        <v>540000</v>
      </c>
      <c r="N941">
        <v>480600</v>
      </c>
      <c r="O941">
        <v>59400</v>
      </c>
      <c r="P941" s="11">
        <v>0.11</v>
      </c>
    </row>
    <row r="942" spans="1:16" x14ac:dyDescent="0.25">
      <c r="A942" s="36" t="s">
        <v>262</v>
      </c>
      <c r="B942" s="2">
        <v>45936</v>
      </c>
      <c r="C942" s="36" t="s">
        <v>65</v>
      </c>
      <c r="D942">
        <v>2025</v>
      </c>
      <c r="E942" s="36" t="s">
        <v>599</v>
      </c>
      <c r="F942" s="36" t="s">
        <v>39</v>
      </c>
      <c r="G942" s="36" t="s">
        <v>610</v>
      </c>
      <c r="H942" s="36" t="s">
        <v>621</v>
      </c>
      <c r="I942" s="36" t="s">
        <v>614</v>
      </c>
      <c r="J942" s="36" t="s">
        <v>618</v>
      </c>
      <c r="K942">
        <v>8</v>
      </c>
      <c r="L942">
        <v>4000</v>
      </c>
      <c r="M942">
        <v>32000</v>
      </c>
      <c r="N942">
        <v>24640</v>
      </c>
      <c r="O942">
        <v>7360</v>
      </c>
      <c r="P942" s="11">
        <v>0.23</v>
      </c>
    </row>
    <row r="943" spans="1:16" x14ac:dyDescent="0.25">
      <c r="A943" s="36" t="s">
        <v>345</v>
      </c>
      <c r="B943" s="2">
        <v>45936</v>
      </c>
      <c r="C943" s="36" t="s">
        <v>65</v>
      </c>
      <c r="D943">
        <v>2025</v>
      </c>
      <c r="E943" s="36" t="s">
        <v>604</v>
      </c>
      <c r="F943" s="36" t="s">
        <v>41</v>
      </c>
      <c r="G943" s="36" t="s">
        <v>611</v>
      </c>
      <c r="H943" s="36" t="s">
        <v>625</v>
      </c>
      <c r="I943" s="36" t="s">
        <v>623</v>
      </c>
      <c r="J943" s="36" t="s">
        <v>618</v>
      </c>
      <c r="K943">
        <v>1</v>
      </c>
      <c r="L943">
        <v>12000</v>
      </c>
      <c r="M943">
        <v>12000</v>
      </c>
      <c r="N943">
        <v>8040</v>
      </c>
      <c r="O943">
        <v>3960</v>
      </c>
      <c r="P943" s="11">
        <v>0.33</v>
      </c>
    </row>
    <row r="944" spans="1:16" x14ac:dyDescent="0.25">
      <c r="A944" s="36" t="s">
        <v>367</v>
      </c>
      <c r="B944" s="2">
        <v>45936</v>
      </c>
      <c r="C944" s="36" t="s">
        <v>65</v>
      </c>
      <c r="D944">
        <v>2025</v>
      </c>
      <c r="E944" s="36" t="s">
        <v>605</v>
      </c>
      <c r="F944" s="36" t="s">
        <v>40</v>
      </c>
      <c r="G944" s="36" t="s">
        <v>610</v>
      </c>
      <c r="H944" s="36" t="s">
        <v>622</v>
      </c>
      <c r="I944" s="36" t="s">
        <v>623</v>
      </c>
      <c r="J944" s="36" t="s">
        <v>615</v>
      </c>
      <c r="K944">
        <v>5</v>
      </c>
      <c r="L944">
        <v>50</v>
      </c>
      <c r="M944">
        <v>250</v>
      </c>
      <c r="N944">
        <v>182.5</v>
      </c>
      <c r="O944">
        <v>67.5</v>
      </c>
      <c r="P944" s="11">
        <v>0.27</v>
      </c>
    </row>
    <row r="945" spans="1:16" x14ac:dyDescent="0.25">
      <c r="A945" s="36" t="s">
        <v>490</v>
      </c>
      <c r="B945" s="2">
        <v>45936</v>
      </c>
      <c r="C945" s="36" t="s">
        <v>65</v>
      </c>
      <c r="D945">
        <v>2025</v>
      </c>
      <c r="E945" s="36" t="s">
        <v>600</v>
      </c>
      <c r="F945" s="36" t="s">
        <v>39</v>
      </c>
      <c r="G945" s="36" t="s">
        <v>610</v>
      </c>
      <c r="H945" s="36" t="s">
        <v>625</v>
      </c>
      <c r="I945" s="36" t="s">
        <v>627</v>
      </c>
      <c r="J945" s="36" t="s">
        <v>615</v>
      </c>
      <c r="K945">
        <v>17</v>
      </c>
      <c r="L945">
        <v>8000</v>
      </c>
      <c r="M945">
        <v>136000</v>
      </c>
      <c r="N945">
        <v>82960</v>
      </c>
      <c r="O945">
        <v>53040</v>
      </c>
      <c r="P945" s="11">
        <v>0.39</v>
      </c>
    </row>
    <row r="946" spans="1:16" x14ac:dyDescent="0.25">
      <c r="A946" s="36" t="s">
        <v>575</v>
      </c>
      <c r="B946" s="2">
        <v>45936</v>
      </c>
      <c r="C946" s="36" t="s">
        <v>65</v>
      </c>
      <c r="D946">
        <v>2025</v>
      </c>
      <c r="E946" s="36" t="s">
        <v>606</v>
      </c>
      <c r="F946" s="36" t="s">
        <v>40</v>
      </c>
      <c r="G946" s="36" t="s">
        <v>608</v>
      </c>
      <c r="H946" s="36" t="s">
        <v>629</v>
      </c>
      <c r="I946" s="36" t="s">
        <v>619</v>
      </c>
      <c r="J946" s="36" t="s">
        <v>615</v>
      </c>
      <c r="K946">
        <v>11</v>
      </c>
      <c r="L946">
        <v>50</v>
      </c>
      <c r="M946">
        <v>550</v>
      </c>
      <c r="N946">
        <v>357.5</v>
      </c>
      <c r="O946">
        <v>192.5</v>
      </c>
      <c r="P946" s="11">
        <v>0.35</v>
      </c>
    </row>
    <row r="947" spans="1:16" x14ac:dyDescent="0.25">
      <c r="A947" s="36" t="s">
        <v>403</v>
      </c>
      <c r="B947" s="2">
        <v>45937</v>
      </c>
      <c r="C947" s="36" t="s">
        <v>65</v>
      </c>
      <c r="D947">
        <v>2025</v>
      </c>
      <c r="E947" s="36" t="s">
        <v>606</v>
      </c>
      <c r="F947" s="36" t="s">
        <v>40</v>
      </c>
      <c r="G947" s="36" t="s">
        <v>610</v>
      </c>
      <c r="H947" s="36" t="s">
        <v>622</v>
      </c>
      <c r="I947" s="36" t="s">
        <v>617</v>
      </c>
      <c r="J947" s="36" t="s">
        <v>618</v>
      </c>
      <c r="K947">
        <v>8</v>
      </c>
      <c r="L947">
        <v>7000</v>
      </c>
      <c r="M947">
        <v>56000</v>
      </c>
      <c r="N947">
        <v>34160</v>
      </c>
      <c r="O947">
        <v>21840</v>
      </c>
      <c r="P947" s="11">
        <v>0.39</v>
      </c>
    </row>
    <row r="948" spans="1:16" x14ac:dyDescent="0.25">
      <c r="A948" s="36" t="s">
        <v>274</v>
      </c>
      <c r="B948" s="2">
        <v>45939</v>
      </c>
      <c r="C948" s="36" t="s">
        <v>65</v>
      </c>
      <c r="D948">
        <v>2025</v>
      </c>
      <c r="E948" s="36" t="s">
        <v>606</v>
      </c>
      <c r="F948" s="36" t="s">
        <v>40</v>
      </c>
      <c r="G948" s="36" t="s">
        <v>612</v>
      </c>
      <c r="H948" s="36" t="s">
        <v>620</v>
      </c>
      <c r="I948" s="36" t="s">
        <v>627</v>
      </c>
      <c r="J948" s="36" t="s">
        <v>615</v>
      </c>
      <c r="K948">
        <v>11</v>
      </c>
      <c r="L948">
        <v>4000</v>
      </c>
      <c r="M948">
        <v>44000</v>
      </c>
      <c r="N948">
        <v>34320</v>
      </c>
      <c r="O948">
        <v>9680</v>
      </c>
      <c r="P948" s="11">
        <v>0.22</v>
      </c>
    </row>
    <row r="949" spans="1:16" x14ac:dyDescent="0.25">
      <c r="A949" s="36" t="s">
        <v>139</v>
      </c>
      <c r="B949" s="2">
        <v>45940</v>
      </c>
      <c r="C949" s="36" t="s">
        <v>65</v>
      </c>
      <c r="D949">
        <v>2025</v>
      </c>
      <c r="E949" s="36" t="s">
        <v>598</v>
      </c>
      <c r="F949" s="36" t="s">
        <v>40</v>
      </c>
      <c r="G949" s="36" t="s">
        <v>609</v>
      </c>
      <c r="H949" s="36" t="s">
        <v>621</v>
      </c>
      <c r="I949" s="36" t="s">
        <v>617</v>
      </c>
      <c r="J949" s="36" t="s">
        <v>618</v>
      </c>
      <c r="K949">
        <v>1</v>
      </c>
      <c r="L949">
        <v>150</v>
      </c>
      <c r="M949">
        <v>150</v>
      </c>
      <c r="N949">
        <v>132</v>
      </c>
      <c r="O949">
        <v>18</v>
      </c>
      <c r="P949" s="11">
        <v>0.12</v>
      </c>
    </row>
    <row r="950" spans="1:16" x14ac:dyDescent="0.25">
      <c r="A950" s="36" t="s">
        <v>235</v>
      </c>
      <c r="B950" s="2">
        <v>45940</v>
      </c>
      <c r="C950" s="36" t="s">
        <v>65</v>
      </c>
      <c r="D950">
        <v>2025</v>
      </c>
      <c r="E950" s="36" t="s">
        <v>601</v>
      </c>
      <c r="F950" s="36" t="s">
        <v>41</v>
      </c>
      <c r="G950" s="36" t="s">
        <v>608</v>
      </c>
      <c r="H950" s="36" t="s">
        <v>624</v>
      </c>
      <c r="I950" s="36" t="s">
        <v>614</v>
      </c>
      <c r="J950" s="36" t="s">
        <v>615</v>
      </c>
      <c r="K950">
        <v>14</v>
      </c>
      <c r="L950">
        <v>3500</v>
      </c>
      <c r="M950">
        <v>49000</v>
      </c>
      <c r="N950">
        <v>40670</v>
      </c>
      <c r="O950">
        <v>8330</v>
      </c>
      <c r="P950" s="11">
        <v>0.17</v>
      </c>
    </row>
    <row r="951" spans="1:16" x14ac:dyDescent="0.25">
      <c r="A951" s="36" t="s">
        <v>488</v>
      </c>
      <c r="B951" s="2">
        <v>45941</v>
      </c>
      <c r="C951" s="36" t="s">
        <v>65</v>
      </c>
      <c r="D951">
        <v>2025</v>
      </c>
      <c r="E951" s="36" t="s">
        <v>601</v>
      </c>
      <c r="F951" s="36" t="s">
        <v>41</v>
      </c>
      <c r="G951" s="36" t="s">
        <v>609</v>
      </c>
      <c r="H951" s="36" t="s">
        <v>620</v>
      </c>
      <c r="I951" s="36" t="s">
        <v>617</v>
      </c>
      <c r="J951" s="36" t="s">
        <v>615</v>
      </c>
      <c r="K951">
        <v>7</v>
      </c>
      <c r="L951">
        <v>1200</v>
      </c>
      <c r="M951">
        <v>8400</v>
      </c>
      <c r="N951">
        <v>5544</v>
      </c>
      <c r="O951">
        <v>2856</v>
      </c>
      <c r="P951" s="11">
        <v>0.34</v>
      </c>
    </row>
    <row r="952" spans="1:16" x14ac:dyDescent="0.25">
      <c r="A952" s="36" t="s">
        <v>104</v>
      </c>
      <c r="B952" s="2">
        <v>45942</v>
      </c>
      <c r="C952" s="36" t="s">
        <v>65</v>
      </c>
      <c r="D952">
        <v>2025</v>
      </c>
      <c r="E952" s="36" t="s">
        <v>600</v>
      </c>
      <c r="F952" s="36" t="s">
        <v>39</v>
      </c>
      <c r="G952" s="36" t="s">
        <v>612</v>
      </c>
      <c r="H952" s="36" t="s">
        <v>628</v>
      </c>
      <c r="I952" s="36" t="s">
        <v>614</v>
      </c>
      <c r="J952" s="36" t="s">
        <v>615</v>
      </c>
      <c r="K952">
        <v>14</v>
      </c>
      <c r="L952">
        <v>150</v>
      </c>
      <c r="M952">
        <v>2100</v>
      </c>
      <c r="N952">
        <v>1596</v>
      </c>
      <c r="O952">
        <v>504</v>
      </c>
      <c r="P952" s="11">
        <v>0.24</v>
      </c>
    </row>
    <row r="953" spans="1:16" x14ac:dyDescent="0.25">
      <c r="A953" s="36" t="s">
        <v>517</v>
      </c>
      <c r="B953" s="2">
        <v>45942</v>
      </c>
      <c r="C953" s="36" t="s">
        <v>65</v>
      </c>
      <c r="D953">
        <v>2025</v>
      </c>
      <c r="E953" s="36" t="s">
        <v>606</v>
      </c>
      <c r="F953" s="36" t="s">
        <v>40</v>
      </c>
      <c r="G953" s="36" t="s">
        <v>609</v>
      </c>
      <c r="H953" s="36" t="s">
        <v>624</v>
      </c>
      <c r="I953" s="36" t="s">
        <v>623</v>
      </c>
      <c r="J953" s="36" t="s">
        <v>615</v>
      </c>
      <c r="K953">
        <v>9</v>
      </c>
      <c r="L953">
        <v>8000</v>
      </c>
      <c r="M953">
        <v>72000</v>
      </c>
      <c r="N953">
        <v>61920</v>
      </c>
      <c r="O953">
        <v>10080</v>
      </c>
      <c r="P953" s="11">
        <v>0.14000000000000001</v>
      </c>
    </row>
    <row r="954" spans="1:16" x14ac:dyDescent="0.25">
      <c r="A954" s="36" t="s">
        <v>580</v>
      </c>
      <c r="B954" s="2">
        <v>45942</v>
      </c>
      <c r="C954" s="36" t="s">
        <v>65</v>
      </c>
      <c r="D954">
        <v>2025</v>
      </c>
      <c r="E954" s="36" t="s">
        <v>592</v>
      </c>
      <c r="F954" s="36" t="s">
        <v>40</v>
      </c>
      <c r="G954" s="36" t="s">
        <v>612</v>
      </c>
      <c r="H954" s="36" t="s">
        <v>628</v>
      </c>
      <c r="I954" s="36" t="s">
        <v>627</v>
      </c>
      <c r="J954" s="36" t="s">
        <v>615</v>
      </c>
      <c r="K954">
        <v>1</v>
      </c>
      <c r="L954">
        <v>15000</v>
      </c>
      <c r="M954">
        <v>15000</v>
      </c>
      <c r="N954">
        <v>12600</v>
      </c>
      <c r="O954">
        <v>2400</v>
      </c>
      <c r="P954" s="11">
        <v>0.16</v>
      </c>
    </row>
    <row r="955" spans="1:16" x14ac:dyDescent="0.25">
      <c r="A955" s="36" t="s">
        <v>88</v>
      </c>
      <c r="B955" s="2">
        <v>45943</v>
      </c>
      <c r="C955" s="36" t="s">
        <v>65</v>
      </c>
      <c r="D955">
        <v>2025</v>
      </c>
      <c r="E955" s="36" t="s">
        <v>597</v>
      </c>
      <c r="F955" s="36" t="s">
        <v>41</v>
      </c>
      <c r="G955" s="36" t="s">
        <v>612</v>
      </c>
      <c r="H955" s="36" t="s">
        <v>621</v>
      </c>
      <c r="I955" s="36" t="s">
        <v>614</v>
      </c>
      <c r="J955" s="36" t="s">
        <v>615</v>
      </c>
      <c r="K955">
        <v>11</v>
      </c>
      <c r="L955">
        <v>20</v>
      </c>
      <c r="M955">
        <v>220</v>
      </c>
      <c r="N955">
        <v>140.80000000000001</v>
      </c>
      <c r="O955">
        <v>79.199999999999989</v>
      </c>
      <c r="P955" s="11">
        <v>0.35999999999999993</v>
      </c>
    </row>
    <row r="956" spans="1:16" x14ac:dyDescent="0.25">
      <c r="A956" s="36" t="s">
        <v>140</v>
      </c>
      <c r="B956" s="2">
        <v>45944</v>
      </c>
      <c r="C956" s="36" t="s">
        <v>65</v>
      </c>
      <c r="D956">
        <v>2025</v>
      </c>
      <c r="E956" s="36" t="s">
        <v>603</v>
      </c>
      <c r="F956" s="36" t="s">
        <v>42</v>
      </c>
      <c r="G956" s="36" t="s">
        <v>611</v>
      </c>
      <c r="H956" s="36" t="s">
        <v>629</v>
      </c>
      <c r="I956" s="36" t="s">
        <v>619</v>
      </c>
      <c r="J956" s="36" t="s">
        <v>618</v>
      </c>
      <c r="K956">
        <v>17</v>
      </c>
      <c r="L956">
        <v>150</v>
      </c>
      <c r="M956">
        <v>2550</v>
      </c>
      <c r="N956">
        <v>1606.5</v>
      </c>
      <c r="O956">
        <v>943.5</v>
      </c>
      <c r="P956" s="11">
        <v>0.37</v>
      </c>
    </row>
    <row r="957" spans="1:16" x14ac:dyDescent="0.25">
      <c r="A957" s="36" t="s">
        <v>429</v>
      </c>
      <c r="B957" s="2">
        <v>45944</v>
      </c>
      <c r="C957" s="36" t="s">
        <v>65</v>
      </c>
      <c r="D957">
        <v>2025</v>
      </c>
      <c r="E957" s="36" t="s">
        <v>601</v>
      </c>
      <c r="F957" s="36" t="s">
        <v>41</v>
      </c>
      <c r="G957" s="36" t="s">
        <v>609</v>
      </c>
      <c r="H957" s="36" t="s">
        <v>613</v>
      </c>
      <c r="I957" s="36" t="s">
        <v>630</v>
      </c>
      <c r="J957" s="36" t="s">
        <v>615</v>
      </c>
      <c r="K957">
        <v>2</v>
      </c>
      <c r="L957">
        <v>9000</v>
      </c>
      <c r="M957">
        <v>18000</v>
      </c>
      <c r="N957">
        <v>12780</v>
      </c>
      <c r="O957">
        <v>5220</v>
      </c>
      <c r="P957" s="11">
        <v>0.28999999999999998</v>
      </c>
    </row>
    <row r="958" spans="1:16" x14ac:dyDescent="0.25">
      <c r="A958" s="36" t="s">
        <v>315</v>
      </c>
      <c r="B958" s="2">
        <v>45945</v>
      </c>
      <c r="C958" s="36" t="s">
        <v>65</v>
      </c>
      <c r="D958">
        <v>2025</v>
      </c>
      <c r="E958" s="36" t="s">
        <v>600</v>
      </c>
      <c r="F958" s="36" t="s">
        <v>39</v>
      </c>
      <c r="G958" s="36" t="s">
        <v>612</v>
      </c>
      <c r="H958" s="36" t="s">
        <v>622</v>
      </c>
      <c r="I958" s="36" t="s">
        <v>631</v>
      </c>
      <c r="J958" s="36" t="s">
        <v>615</v>
      </c>
      <c r="K958">
        <v>1</v>
      </c>
      <c r="L958">
        <v>55000</v>
      </c>
      <c r="M958">
        <v>55000</v>
      </c>
      <c r="N958">
        <v>36850</v>
      </c>
      <c r="O958">
        <v>18150</v>
      </c>
      <c r="P958" s="11">
        <v>0.33</v>
      </c>
    </row>
    <row r="959" spans="1:16" x14ac:dyDescent="0.25">
      <c r="A959" s="36" t="s">
        <v>91</v>
      </c>
      <c r="B959" s="2">
        <v>45947</v>
      </c>
      <c r="C959" s="36" t="s">
        <v>65</v>
      </c>
      <c r="D959">
        <v>2025</v>
      </c>
      <c r="E959" s="36" t="s">
        <v>596</v>
      </c>
      <c r="F959" s="36" t="s">
        <v>39</v>
      </c>
      <c r="G959" s="36" t="s">
        <v>608</v>
      </c>
      <c r="H959" s="36" t="s">
        <v>626</v>
      </c>
      <c r="I959" s="36" t="s">
        <v>645</v>
      </c>
      <c r="J959" s="36" t="s">
        <v>615</v>
      </c>
      <c r="K959">
        <v>6</v>
      </c>
      <c r="L959">
        <v>7000</v>
      </c>
      <c r="M959">
        <v>42000</v>
      </c>
      <c r="N959">
        <v>33600</v>
      </c>
      <c r="O959">
        <v>8400</v>
      </c>
      <c r="P959" s="11">
        <v>0.2</v>
      </c>
    </row>
    <row r="960" spans="1:16" x14ac:dyDescent="0.25">
      <c r="A960" s="36" t="s">
        <v>328</v>
      </c>
      <c r="B960" s="2">
        <v>45947</v>
      </c>
      <c r="C960" s="36" t="s">
        <v>65</v>
      </c>
      <c r="D960">
        <v>2025</v>
      </c>
      <c r="E960" s="36" t="s">
        <v>594</v>
      </c>
      <c r="F960" s="36" t="s">
        <v>39</v>
      </c>
      <c r="G960" s="36" t="s">
        <v>608</v>
      </c>
      <c r="H960" s="36" t="s">
        <v>613</v>
      </c>
      <c r="I960" s="36" t="s">
        <v>627</v>
      </c>
      <c r="J960" s="36" t="s">
        <v>618</v>
      </c>
      <c r="K960">
        <v>2</v>
      </c>
      <c r="L960">
        <v>9000</v>
      </c>
      <c r="M960">
        <v>18000</v>
      </c>
      <c r="N960">
        <v>12420</v>
      </c>
      <c r="O960">
        <v>5580</v>
      </c>
      <c r="P960" s="11">
        <v>0.31</v>
      </c>
    </row>
    <row r="961" spans="1:16" x14ac:dyDescent="0.25">
      <c r="A961" s="36" t="s">
        <v>435</v>
      </c>
      <c r="B961" s="2">
        <v>45947</v>
      </c>
      <c r="C961" s="36" t="s">
        <v>65</v>
      </c>
      <c r="D961">
        <v>2025</v>
      </c>
      <c r="E961" s="36" t="s">
        <v>604</v>
      </c>
      <c r="F961" s="36" t="s">
        <v>41</v>
      </c>
      <c r="G961" s="36" t="s">
        <v>609</v>
      </c>
      <c r="H961" s="36" t="s">
        <v>621</v>
      </c>
      <c r="I961" s="36" t="s">
        <v>623</v>
      </c>
      <c r="J961" s="36" t="s">
        <v>618</v>
      </c>
      <c r="K961">
        <v>7</v>
      </c>
      <c r="L961">
        <v>700</v>
      </c>
      <c r="M961">
        <v>4900</v>
      </c>
      <c r="N961">
        <v>3577</v>
      </c>
      <c r="O961">
        <v>1323</v>
      </c>
      <c r="P961" s="11">
        <v>0.27</v>
      </c>
    </row>
    <row r="962" spans="1:16" x14ac:dyDescent="0.25">
      <c r="A962" s="36" t="s">
        <v>567</v>
      </c>
      <c r="B962" s="2">
        <v>45947</v>
      </c>
      <c r="C962" s="36" t="s">
        <v>65</v>
      </c>
      <c r="D962">
        <v>2025</v>
      </c>
      <c r="E962" s="36" t="s">
        <v>603</v>
      </c>
      <c r="F962" s="36" t="s">
        <v>42</v>
      </c>
      <c r="G962" s="36" t="s">
        <v>611</v>
      </c>
      <c r="H962" s="36" t="s">
        <v>613</v>
      </c>
      <c r="I962" s="36" t="s">
        <v>614</v>
      </c>
      <c r="J962" s="36" t="s">
        <v>615</v>
      </c>
      <c r="K962">
        <v>2</v>
      </c>
      <c r="L962">
        <v>9000</v>
      </c>
      <c r="M962">
        <v>18000</v>
      </c>
      <c r="N962">
        <v>14400</v>
      </c>
      <c r="O962">
        <v>3600</v>
      </c>
      <c r="P962" s="11">
        <v>0.2</v>
      </c>
    </row>
    <row r="963" spans="1:16" x14ac:dyDescent="0.25">
      <c r="A963" s="36" t="s">
        <v>136</v>
      </c>
      <c r="B963" s="2">
        <v>45949</v>
      </c>
      <c r="C963" s="36" t="s">
        <v>65</v>
      </c>
      <c r="D963">
        <v>2025</v>
      </c>
      <c r="E963" s="36" t="s">
        <v>605</v>
      </c>
      <c r="F963" s="36" t="s">
        <v>40</v>
      </c>
      <c r="G963" s="36" t="s">
        <v>608</v>
      </c>
      <c r="H963" s="36" t="s">
        <v>629</v>
      </c>
      <c r="I963" s="36" t="s">
        <v>623</v>
      </c>
      <c r="J963" s="36" t="s">
        <v>615</v>
      </c>
      <c r="K963">
        <v>16</v>
      </c>
      <c r="L963">
        <v>8000</v>
      </c>
      <c r="M963">
        <v>128000</v>
      </c>
      <c r="N963">
        <v>104960</v>
      </c>
      <c r="O963">
        <v>23040</v>
      </c>
      <c r="P963" s="11">
        <v>0.18</v>
      </c>
    </row>
    <row r="964" spans="1:16" x14ac:dyDescent="0.25">
      <c r="A964" s="36" t="s">
        <v>170</v>
      </c>
      <c r="B964" s="2">
        <v>45949</v>
      </c>
      <c r="C964" s="36" t="s">
        <v>65</v>
      </c>
      <c r="D964">
        <v>2025</v>
      </c>
      <c r="E964" s="36" t="s">
        <v>595</v>
      </c>
      <c r="F964" s="36" t="s">
        <v>39</v>
      </c>
      <c r="G964" s="36" t="s">
        <v>608</v>
      </c>
      <c r="H964" s="36" t="s">
        <v>620</v>
      </c>
      <c r="I964" s="36" t="s">
        <v>619</v>
      </c>
      <c r="J964" s="36" t="s">
        <v>615</v>
      </c>
      <c r="K964">
        <v>18</v>
      </c>
      <c r="L964">
        <v>50</v>
      </c>
      <c r="M964">
        <v>900</v>
      </c>
      <c r="N964">
        <v>711</v>
      </c>
      <c r="O964">
        <v>189</v>
      </c>
      <c r="P964" s="11">
        <v>0.21</v>
      </c>
    </row>
    <row r="965" spans="1:16" x14ac:dyDescent="0.25">
      <c r="A965" s="36" t="s">
        <v>182</v>
      </c>
      <c r="B965" s="2">
        <v>45950</v>
      </c>
      <c r="C965" s="36" t="s">
        <v>65</v>
      </c>
      <c r="D965">
        <v>2025</v>
      </c>
      <c r="E965" s="36" t="s">
        <v>606</v>
      </c>
      <c r="F965" s="36" t="s">
        <v>40</v>
      </c>
      <c r="G965" s="36" t="s">
        <v>610</v>
      </c>
      <c r="H965" s="36" t="s">
        <v>620</v>
      </c>
      <c r="I965" s="36" t="s">
        <v>614</v>
      </c>
      <c r="J965" s="36" t="s">
        <v>615</v>
      </c>
      <c r="K965">
        <v>17</v>
      </c>
      <c r="L965">
        <v>700</v>
      </c>
      <c r="M965">
        <v>11900</v>
      </c>
      <c r="N965">
        <v>9758</v>
      </c>
      <c r="O965">
        <v>2142</v>
      </c>
      <c r="P965" s="11">
        <v>0.18</v>
      </c>
    </row>
    <row r="966" spans="1:16" x14ac:dyDescent="0.25">
      <c r="A966" s="36" t="s">
        <v>418</v>
      </c>
      <c r="B966" s="2">
        <v>45950</v>
      </c>
      <c r="C966" s="36" t="s">
        <v>65</v>
      </c>
      <c r="D966">
        <v>2025</v>
      </c>
      <c r="E966" s="36" t="s">
        <v>596</v>
      </c>
      <c r="F966" s="36" t="s">
        <v>39</v>
      </c>
      <c r="G966" s="36" t="s">
        <v>610</v>
      </c>
      <c r="H966" s="36" t="s">
        <v>622</v>
      </c>
      <c r="I966" s="36" t="s">
        <v>627</v>
      </c>
      <c r="J966" s="36" t="s">
        <v>615</v>
      </c>
      <c r="K966">
        <v>15</v>
      </c>
      <c r="L966">
        <v>8000</v>
      </c>
      <c r="M966">
        <v>120000</v>
      </c>
      <c r="N966">
        <v>88800</v>
      </c>
      <c r="O966">
        <v>31200</v>
      </c>
      <c r="P966" s="11">
        <v>0.26</v>
      </c>
    </row>
    <row r="967" spans="1:16" x14ac:dyDescent="0.25">
      <c r="A967" s="36" t="s">
        <v>343</v>
      </c>
      <c r="B967" s="2">
        <v>45951</v>
      </c>
      <c r="C967" s="36" t="s">
        <v>65</v>
      </c>
      <c r="D967">
        <v>2025</v>
      </c>
      <c r="E967" s="36" t="s">
        <v>604</v>
      </c>
      <c r="F967" s="36" t="s">
        <v>41</v>
      </c>
      <c r="G967" s="36" t="s">
        <v>611</v>
      </c>
      <c r="H967" s="36" t="s">
        <v>622</v>
      </c>
      <c r="I967" s="36" t="s">
        <v>630</v>
      </c>
      <c r="J967" s="36" t="s">
        <v>615</v>
      </c>
      <c r="K967">
        <v>2</v>
      </c>
      <c r="L967">
        <v>1200</v>
      </c>
      <c r="M967">
        <v>2400</v>
      </c>
      <c r="N967">
        <v>1872</v>
      </c>
      <c r="O967">
        <v>528</v>
      </c>
      <c r="P967" s="11">
        <v>0.22</v>
      </c>
    </row>
    <row r="968" spans="1:16" x14ac:dyDescent="0.25">
      <c r="A968" s="36" t="s">
        <v>519</v>
      </c>
      <c r="B968" s="2">
        <v>45951</v>
      </c>
      <c r="C968" s="36" t="s">
        <v>65</v>
      </c>
      <c r="D968">
        <v>2025</v>
      </c>
      <c r="E968" s="36" t="s">
        <v>607</v>
      </c>
      <c r="F968" s="36" t="s">
        <v>42</v>
      </c>
      <c r="G968" s="36" t="s">
        <v>609</v>
      </c>
      <c r="H968" s="36" t="s">
        <v>629</v>
      </c>
      <c r="I968" s="36" t="s">
        <v>623</v>
      </c>
      <c r="J968" s="36" t="s">
        <v>615</v>
      </c>
      <c r="K968">
        <v>7</v>
      </c>
      <c r="L968">
        <v>1200</v>
      </c>
      <c r="M968">
        <v>8400</v>
      </c>
      <c r="N968">
        <v>6972</v>
      </c>
      <c r="O968">
        <v>1428</v>
      </c>
      <c r="P968" s="11">
        <v>0.17</v>
      </c>
    </row>
    <row r="969" spans="1:16" x14ac:dyDescent="0.25">
      <c r="A969" s="36" t="s">
        <v>571</v>
      </c>
      <c r="B969" s="2">
        <v>45952</v>
      </c>
      <c r="C969" s="36" t="s">
        <v>65</v>
      </c>
      <c r="D969">
        <v>2025</v>
      </c>
      <c r="E969" s="36" t="s">
        <v>596</v>
      </c>
      <c r="F969" s="36" t="s">
        <v>39</v>
      </c>
      <c r="G969" s="36" t="s">
        <v>611</v>
      </c>
      <c r="H969" s="36" t="s">
        <v>629</v>
      </c>
      <c r="I969" s="36" t="s">
        <v>627</v>
      </c>
      <c r="J969" s="36" t="s">
        <v>618</v>
      </c>
      <c r="K969">
        <v>19</v>
      </c>
      <c r="L969">
        <v>1200</v>
      </c>
      <c r="M969">
        <v>22800</v>
      </c>
      <c r="N969">
        <v>20520</v>
      </c>
      <c r="O969">
        <v>2280</v>
      </c>
      <c r="P969" s="11">
        <v>0.1</v>
      </c>
    </row>
    <row r="970" spans="1:16" x14ac:dyDescent="0.25">
      <c r="A970" s="36" t="s">
        <v>245</v>
      </c>
      <c r="B970" s="2">
        <v>45953</v>
      </c>
      <c r="C970" s="36" t="s">
        <v>65</v>
      </c>
      <c r="D970">
        <v>2025</v>
      </c>
      <c r="E970" s="36" t="s">
        <v>605</v>
      </c>
      <c r="F970" s="36" t="s">
        <v>40</v>
      </c>
      <c r="G970" s="36" t="s">
        <v>609</v>
      </c>
      <c r="H970" s="36" t="s">
        <v>629</v>
      </c>
      <c r="I970" s="36" t="s">
        <v>631</v>
      </c>
      <c r="J970" s="36" t="s">
        <v>618</v>
      </c>
      <c r="K970">
        <v>9</v>
      </c>
      <c r="L970">
        <v>12000</v>
      </c>
      <c r="M970">
        <v>108000</v>
      </c>
      <c r="N970">
        <v>69120</v>
      </c>
      <c r="O970">
        <v>38880</v>
      </c>
      <c r="P970" s="11">
        <v>0.36</v>
      </c>
    </row>
    <row r="971" spans="1:16" x14ac:dyDescent="0.25">
      <c r="A971" s="36" t="s">
        <v>326</v>
      </c>
      <c r="B971" s="2">
        <v>45953</v>
      </c>
      <c r="C971" s="36" t="s">
        <v>65</v>
      </c>
      <c r="D971">
        <v>2025</v>
      </c>
      <c r="E971" s="36" t="s">
        <v>601</v>
      </c>
      <c r="F971" s="36" t="s">
        <v>41</v>
      </c>
      <c r="G971" s="36" t="s">
        <v>611</v>
      </c>
      <c r="H971" s="36" t="s">
        <v>624</v>
      </c>
      <c r="I971" s="36" t="s">
        <v>623</v>
      </c>
      <c r="J971" s="36" t="s">
        <v>618</v>
      </c>
      <c r="K971">
        <v>1</v>
      </c>
      <c r="L971">
        <v>15000</v>
      </c>
      <c r="M971">
        <v>15000</v>
      </c>
      <c r="N971">
        <v>9000</v>
      </c>
      <c r="O971">
        <v>6000</v>
      </c>
      <c r="P971" s="11">
        <v>0.4</v>
      </c>
    </row>
    <row r="972" spans="1:16" x14ac:dyDescent="0.25">
      <c r="A972" s="36" t="s">
        <v>329</v>
      </c>
      <c r="B972" s="2">
        <v>45953</v>
      </c>
      <c r="C972" s="36" t="s">
        <v>65</v>
      </c>
      <c r="D972">
        <v>2025</v>
      </c>
      <c r="E972" s="36" t="s">
        <v>607</v>
      </c>
      <c r="F972" s="36" t="s">
        <v>42</v>
      </c>
      <c r="G972" s="36" t="s">
        <v>612</v>
      </c>
      <c r="H972" s="36" t="s">
        <v>613</v>
      </c>
      <c r="I972" s="36" t="s">
        <v>631</v>
      </c>
      <c r="J972" s="36" t="s">
        <v>618</v>
      </c>
      <c r="K972">
        <v>18</v>
      </c>
      <c r="L972">
        <v>300</v>
      </c>
      <c r="M972">
        <v>5400</v>
      </c>
      <c r="N972">
        <v>4050</v>
      </c>
      <c r="O972">
        <v>1350</v>
      </c>
      <c r="P972" s="11">
        <v>0.25</v>
      </c>
    </row>
    <row r="973" spans="1:16" x14ac:dyDescent="0.25">
      <c r="A973" s="36" t="s">
        <v>127</v>
      </c>
      <c r="B973" s="2">
        <v>45954</v>
      </c>
      <c r="C973" s="36" t="s">
        <v>65</v>
      </c>
      <c r="D973">
        <v>2025</v>
      </c>
      <c r="E973" s="36" t="s">
        <v>607</v>
      </c>
      <c r="F973" s="36" t="s">
        <v>42</v>
      </c>
      <c r="G973" s="36" t="s">
        <v>612</v>
      </c>
      <c r="H973" s="36" t="s">
        <v>616</v>
      </c>
      <c r="I973" s="36" t="s">
        <v>630</v>
      </c>
      <c r="J973" s="36" t="s">
        <v>615</v>
      </c>
      <c r="K973">
        <v>17</v>
      </c>
      <c r="L973">
        <v>20</v>
      </c>
      <c r="M973">
        <v>340</v>
      </c>
      <c r="N973">
        <v>244.8</v>
      </c>
      <c r="O973">
        <v>95.199999999999989</v>
      </c>
      <c r="P973" s="11">
        <v>0.27999999999999997</v>
      </c>
    </row>
    <row r="974" spans="1:16" x14ac:dyDescent="0.25">
      <c r="A974" s="36" t="s">
        <v>346</v>
      </c>
      <c r="B974" s="2">
        <v>45954</v>
      </c>
      <c r="C974" s="36" t="s">
        <v>65</v>
      </c>
      <c r="D974">
        <v>2025</v>
      </c>
      <c r="E974" s="36" t="s">
        <v>605</v>
      </c>
      <c r="F974" s="36" t="s">
        <v>40</v>
      </c>
      <c r="G974" s="36" t="s">
        <v>608</v>
      </c>
      <c r="H974" s="36" t="s">
        <v>624</v>
      </c>
      <c r="I974" s="36" t="s">
        <v>617</v>
      </c>
      <c r="J974" s="36" t="s">
        <v>618</v>
      </c>
      <c r="K974">
        <v>8</v>
      </c>
      <c r="L974">
        <v>7000</v>
      </c>
      <c r="M974">
        <v>56000</v>
      </c>
      <c r="N974">
        <v>49280</v>
      </c>
      <c r="O974">
        <v>6720</v>
      </c>
      <c r="P974" s="11">
        <v>0.12</v>
      </c>
    </row>
    <row r="975" spans="1:16" x14ac:dyDescent="0.25">
      <c r="A975" s="36" t="s">
        <v>557</v>
      </c>
      <c r="B975" s="2">
        <v>45954</v>
      </c>
      <c r="C975" s="36" t="s">
        <v>65</v>
      </c>
      <c r="D975">
        <v>2025</v>
      </c>
      <c r="E975" s="36" t="s">
        <v>593</v>
      </c>
      <c r="F975" s="36" t="s">
        <v>41</v>
      </c>
      <c r="G975" s="36" t="s">
        <v>611</v>
      </c>
      <c r="H975" s="36" t="s">
        <v>626</v>
      </c>
      <c r="I975" s="36" t="s">
        <v>617</v>
      </c>
      <c r="J975" s="36" t="s">
        <v>615</v>
      </c>
      <c r="K975">
        <v>17</v>
      </c>
      <c r="L975">
        <v>3500</v>
      </c>
      <c r="M975">
        <v>59500</v>
      </c>
      <c r="N975">
        <v>47600</v>
      </c>
      <c r="O975">
        <v>11900</v>
      </c>
      <c r="P975" s="11">
        <v>0.2</v>
      </c>
    </row>
    <row r="976" spans="1:16" x14ac:dyDescent="0.25">
      <c r="A976" s="36" t="s">
        <v>195</v>
      </c>
      <c r="B976" s="2">
        <v>45955</v>
      </c>
      <c r="C976" s="36" t="s">
        <v>65</v>
      </c>
      <c r="D976">
        <v>2025</v>
      </c>
      <c r="E976" s="36" t="s">
        <v>599</v>
      </c>
      <c r="F976" s="36" t="s">
        <v>39</v>
      </c>
      <c r="G976" s="36" t="s">
        <v>611</v>
      </c>
      <c r="H976" s="36" t="s">
        <v>620</v>
      </c>
      <c r="I976" s="36" t="s">
        <v>630</v>
      </c>
      <c r="J976" s="36" t="s">
        <v>615</v>
      </c>
      <c r="K976">
        <v>8</v>
      </c>
      <c r="L976">
        <v>150</v>
      </c>
      <c r="M976">
        <v>1200</v>
      </c>
      <c r="N976">
        <v>1020</v>
      </c>
      <c r="O976">
        <v>180</v>
      </c>
      <c r="P976" s="11">
        <v>0.15</v>
      </c>
    </row>
    <row r="977" spans="1:16" x14ac:dyDescent="0.25">
      <c r="A977" s="36" t="s">
        <v>368</v>
      </c>
      <c r="B977" s="2">
        <v>45955</v>
      </c>
      <c r="C977" s="36" t="s">
        <v>65</v>
      </c>
      <c r="D977">
        <v>2025</v>
      </c>
      <c r="E977" s="36" t="s">
        <v>598</v>
      </c>
      <c r="F977" s="36" t="s">
        <v>40</v>
      </c>
      <c r="G977" s="36" t="s">
        <v>611</v>
      </c>
      <c r="H977" s="36" t="s">
        <v>629</v>
      </c>
      <c r="I977" s="36" t="s">
        <v>614</v>
      </c>
      <c r="J977" s="36" t="s">
        <v>615</v>
      </c>
      <c r="K977">
        <v>9</v>
      </c>
      <c r="L977">
        <v>1200</v>
      </c>
      <c r="M977">
        <v>10800</v>
      </c>
      <c r="N977">
        <v>9504</v>
      </c>
      <c r="O977">
        <v>1296</v>
      </c>
      <c r="P977" s="11">
        <v>0.12</v>
      </c>
    </row>
    <row r="978" spans="1:16" x14ac:dyDescent="0.25">
      <c r="A978" s="36" t="s">
        <v>462</v>
      </c>
      <c r="B978" s="2">
        <v>45955</v>
      </c>
      <c r="C978" s="36" t="s">
        <v>65</v>
      </c>
      <c r="D978">
        <v>2025</v>
      </c>
      <c r="E978" s="36" t="s">
        <v>594</v>
      </c>
      <c r="F978" s="36" t="s">
        <v>39</v>
      </c>
      <c r="G978" s="36" t="s">
        <v>608</v>
      </c>
      <c r="H978" s="36" t="s">
        <v>621</v>
      </c>
      <c r="I978" s="36" t="s">
        <v>614</v>
      </c>
      <c r="J978" s="36" t="s">
        <v>618</v>
      </c>
      <c r="K978">
        <v>13</v>
      </c>
      <c r="L978">
        <v>8000</v>
      </c>
      <c r="M978">
        <v>104000</v>
      </c>
      <c r="N978">
        <v>76960</v>
      </c>
      <c r="O978">
        <v>27040</v>
      </c>
      <c r="P978" s="11">
        <v>0.26</v>
      </c>
    </row>
    <row r="979" spans="1:16" x14ac:dyDescent="0.25">
      <c r="A979" s="36" t="s">
        <v>251</v>
      </c>
      <c r="B979" s="2">
        <v>45956</v>
      </c>
      <c r="C979" s="36" t="s">
        <v>65</v>
      </c>
      <c r="D979">
        <v>2025</v>
      </c>
      <c r="E979" s="36" t="s">
        <v>596</v>
      </c>
      <c r="F979" s="36" t="s">
        <v>39</v>
      </c>
      <c r="G979" s="36" t="s">
        <v>610</v>
      </c>
      <c r="H979" s="36" t="s">
        <v>622</v>
      </c>
      <c r="I979" s="36" t="s">
        <v>645</v>
      </c>
      <c r="J979" s="36" t="s">
        <v>618</v>
      </c>
      <c r="K979">
        <v>10</v>
      </c>
      <c r="L979">
        <v>45000</v>
      </c>
      <c r="M979">
        <v>450000</v>
      </c>
      <c r="N979">
        <v>324000</v>
      </c>
      <c r="O979">
        <v>126000</v>
      </c>
      <c r="P979" s="11">
        <v>0.28000000000000003</v>
      </c>
    </row>
    <row r="980" spans="1:16" x14ac:dyDescent="0.25">
      <c r="A980" s="36" t="s">
        <v>510</v>
      </c>
      <c r="B980" s="2">
        <v>45956</v>
      </c>
      <c r="C980" s="36" t="s">
        <v>65</v>
      </c>
      <c r="D980">
        <v>2025</v>
      </c>
      <c r="E980" s="36" t="s">
        <v>607</v>
      </c>
      <c r="F980" s="36" t="s">
        <v>42</v>
      </c>
      <c r="G980" s="36" t="s">
        <v>612</v>
      </c>
      <c r="H980" s="36" t="s">
        <v>624</v>
      </c>
      <c r="I980" s="36" t="s">
        <v>645</v>
      </c>
      <c r="J980" s="36" t="s">
        <v>615</v>
      </c>
      <c r="K980">
        <v>14</v>
      </c>
      <c r="L980">
        <v>4000</v>
      </c>
      <c r="M980">
        <v>56000</v>
      </c>
      <c r="N980">
        <v>49840</v>
      </c>
      <c r="O980">
        <v>6160</v>
      </c>
      <c r="P980" s="11">
        <v>0.11</v>
      </c>
    </row>
    <row r="981" spans="1:16" x14ac:dyDescent="0.25">
      <c r="A981" s="36" t="s">
        <v>423</v>
      </c>
      <c r="B981" s="2">
        <v>45957</v>
      </c>
      <c r="C981" s="36" t="s">
        <v>65</v>
      </c>
      <c r="D981">
        <v>2025</v>
      </c>
      <c r="E981" s="36" t="s">
        <v>598</v>
      </c>
      <c r="F981" s="36" t="s">
        <v>40</v>
      </c>
      <c r="G981" s="36" t="s">
        <v>612</v>
      </c>
      <c r="H981" s="36" t="s">
        <v>620</v>
      </c>
      <c r="I981" s="36" t="s">
        <v>627</v>
      </c>
      <c r="J981" s="36" t="s">
        <v>615</v>
      </c>
      <c r="K981">
        <v>19</v>
      </c>
      <c r="L981">
        <v>300</v>
      </c>
      <c r="M981">
        <v>5700</v>
      </c>
      <c r="N981">
        <v>3648</v>
      </c>
      <c r="O981">
        <v>2052</v>
      </c>
      <c r="P981" s="11">
        <v>0.36</v>
      </c>
    </row>
    <row r="982" spans="1:16" x14ac:dyDescent="0.25">
      <c r="A982" s="36" t="s">
        <v>132</v>
      </c>
      <c r="B982" s="2">
        <v>45964</v>
      </c>
      <c r="C982" s="36" t="s">
        <v>48</v>
      </c>
      <c r="D982">
        <v>2025</v>
      </c>
      <c r="E982" s="36" t="s">
        <v>605</v>
      </c>
      <c r="F982" s="36" t="s">
        <v>40</v>
      </c>
      <c r="G982" s="36" t="s">
        <v>609</v>
      </c>
      <c r="H982" s="36" t="s">
        <v>629</v>
      </c>
      <c r="I982" s="36" t="s">
        <v>630</v>
      </c>
      <c r="J982" s="36" t="s">
        <v>618</v>
      </c>
      <c r="K982">
        <v>20</v>
      </c>
      <c r="L982">
        <v>50</v>
      </c>
      <c r="M982">
        <v>1000</v>
      </c>
      <c r="N982">
        <v>670</v>
      </c>
      <c r="O982">
        <v>330</v>
      </c>
      <c r="P982" s="11">
        <v>0.33</v>
      </c>
    </row>
    <row r="983" spans="1:16" x14ac:dyDescent="0.25">
      <c r="A983" s="36" t="s">
        <v>207</v>
      </c>
      <c r="B983" s="2">
        <v>45964</v>
      </c>
      <c r="C983" s="36" t="s">
        <v>48</v>
      </c>
      <c r="D983">
        <v>2025</v>
      </c>
      <c r="E983" s="36" t="s">
        <v>606</v>
      </c>
      <c r="F983" s="36" t="s">
        <v>40</v>
      </c>
      <c r="G983" s="36" t="s">
        <v>610</v>
      </c>
      <c r="H983" s="36" t="s">
        <v>613</v>
      </c>
      <c r="I983" s="36" t="s">
        <v>614</v>
      </c>
      <c r="J983" s="36" t="s">
        <v>615</v>
      </c>
      <c r="K983">
        <v>4</v>
      </c>
      <c r="L983">
        <v>12000</v>
      </c>
      <c r="M983">
        <v>48000</v>
      </c>
      <c r="N983">
        <v>30240</v>
      </c>
      <c r="O983">
        <v>17760</v>
      </c>
      <c r="P983" s="11">
        <v>0.37</v>
      </c>
    </row>
    <row r="984" spans="1:16" x14ac:dyDescent="0.25">
      <c r="A984" s="36" t="s">
        <v>477</v>
      </c>
      <c r="B984" s="2">
        <v>45964</v>
      </c>
      <c r="C984" s="36" t="s">
        <v>48</v>
      </c>
      <c r="D984">
        <v>2025</v>
      </c>
      <c r="E984" s="36" t="s">
        <v>596</v>
      </c>
      <c r="F984" s="36" t="s">
        <v>39</v>
      </c>
      <c r="G984" s="36" t="s">
        <v>608</v>
      </c>
      <c r="H984" s="36" t="s">
        <v>613</v>
      </c>
      <c r="I984" s="36" t="s">
        <v>619</v>
      </c>
      <c r="J984" s="36" t="s">
        <v>615</v>
      </c>
      <c r="K984">
        <v>11</v>
      </c>
      <c r="L984">
        <v>700</v>
      </c>
      <c r="M984">
        <v>7700</v>
      </c>
      <c r="N984">
        <v>5082</v>
      </c>
      <c r="O984">
        <v>2618</v>
      </c>
      <c r="P984" s="11">
        <v>0.34</v>
      </c>
    </row>
    <row r="985" spans="1:16" x14ac:dyDescent="0.25">
      <c r="A985" s="36" t="s">
        <v>145</v>
      </c>
      <c r="B985" s="2">
        <v>45965</v>
      </c>
      <c r="C985" s="36" t="s">
        <v>48</v>
      </c>
      <c r="D985">
        <v>2025</v>
      </c>
      <c r="E985" s="36" t="s">
        <v>593</v>
      </c>
      <c r="F985" s="36" t="s">
        <v>41</v>
      </c>
      <c r="G985" s="36" t="s">
        <v>609</v>
      </c>
      <c r="H985" s="36" t="s">
        <v>621</v>
      </c>
      <c r="I985" s="36" t="s">
        <v>619</v>
      </c>
      <c r="J985" s="36" t="s">
        <v>618</v>
      </c>
      <c r="K985">
        <v>2</v>
      </c>
      <c r="L985">
        <v>55000</v>
      </c>
      <c r="M985">
        <v>110000</v>
      </c>
      <c r="N985">
        <v>74800</v>
      </c>
      <c r="O985">
        <v>35200</v>
      </c>
      <c r="P985" s="11">
        <v>0.32</v>
      </c>
    </row>
    <row r="986" spans="1:16" x14ac:dyDescent="0.25">
      <c r="A986" s="36" t="s">
        <v>67</v>
      </c>
      <c r="B986" s="2">
        <v>45966</v>
      </c>
      <c r="C986" s="36" t="s">
        <v>48</v>
      </c>
      <c r="D986">
        <v>2025</v>
      </c>
      <c r="E986" s="36" t="s">
        <v>601</v>
      </c>
      <c r="F986" s="36" t="s">
        <v>41</v>
      </c>
      <c r="G986" s="36" t="s">
        <v>609</v>
      </c>
      <c r="H986" s="36" t="s">
        <v>622</v>
      </c>
      <c r="I986" s="36" t="s">
        <v>627</v>
      </c>
      <c r="J986" s="36" t="s">
        <v>618</v>
      </c>
      <c r="K986">
        <v>16</v>
      </c>
      <c r="L986">
        <v>3500</v>
      </c>
      <c r="M986">
        <v>56000</v>
      </c>
      <c r="N986">
        <v>48720</v>
      </c>
      <c r="O986">
        <v>7280</v>
      </c>
      <c r="P986" s="11">
        <v>0.13</v>
      </c>
    </row>
    <row r="987" spans="1:16" x14ac:dyDescent="0.25">
      <c r="A987" s="36" t="s">
        <v>119</v>
      </c>
      <c r="B987" s="2">
        <v>45966</v>
      </c>
      <c r="C987" s="36" t="s">
        <v>48</v>
      </c>
      <c r="D987">
        <v>2025</v>
      </c>
      <c r="E987" s="36" t="s">
        <v>601</v>
      </c>
      <c r="F987" s="36" t="s">
        <v>41</v>
      </c>
      <c r="G987" s="36" t="s">
        <v>608</v>
      </c>
      <c r="H987" s="36" t="s">
        <v>620</v>
      </c>
      <c r="I987" s="36" t="s">
        <v>614</v>
      </c>
      <c r="J987" s="36" t="s">
        <v>615</v>
      </c>
      <c r="K987">
        <v>12</v>
      </c>
      <c r="L987">
        <v>50</v>
      </c>
      <c r="M987">
        <v>600</v>
      </c>
      <c r="N987">
        <v>498</v>
      </c>
      <c r="O987">
        <v>102</v>
      </c>
      <c r="P987" s="11">
        <v>0.17</v>
      </c>
    </row>
    <row r="988" spans="1:16" x14ac:dyDescent="0.25">
      <c r="A988" s="36" t="s">
        <v>225</v>
      </c>
      <c r="B988" s="2">
        <v>45967</v>
      </c>
      <c r="C988" s="36" t="s">
        <v>48</v>
      </c>
      <c r="D988">
        <v>2025</v>
      </c>
      <c r="E988" s="36" t="s">
        <v>600</v>
      </c>
      <c r="F988" s="36" t="s">
        <v>39</v>
      </c>
      <c r="G988" s="36" t="s">
        <v>609</v>
      </c>
      <c r="H988" s="36" t="s">
        <v>620</v>
      </c>
      <c r="I988" s="36" t="s">
        <v>645</v>
      </c>
      <c r="J988" s="36" t="s">
        <v>615</v>
      </c>
      <c r="K988">
        <v>6</v>
      </c>
      <c r="L988">
        <v>50</v>
      </c>
      <c r="M988">
        <v>300</v>
      </c>
      <c r="N988">
        <v>255</v>
      </c>
      <c r="O988">
        <v>45</v>
      </c>
      <c r="P988" s="11">
        <v>0.15</v>
      </c>
    </row>
    <row r="989" spans="1:16" x14ac:dyDescent="0.25">
      <c r="A989" s="36" t="s">
        <v>230</v>
      </c>
      <c r="B989" s="2">
        <v>45967</v>
      </c>
      <c r="C989" s="36" t="s">
        <v>48</v>
      </c>
      <c r="D989">
        <v>2025</v>
      </c>
      <c r="E989" s="36" t="s">
        <v>595</v>
      </c>
      <c r="F989" s="36" t="s">
        <v>39</v>
      </c>
      <c r="G989" s="36" t="s">
        <v>609</v>
      </c>
      <c r="H989" s="36" t="s">
        <v>626</v>
      </c>
      <c r="I989" s="36" t="s">
        <v>645</v>
      </c>
      <c r="J989" s="36" t="s">
        <v>618</v>
      </c>
      <c r="K989">
        <v>6</v>
      </c>
      <c r="L989">
        <v>9000</v>
      </c>
      <c r="M989">
        <v>54000</v>
      </c>
      <c r="N989">
        <v>36180</v>
      </c>
      <c r="O989">
        <v>17820</v>
      </c>
      <c r="P989" s="11">
        <v>0.33</v>
      </c>
    </row>
    <row r="990" spans="1:16" x14ac:dyDescent="0.25">
      <c r="A990" s="36" t="s">
        <v>493</v>
      </c>
      <c r="B990" s="2">
        <v>45967</v>
      </c>
      <c r="C990" s="36" t="s">
        <v>48</v>
      </c>
      <c r="D990">
        <v>2025</v>
      </c>
      <c r="E990" s="36" t="s">
        <v>600</v>
      </c>
      <c r="F990" s="36" t="s">
        <v>39</v>
      </c>
      <c r="G990" s="36" t="s">
        <v>608</v>
      </c>
      <c r="H990" s="36" t="s">
        <v>613</v>
      </c>
      <c r="I990" s="36" t="s">
        <v>645</v>
      </c>
      <c r="J990" s="36" t="s">
        <v>618</v>
      </c>
      <c r="K990">
        <v>9</v>
      </c>
      <c r="L990">
        <v>3500</v>
      </c>
      <c r="M990">
        <v>31500</v>
      </c>
      <c r="N990">
        <v>27720</v>
      </c>
      <c r="O990">
        <v>3780</v>
      </c>
      <c r="P990" s="11">
        <v>0.12</v>
      </c>
    </row>
    <row r="991" spans="1:16" x14ac:dyDescent="0.25">
      <c r="A991" s="36" t="s">
        <v>382</v>
      </c>
      <c r="B991" s="2">
        <v>45969</v>
      </c>
      <c r="C991" s="36" t="s">
        <v>48</v>
      </c>
      <c r="D991">
        <v>2025</v>
      </c>
      <c r="E991" s="36" t="s">
        <v>605</v>
      </c>
      <c r="F991" s="36" t="s">
        <v>40</v>
      </c>
      <c r="G991" s="36" t="s">
        <v>609</v>
      </c>
      <c r="H991" s="36" t="s">
        <v>616</v>
      </c>
      <c r="I991" s="36" t="s">
        <v>631</v>
      </c>
      <c r="J991" s="36" t="s">
        <v>615</v>
      </c>
      <c r="K991">
        <v>15</v>
      </c>
      <c r="L991">
        <v>150</v>
      </c>
      <c r="M991">
        <v>2250</v>
      </c>
      <c r="N991">
        <v>1395</v>
      </c>
      <c r="O991">
        <v>855</v>
      </c>
      <c r="P991" s="11">
        <v>0.38</v>
      </c>
    </row>
    <row r="992" spans="1:16" x14ac:dyDescent="0.25">
      <c r="A992" s="36" t="s">
        <v>353</v>
      </c>
      <c r="B992" s="2">
        <v>45970</v>
      </c>
      <c r="C992" s="36" t="s">
        <v>48</v>
      </c>
      <c r="D992">
        <v>2025</v>
      </c>
      <c r="E992" s="36" t="s">
        <v>601</v>
      </c>
      <c r="F992" s="36" t="s">
        <v>41</v>
      </c>
      <c r="G992" s="36" t="s">
        <v>608</v>
      </c>
      <c r="H992" s="36" t="s">
        <v>616</v>
      </c>
      <c r="I992" s="36" t="s">
        <v>645</v>
      </c>
      <c r="J992" s="36" t="s">
        <v>615</v>
      </c>
      <c r="K992">
        <v>3</v>
      </c>
      <c r="L992">
        <v>45000</v>
      </c>
      <c r="M992">
        <v>135000</v>
      </c>
      <c r="N992">
        <v>93150</v>
      </c>
      <c r="O992">
        <v>41850</v>
      </c>
      <c r="P992" s="11">
        <v>0.31</v>
      </c>
    </row>
    <row r="993" spans="1:16" x14ac:dyDescent="0.25">
      <c r="A993" s="36" t="s">
        <v>116</v>
      </c>
      <c r="B993" s="2">
        <v>45971</v>
      </c>
      <c r="C993" s="36" t="s">
        <v>48</v>
      </c>
      <c r="D993">
        <v>2025</v>
      </c>
      <c r="E993" s="36" t="s">
        <v>601</v>
      </c>
      <c r="F993" s="36" t="s">
        <v>41</v>
      </c>
      <c r="G993" s="36" t="s">
        <v>610</v>
      </c>
      <c r="H993" s="36" t="s">
        <v>613</v>
      </c>
      <c r="I993" s="36" t="s">
        <v>630</v>
      </c>
      <c r="J993" s="36" t="s">
        <v>618</v>
      </c>
      <c r="K993">
        <v>7</v>
      </c>
      <c r="L993">
        <v>8000</v>
      </c>
      <c r="M993">
        <v>56000</v>
      </c>
      <c r="N993">
        <v>38640</v>
      </c>
      <c r="O993">
        <v>17360</v>
      </c>
      <c r="P993" s="11">
        <v>0.31</v>
      </c>
    </row>
    <row r="994" spans="1:16" x14ac:dyDescent="0.25">
      <c r="A994" s="36" t="s">
        <v>338</v>
      </c>
      <c r="B994" s="2">
        <v>45971</v>
      </c>
      <c r="C994" s="36" t="s">
        <v>48</v>
      </c>
      <c r="D994">
        <v>2025</v>
      </c>
      <c r="E994" s="36" t="s">
        <v>600</v>
      </c>
      <c r="F994" s="36" t="s">
        <v>39</v>
      </c>
      <c r="G994" s="36" t="s">
        <v>609</v>
      </c>
      <c r="H994" s="36" t="s">
        <v>621</v>
      </c>
      <c r="I994" s="36" t="s">
        <v>623</v>
      </c>
      <c r="J994" s="36" t="s">
        <v>618</v>
      </c>
      <c r="K994">
        <v>4</v>
      </c>
      <c r="L994">
        <v>45000</v>
      </c>
      <c r="M994">
        <v>180000</v>
      </c>
      <c r="N994">
        <v>113400</v>
      </c>
      <c r="O994">
        <v>66600</v>
      </c>
      <c r="P994" s="11">
        <v>0.37</v>
      </c>
    </row>
    <row r="995" spans="1:16" x14ac:dyDescent="0.25">
      <c r="A995" s="36" t="s">
        <v>191</v>
      </c>
      <c r="B995" s="2">
        <v>45972</v>
      </c>
      <c r="C995" s="36" t="s">
        <v>48</v>
      </c>
      <c r="D995">
        <v>2025</v>
      </c>
      <c r="E995" s="36" t="s">
        <v>599</v>
      </c>
      <c r="F995" s="36" t="s">
        <v>39</v>
      </c>
      <c r="G995" s="36" t="s">
        <v>612</v>
      </c>
      <c r="H995" s="36" t="s">
        <v>622</v>
      </c>
      <c r="I995" s="36" t="s">
        <v>645</v>
      </c>
      <c r="J995" s="36" t="s">
        <v>615</v>
      </c>
      <c r="K995">
        <v>15</v>
      </c>
      <c r="L995">
        <v>50</v>
      </c>
      <c r="M995">
        <v>750</v>
      </c>
      <c r="N995">
        <v>577.5</v>
      </c>
      <c r="O995">
        <v>172.5</v>
      </c>
      <c r="P995" s="11">
        <v>0.23</v>
      </c>
    </row>
    <row r="996" spans="1:16" x14ac:dyDescent="0.25">
      <c r="A996" s="36" t="s">
        <v>296</v>
      </c>
      <c r="B996" s="2">
        <v>45973</v>
      </c>
      <c r="C996" s="36" t="s">
        <v>48</v>
      </c>
      <c r="D996">
        <v>2025</v>
      </c>
      <c r="E996" s="36" t="s">
        <v>593</v>
      </c>
      <c r="F996" s="36" t="s">
        <v>41</v>
      </c>
      <c r="G996" s="36" t="s">
        <v>611</v>
      </c>
      <c r="H996" s="36" t="s">
        <v>621</v>
      </c>
      <c r="I996" s="36" t="s">
        <v>631</v>
      </c>
      <c r="J996" s="36" t="s">
        <v>615</v>
      </c>
      <c r="K996">
        <v>16</v>
      </c>
      <c r="L996">
        <v>25000</v>
      </c>
      <c r="M996">
        <v>400000</v>
      </c>
      <c r="N996">
        <v>360000</v>
      </c>
      <c r="O996">
        <v>40000</v>
      </c>
      <c r="P996" s="11">
        <v>0.1</v>
      </c>
    </row>
    <row r="997" spans="1:16" x14ac:dyDescent="0.25">
      <c r="A997" s="36" t="s">
        <v>218</v>
      </c>
      <c r="B997" s="2">
        <v>45974</v>
      </c>
      <c r="C997" s="36" t="s">
        <v>48</v>
      </c>
      <c r="D997">
        <v>2025</v>
      </c>
      <c r="E997" s="36" t="s">
        <v>599</v>
      </c>
      <c r="F997" s="36" t="s">
        <v>39</v>
      </c>
      <c r="G997" s="36" t="s">
        <v>609</v>
      </c>
      <c r="H997" s="36" t="s">
        <v>620</v>
      </c>
      <c r="I997" s="36" t="s">
        <v>645</v>
      </c>
      <c r="J997" s="36" t="s">
        <v>618</v>
      </c>
      <c r="K997">
        <v>3</v>
      </c>
      <c r="L997">
        <v>15000</v>
      </c>
      <c r="M997">
        <v>45000</v>
      </c>
      <c r="N997">
        <v>32850</v>
      </c>
      <c r="O997">
        <v>12150</v>
      </c>
      <c r="P997" s="11">
        <v>0.27</v>
      </c>
    </row>
    <row r="998" spans="1:16" x14ac:dyDescent="0.25">
      <c r="A998" s="36" t="s">
        <v>200</v>
      </c>
      <c r="B998" s="2">
        <v>45975</v>
      </c>
      <c r="C998" s="36" t="s">
        <v>48</v>
      </c>
      <c r="D998">
        <v>2025</v>
      </c>
      <c r="E998" s="36" t="s">
        <v>600</v>
      </c>
      <c r="F998" s="36" t="s">
        <v>39</v>
      </c>
      <c r="G998" s="36" t="s">
        <v>610</v>
      </c>
      <c r="H998" s="36" t="s">
        <v>616</v>
      </c>
      <c r="I998" s="36" t="s">
        <v>630</v>
      </c>
      <c r="J998" s="36" t="s">
        <v>615</v>
      </c>
      <c r="K998">
        <v>1</v>
      </c>
      <c r="L998">
        <v>8000</v>
      </c>
      <c r="M998">
        <v>8000</v>
      </c>
      <c r="N998">
        <v>5200</v>
      </c>
      <c r="O998">
        <v>2800</v>
      </c>
      <c r="P998" s="11">
        <v>0.35</v>
      </c>
    </row>
    <row r="999" spans="1:16" x14ac:dyDescent="0.25">
      <c r="A999" s="36" t="s">
        <v>311</v>
      </c>
      <c r="B999" s="2">
        <v>45975</v>
      </c>
      <c r="C999" s="36" t="s">
        <v>48</v>
      </c>
      <c r="D999">
        <v>2025</v>
      </c>
      <c r="E999" s="36" t="s">
        <v>602</v>
      </c>
      <c r="F999" s="36" t="s">
        <v>42</v>
      </c>
      <c r="G999" s="36" t="s">
        <v>611</v>
      </c>
      <c r="H999" s="36" t="s">
        <v>626</v>
      </c>
      <c r="I999" s="36" t="s">
        <v>630</v>
      </c>
      <c r="J999" s="36" t="s">
        <v>618</v>
      </c>
      <c r="K999">
        <v>12</v>
      </c>
      <c r="L999">
        <v>8000</v>
      </c>
      <c r="M999">
        <v>96000</v>
      </c>
      <c r="N999">
        <v>74880</v>
      </c>
      <c r="O999">
        <v>21120</v>
      </c>
      <c r="P999" s="11">
        <v>0.22</v>
      </c>
    </row>
    <row r="1000" spans="1:16" x14ac:dyDescent="0.25">
      <c r="A1000" s="36" t="s">
        <v>516</v>
      </c>
      <c r="B1000" s="2">
        <v>45976</v>
      </c>
      <c r="C1000" s="36" t="s">
        <v>48</v>
      </c>
      <c r="D1000">
        <v>2025</v>
      </c>
      <c r="E1000" s="36" t="s">
        <v>605</v>
      </c>
      <c r="F1000" s="36" t="s">
        <v>40</v>
      </c>
      <c r="G1000" s="36" t="s">
        <v>610</v>
      </c>
      <c r="H1000" s="36" t="s">
        <v>628</v>
      </c>
      <c r="I1000" s="36" t="s">
        <v>645</v>
      </c>
      <c r="J1000" s="36" t="s">
        <v>618</v>
      </c>
      <c r="K1000">
        <v>2</v>
      </c>
      <c r="L1000">
        <v>12000</v>
      </c>
      <c r="M1000">
        <v>24000</v>
      </c>
      <c r="N1000">
        <v>21120</v>
      </c>
      <c r="O1000">
        <v>2880</v>
      </c>
      <c r="P1000" s="11">
        <v>0.12</v>
      </c>
    </row>
    <row r="1001" spans="1:16" x14ac:dyDescent="0.25">
      <c r="A1001" s="36" t="s">
        <v>539</v>
      </c>
      <c r="B1001" s="2">
        <v>45976</v>
      </c>
      <c r="C1001" s="36" t="s">
        <v>48</v>
      </c>
      <c r="D1001">
        <v>2025</v>
      </c>
      <c r="E1001" s="36" t="s">
        <v>598</v>
      </c>
      <c r="F1001" s="36" t="s">
        <v>40</v>
      </c>
      <c r="G1001" s="36" t="s">
        <v>612</v>
      </c>
      <c r="H1001" s="36" t="s">
        <v>616</v>
      </c>
      <c r="I1001" s="36" t="s">
        <v>617</v>
      </c>
      <c r="J1001" s="36" t="s">
        <v>615</v>
      </c>
      <c r="K1001">
        <v>19</v>
      </c>
      <c r="L1001">
        <v>8000</v>
      </c>
      <c r="M1001">
        <v>152000</v>
      </c>
      <c r="N1001">
        <v>120080</v>
      </c>
      <c r="O1001">
        <v>31920</v>
      </c>
      <c r="P1001" s="11">
        <v>0.21</v>
      </c>
    </row>
    <row r="1002" spans="1:16" x14ac:dyDescent="0.25">
      <c r="A1002" s="36" t="s">
        <v>47</v>
      </c>
      <c r="B1002" s="2">
        <v>45977</v>
      </c>
      <c r="C1002" s="36" t="s">
        <v>48</v>
      </c>
      <c r="D1002">
        <v>2025</v>
      </c>
      <c r="E1002" s="36" t="s">
        <v>594</v>
      </c>
      <c r="F1002" s="36" t="s">
        <v>39</v>
      </c>
      <c r="G1002" s="36" t="s">
        <v>609</v>
      </c>
      <c r="H1002" s="36" t="s">
        <v>616</v>
      </c>
      <c r="I1002" s="36" t="s">
        <v>619</v>
      </c>
      <c r="J1002" s="36" t="s">
        <v>618</v>
      </c>
      <c r="K1002">
        <v>4</v>
      </c>
      <c r="L1002">
        <v>20</v>
      </c>
      <c r="M1002">
        <v>80</v>
      </c>
      <c r="N1002">
        <v>48.8</v>
      </c>
      <c r="O1002">
        <v>31.200000000000003</v>
      </c>
      <c r="P1002" s="11">
        <v>0.39</v>
      </c>
    </row>
    <row r="1003" spans="1:16" x14ac:dyDescent="0.25">
      <c r="A1003" s="36" t="s">
        <v>332</v>
      </c>
      <c r="B1003" s="2">
        <v>45977</v>
      </c>
      <c r="C1003" s="36" t="s">
        <v>48</v>
      </c>
      <c r="D1003">
        <v>2025</v>
      </c>
      <c r="E1003" s="36" t="s">
        <v>599</v>
      </c>
      <c r="F1003" s="36" t="s">
        <v>39</v>
      </c>
      <c r="G1003" s="36" t="s">
        <v>609</v>
      </c>
      <c r="H1003" s="36" t="s">
        <v>622</v>
      </c>
      <c r="I1003" s="36" t="s">
        <v>630</v>
      </c>
      <c r="J1003" s="36" t="s">
        <v>618</v>
      </c>
      <c r="K1003">
        <v>19</v>
      </c>
      <c r="L1003">
        <v>300</v>
      </c>
      <c r="M1003">
        <v>5700</v>
      </c>
      <c r="N1003">
        <v>4332</v>
      </c>
      <c r="O1003">
        <v>1368</v>
      </c>
      <c r="P1003" s="11">
        <v>0.24</v>
      </c>
    </row>
    <row r="1004" spans="1:16" x14ac:dyDescent="0.25">
      <c r="A1004" s="36" t="s">
        <v>441</v>
      </c>
      <c r="B1004" s="2">
        <v>45977</v>
      </c>
      <c r="C1004" s="36" t="s">
        <v>48</v>
      </c>
      <c r="D1004">
        <v>2025</v>
      </c>
      <c r="E1004" s="36" t="s">
        <v>603</v>
      </c>
      <c r="F1004" s="36" t="s">
        <v>42</v>
      </c>
      <c r="G1004" s="36" t="s">
        <v>608</v>
      </c>
      <c r="H1004" s="36" t="s">
        <v>626</v>
      </c>
      <c r="I1004" s="36" t="s">
        <v>630</v>
      </c>
      <c r="J1004" s="36" t="s">
        <v>615</v>
      </c>
      <c r="K1004">
        <v>19</v>
      </c>
      <c r="L1004">
        <v>8000</v>
      </c>
      <c r="M1004">
        <v>152000</v>
      </c>
      <c r="N1004">
        <v>132240</v>
      </c>
      <c r="O1004">
        <v>19760</v>
      </c>
      <c r="P1004" s="11">
        <v>0.13</v>
      </c>
    </row>
    <row r="1005" spans="1:16" x14ac:dyDescent="0.25">
      <c r="A1005" s="36" t="s">
        <v>148</v>
      </c>
      <c r="B1005" s="2">
        <v>45978</v>
      </c>
      <c r="C1005" s="36" t="s">
        <v>48</v>
      </c>
      <c r="D1005">
        <v>2025</v>
      </c>
      <c r="E1005" s="36" t="s">
        <v>602</v>
      </c>
      <c r="F1005" s="36" t="s">
        <v>42</v>
      </c>
      <c r="G1005" s="36" t="s">
        <v>610</v>
      </c>
      <c r="H1005" s="36" t="s">
        <v>626</v>
      </c>
      <c r="I1005" s="36" t="s">
        <v>627</v>
      </c>
      <c r="J1005" s="36" t="s">
        <v>618</v>
      </c>
      <c r="K1005">
        <v>7</v>
      </c>
      <c r="L1005">
        <v>3500</v>
      </c>
      <c r="M1005">
        <v>24500</v>
      </c>
      <c r="N1005">
        <v>15435</v>
      </c>
      <c r="O1005">
        <v>9065</v>
      </c>
      <c r="P1005" s="11">
        <v>0.37</v>
      </c>
    </row>
    <row r="1006" spans="1:16" x14ac:dyDescent="0.25">
      <c r="A1006" s="36" t="s">
        <v>176</v>
      </c>
      <c r="B1006" s="2">
        <v>45979</v>
      </c>
      <c r="C1006" s="36" t="s">
        <v>48</v>
      </c>
      <c r="D1006">
        <v>2025</v>
      </c>
      <c r="E1006" s="36" t="s">
        <v>594</v>
      </c>
      <c r="F1006" s="36" t="s">
        <v>39</v>
      </c>
      <c r="G1006" s="36" t="s">
        <v>612</v>
      </c>
      <c r="H1006" s="36" t="s">
        <v>629</v>
      </c>
      <c r="I1006" s="36" t="s">
        <v>630</v>
      </c>
      <c r="J1006" s="36" t="s">
        <v>615</v>
      </c>
      <c r="K1006">
        <v>5</v>
      </c>
      <c r="L1006">
        <v>150</v>
      </c>
      <c r="M1006">
        <v>750</v>
      </c>
      <c r="N1006">
        <v>622.5</v>
      </c>
      <c r="O1006">
        <v>127.5</v>
      </c>
      <c r="P1006" s="11">
        <v>0.17</v>
      </c>
    </row>
    <row r="1007" spans="1:16" x14ac:dyDescent="0.25">
      <c r="A1007" s="36" t="s">
        <v>256</v>
      </c>
      <c r="B1007" s="2">
        <v>45980</v>
      </c>
      <c r="C1007" s="36" t="s">
        <v>48</v>
      </c>
      <c r="D1007">
        <v>2025</v>
      </c>
      <c r="E1007" s="36" t="s">
        <v>601</v>
      </c>
      <c r="F1007" s="36" t="s">
        <v>41</v>
      </c>
      <c r="G1007" s="36" t="s">
        <v>608</v>
      </c>
      <c r="H1007" s="36" t="s">
        <v>626</v>
      </c>
      <c r="I1007" s="36" t="s">
        <v>614</v>
      </c>
      <c r="J1007" s="36" t="s">
        <v>618</v>
      </c>
      <c r="K1007">
        <v>8</v>
      </c>
      <c r="L1007">
        <v>50</v>
      </c>
      <c r="M1007">
        <v>400</v>
      </c>
      <c r="N1007">
        <v>248</v>
      </c>
      <c r="O1007">
        <v>152</v>
      </c>
      <c r="P1007" s="11">
        <v>0.38</v>
      </c>
    </row>
    <row r="1008" spans="1:16" x14ac:dyDescent="0.25">
      <c r="A1008" s="36" t="s">
        <v>327</v>
      </c>
      <c r="B1008" s="2">
        <v>45980</v>
      </c>
      <c r="C1008" s="36" t="s">
        <v>48</v>
      </c>
      <c r="D1008">
        <v>2025</v>
      </c>
      <c r="E1008" s="36" t="s">
        <v>596</v>
      </c>
      <c r="F1008" s="36" t="s">
        <v>39</v>
      </c>
      <c r="G1008" s="36" t="s">
        <v>610</v>
      </c>
      <c r="H1008" s="36" t="s">
        <v>613</v>
      </c>
      <c r="I1008" s="36" t="s">
        <v>614</v>
      </c>
      <c r="J1008" s="36" t="s">
        <v>615</v>
      </c>
      <c r="K1008">
        <v>1</v>
      </c>
      <c r="L1008">
        <v>1200</v>
      </c>
      <c r="M1008">
        <v>1200</v>
      </c>
      <c r="N1008">
        <v>948</v>
      </c>
      <c r="O1008">
        <v>252</v>
      </c>
      <c r="P1008" s="11">
        <v>0.21</v>
      </c>
    </row>
    <row r="1009" spans="1:16" x14ac:dyDescent="0.25">
      <c r="A1009" s="36" t="s">
        <v>228</v>
      </c>
      <c r="B1009" s="2">
        <v>45981</v>
      </c>
      <c r="C1009" s="36" t="s">
        <v>48</v>
      </c>
      <c r="D1009">
        <v>2025</v>
      </c>
      <c r="E1009" s="36" t="s">
        <v>598</v>
      </c>
      <c r="F1009" s="36" t="s">
        <v>40</v>
      </c>
      <c r="G1009" s="36" t="s">
        <v>610</v>
      </c>
      <c r="H1009" s="36" t="s">
        <v>620</v>
      </c>
      <c r="I1009" s="36" t="s">
        <v>614</v>
      </c>
      <c r="J1009" s="36" t="s">
        <v>615</v>
      </c>
      <c r="K1009">
        <v>11</v>
      </c>
      <c r="L1009">
        <v>55000</v>
      </c>
      <c r="M1009">
        <v>605000</v>
      </c>
      <c r="N1009">
        <v>544500</v>
      </c>
      <c r="O1009">
        <v>60500</v>
      </c>
      <c r="P1009" s="11">
        <v>0.1</v>
      </c>
    </row>
    <row r="1010" spans="1:16" x14ac:dyDescent="0.25">
      <c r="A1010" s="36" t="s">
        <v>111</v>
      </c>
      <c r="B1010" s="2">
        <v>45982</v>
      </c>
      <c r="C1010" s="36" t="s">
        <v>48</v>
      </c>
      <c r="D1010">
        <v>2025</v>
      </c>
      <c r="E1010" s="36" t="s">
        <v>593</v>
      </c>
      <c r="F1010" s="36" t="s">
        <v>41</v>
      </c>
      <c r="G1010" s="36" t="s">
        <v>608</v>
      </c>
      <c r="H1010" s="36" t="s">
        <v>616</v>
      </c>
      <c r="I1010" s="36" t="s">
        <v>627</v>
      </c>
      <c r="J1010" s="36" t="s">
        <v>618</v>
      </c>
      <c r="K1010">
        <v>3</v>
      </c>
      <c r="L1010">
        <v>150</v>
      </c>
      <c r="M1010">
        <v>450</v>
      </c>
      <c r="N1010">
        <v>378</v>
      </c>
      <c r="O1010">
        <v>72</v>
      </c>
      <c r="P1010" s="11">
        <v>0.16</v>
      </c>
    </row>
    <row r="1011" spans="1:16" x14ac:dyDescent="0.25">
      <c r="A1011" s="36" t="s">
        <v>117</v>
      </c>
      <c r="B1011" s="2">
        <v>45982</v>
      </c>
      <c r="C1011" s="36" t="s">
        <v>48</v>
      </c>
      <c r="D1011">
        <v>2025</v>
      </c>
      <c r="E1011" s="36" t="s">
        <v>597</v>
      </c>
      <c r="F1011" s="36" t="s">
        <v>41</v>
      </c>
      <c r="G1011" s="36" t="s">
        <v>611</v>
      </c>
      <c r="H1011" s="36" t="s">
        <v>613</v>
      </c>
      <c r="I1011" s="36" t="s">
        <v>627</v>
      </c>
      <c r="J1011" s="36" t="s">
        <v>615</v>
      </c>
      <c r="K1011">
        <v>14</v>
      </c>
      <c r="L1011">
        <v>300</v>
      </c>
      <c r="M1011">
        <v>4200</v>
      </c>
      <c r="N1011">
        <v>3234</v>
      </c>
      <c r="O1011">
        <v>966</v>
      </c>
      <c r="P1011" s="11">
        <v>0.23</v>
      </c>
    </row>
    <row r="1012" spans="1:16" x14ac:dyDescent="0.25">
      <c r="A1012" s="36" t="s">
        <v>203</v>
      </c>
      <c r="B1012" s="2">
        <v>45982</v>
      </c>
      <c r="C1012" s="36" t="s">
        <v>48</v>
      </c>
      <c r="D1012">
        <v>2025</v>
      </c>
      <c r="E1012" s="36" t="s">
        <v>593</v>
      </c>
      <c r="F1012" s="36" t="s">
        <v>41</v>
      </c>
      <c r="G1012" s="36" t="s">
        <v>610</v>
      </c>
      <c r="H1012" s="36" t="s">
        <v>613</v>
      </c>
      <c r="I1012" s="36" t="s">
        <v>617</v>
      </c>
      <c r="J1012" s="36" t="s">
        <v>618</v>
      </c>
      <c r="K1012">
        <v>14</v>
      </c>
      <c r="L1012">
        <v>12000</v>
      </c>
      <c r="M1012">
        <v>168000</v>
      </c>
      <c r="N1012">
        <v>115920</v>
      </c>
      <c r="O1012">
        <v>52080</v>
      </c>
      <c r="P1012" s="11">
        <v>0.31</v>
      </c>
    </row>
    <row r="1013" spans="1:16" x14ac:dyDescent="0.25">
      <c r="A1013" s="36" t="s">
        <v>347</v>
      </c>
      <c r="B1013" s="2">
        <v>45982</v>
      </c>
      <c r="C1013" s="36" t="s">
        <v>48</v>
      </c>
      <c r="D1013">
        <v>2025</v>
      </c>
      <c r="E1013" s="36" t="s">
        <v>595</v>
      </c>
      <c r="F1013" s="36" t="s">
        <v>39</v>
      </c>
      <c r="G1013" s="36" t="s">
        <v>608</v>
      </c>
      <c r="H1013" s="36" t="s">
        <v>622</v>
      </c>
      <c r="I1013" s="36" t="s">
        <v>617</v>
      </c>
      <c r="J1013" s="36" t="s">
        <v>618</v>
      </c>
      <c r="K1013">
        <v>18</v>
      </c>
      <c r="L1013">
        <v>300</v>
      </c>
      <c r="M1013">
        <v>5400</v>
      </c>
      <c r="N1013">
        <v>3888</v>
      </c>
      <c r="O1013">
        <v>1512</v>
      </c>
      <c r="P1013" s="11">
        <v>0.28000000000000003</v>
      </c>
    </row>
    <row r="1014" spans="1:16" x14ac:dyDescent="0.25">
      <c r="A1014" s="36" t="s">
        <v>507</v>
      </c>
      <c r="B1014" s="2">
        <v>45982</v>
      </c>
      <c r="C1014" s="36" t="s">
        <v>48</v>
      </c>
      <c r="D1014">
        <v>2025</v>
      </c>
      <c r="E1014" s="36" t="s">
        <v>606</v>
      </c>
      <c r="F1014" s="36" t="s">
        <v>40</v>
      </c>
      <c r="G1014" s="36" t="s">
        <v>611</v>
      </c>
      <c r="H1014" s="36" t="s">
        <v>628</v>
      </c>
      <c r="I1014" s="36" t="s">
        <v>617</v>
      </c>
      <c r="J1014" s="36" t="s">
        <v>615</v>
      </c>
      <c r="K1014">
        <v>10</v>
      </c>
      <c r="L1014">
        <v>3500</v>
      </c>
      <c r="M1014">
        <v>35000</v>
      </c>
      <c r="N1014">
        <v>21000</v>
      </c>
      <c r="O1014">
        <v>14000</v>
      </c>
      <c r="P1014" s="11">
        <v>0.4</v>
      </c>
    </row>
    <row r="1015" spans="1:16" x14ac:dyDescent="0.25">
      <c r="A1015" s="36" t="s">
        <v>537</v>
      </c>
      <c r="B1015" s="2">
        <v>45982</v>
      </c>
      <c r="C1015" s="36" t="s">
        <v>48</v>
      </c>
      <c r="D1015">
        <v>2025</v>
      </c>
      <c r="E1015" s="36" t="s">
        <v>603</v>
      </c>
      <c r="F1015" s="36" t="s">
        <v>42</v>
      </c>
      <c r="G1015" s="36" t="s">
        <v>611</v>
      </c>
      <c r="H1015" s="36" t="s">
        <v>625</v>
      </c>
      <c r="I1015" s="36" t="s">
        <v>617</v>
      </c>
      <c r="J1015" s="36" t="s">
        <v>615</v>
      </c>
      <c r="K1015">
        <v>11</v>
      </c>
      <c r="L1015">
        <v>1200</v>
      </c>
      <c r="M1015">
        <v>13200</v>
      </c>
      <c r="N1015">
        <v>9636</v>
      </c>
      <c r="O1015">
        <v>3564</v>
      </c>
      <c r="P1015" s="11">
        <v>0.27</v>
      </c>
    </row>
    <row r="1016" spans="1:16" x14ac:dyDescent="0.25">
      <c r="A1016" s="36" t="s">
        <v>333</v>
      </c>
      <c r="B1016" s="2">
        <v>45984</v>
      </c>
      <c r="C1016" s="36" t="s">
        <v>48</v>
      </c>
      <c r="D1016">
        <v>2025</v>
      </c>
      <c r="E1016" s="36" t="s">
        <v>601</v>
      </c>
      <c r="F1016" s="36" t="s">
        <v>41</v>
      </c>
      <c r="G1016" s="36" t="s">
        <v>612</v>
      </c>
      <c r="H1016" s="36" t="s">
        <v>629</v>
      </c>
      <c r="I1016" s="36" t="s">
        <v>619</v>
      </c>
      <c r="J1016" s="36" t="s">
        <v>618</v>
      </c>
      <c r="K1016">
        <v>17</v>
      </c>
      <c r="L1016">
        <v>12000</v>
      </c>
      <c r="M1016">
        <v>204000</v>
      </c>
      <c r="N1016">
        <v>159120</v>
      </c>
      <c r="O1016">
        <v>44880</v>
      </c>
      <c r="P1016" s="11">
        <v>0.22</v>
      </c>
    </row>
    <row r="1017" spans="1:16" x14ac:dyDescent="0.25">
      <c r="A1017" s="36" t="s">
        <v>491</v>
      </c>
      <c r="B1017" s="2">
        <v>45984</v>
      </c>
      <c r="C1017" s="36" t="s">
        <v>48</v>
      </c>
      <c r="D1017">
        <v>2025</v>
      </c>
      <c r="E1017" s="36" t="s">
        <v>593</v>
      </c>
      <c r="F1017" s="36" t="s">
        <v>41</v>
      </c>
      <c r="G1017" s="36" t="s">
        <v>610</v>
      </c>
      <c r="H1017" s="36" t="s">
        <v>626</v>
      </c>
      <c r="I1017" s="36" t="s">
        <v>627</v>
      </c>
      <c r="J1017" s="36" t="s">
        <v>615</v>
      </c>
      <c r="K1017">
        <v>4</v>
      </c>
      <c r="L1017">
        <v>45000</v>
      </c>
      <c r="M1017">
        <v>180000</v>
      </c>
      <c r="N1017">
        <v>156600</v>
      </c>
      <c r="O1017">
        <v>23400</v>
      </c>
      <c r="P1017" s="11">
        <v>0.13</v>
      </c>
    </row>
    <row r="1018" spans="1:16" x14ac:dyDescent="0.25">
      <c r="A1018" s="36" t="s">
        <v>383</v>
      </c>
      <c r="B1018" s="2">
        <v>45985</v>
      </c>
      <c r="C1018" s="36" t="s">
        <v>48</v>
      </c>
      <c r="D1018">
        <v>2025</v>
      </c>
      <c r="E1018" s="36" t="s">
        <v>596</v>
      </c>
      <c r="F1018" s="36" t="s">
        <v>39</v>
      </c>
      <c r="G1018" s="36" t="s">
        <v>609</v>
      </c>
      <c r="H1018" s="36" t="s">
        <v>620</v>
      </c>
      <c r="I1018" s="36" t="s">
        <v>627</v>
      </c>
      <c r="J1018" s="36" t="s">
        <v>618</v>
      </c>
      <c r="K1018">
        <v>11</v>
      </c>
      <c r="L1018">
        <v>1200</v>
      </c>
      <c r="M1018">
        <v>13200</v>
      </c>
      <c r="N1018">
        <v>7920</v>
      </c>
      <c r="O1018">
        <v>5280</v>
      </c>
      <c r="P1018" s="11">
        <v>0.4</v>
      </c>
    </row>
    <row r="1019" spans="1:16" x14ac:dyDescent="0.25">
      <c r="A1019" s="36" t="s">
        <v>260</v>
      </c>
      <c r="B1019" s="2">
        <v>45987</v>
      </c>
      <c r="C1019" s="36" t="s">
        <v>48</v>
      </c>
      <c r="D1019">
        <v>2025</v>
      </c>
      <c r="E1019" s="36" t="s">
        <v>596</v>
      </c>
      <c r="F1019" s="36" t="s">
        <v>39</v>
      </c>
      <c r="G1019" s="36" t="s">
        <v>609</v>
      </c>
      <c r="H1019" s="36" t="s">
        <v>628</v>
      </c>
      <c r="I1019" s="36" t="s">
        <v>619</v>
      </c>
      <c r="J1019" s="36" t="s">
        <v>618</v>
      </c>
      <c r="K1019">
        <v>4</v>
      </c>
      <c r="L1019">
        <v>25000</v>
      </c>
      <c r="M1019">
        <v>100000</v>
      </c>
      <c r="N1019">
        <v>73000</v>
      </c>
      <c r="O1019">
        <v>27000</v>
      </c>
      <c r="P1019" s="11">
        <v>0.27</v>
      </c>
    </row>
    <row r="1020" spans="1:16" x14ac:dyDescent="0.25">
      <c r="A1020" s="36" t="s">
        <v>284</v>
      </c>
      <c r="B1020" s="2">
        <v>45987</v>
      </c>
      <c r="C1020" s="36" t="s">
        <v>48</v>
      </c>
      <c r="D1020">
        <v>2025</v>
      </c>
      <c r="E1020" s="36" t="s">
        <v>601</v>
      </c>
      <c r="F1020" s="36" t="s">
        <v>41</v>
      </c>
      <c r="G1020" s="36" t="s">
        <v>608</v>
      </c>
      <c r="H1020" s="36" t="s">
        <v>626</v>
      </c>
      <c r="I1020" s="36" t="s">
        <v>619</v>
      </c>
      <c r="J1020" s="36" t="s">
        <v>618</v>
      </c>
      <c r="K1020">
        <v>8</v>
      </c>
      <c r="L1020">
        <v>25000</v>
      </c>
      <c r="M1020">
        <v>200000</v>
      </c>
      <c r="N1020">
        <v>172000</v>
      </c>
      <c r="O1020">
        <v>28000</v>
      </c>
      <c r="P1020" s="11">
        <v>0.14000000000000001</v>
      </c>
    </row>
    <row r="1021" spans="1:16" x14ac:dyDescent="0.25">
      <c r="A1021" s="36" t="s">
        <v>522</v>
      </c>
      <c r="B1021" s="2">
        <v>45987</v>
      </c>
      <c r="C1021" s="36" t="s">
        <v>48</v>
      </c>
      <c r="D1021">
        <v>2025</v>
      </c>
      <c r="E1021" s="36" t="s">
        <v>606</v>
      </c>
      <c r="F1021" s="36" t="s">
        <v>40</v>
      </c>
      <c r="G1021" s="36" t="s">
        <v>612</v>
      </c>
      <c r="H1021" s="36" t="s">
        <v>621</v>
      </c>
      <c r="I1021" s="36" t="s">
        <v>619</v>
      </c>
      <c r="J1021" s="36" t="s">
        <v>618</v>
      </c>
      <c r="K1021">
        <v>15</v>
      </c>
      <c r="L1021">
        <v>20</v>
      </c>
      <c r="M1021">
        <v>300</v>
      </c>
      <c r="N1021">
        <v>228</v>
      </c>
      <c r="O1021">
        <v>72</v>
      </c>
      <c r="P1021" s="11">
        <v>0.24</v>
      </c>
    </row>
    <row r="1022" spans="1:16" x14ac:dyDescent="0.25">
      <c r="A1022" s="36" t="s">
        <v>553</v>
      </c>
      <c r="B1022" s="2">
        <v>45987</v>
      </c>
      <c r="C1022" s="36" t="s">
        <v>48</v>
      </c>
      <c r="D1022">
        <v>2025</v>
      </c>
      <c r="E1022" s="36" t="s">
        <v>602</v>
      </c>
      <c r="F1022" s="36" t="s">
        <v>42</v>
      </c>
      <c r="G1022" s="36" t="s">
        <v>608</v>
      </c>
      <c r="H1022" s="36" t="s">
        <v>625</v>
      </c>
      <c r="I1022" s="36" t="s">
        <v>645</v>
      </c>
      <c r="J1022" s="36" t="s">
        <v>618</v>
      </c>
      <c r="K1022">
        <v>5</v>
      </c>
      <c r="L1022">
        <v>9000</v>
      </c>
      <c r="M1022">
        <v>45000</v>
      </c>
      <c r="N1022">
        <v>30150</v>
      </c>
      <c r="O1022">
        <v>14850</v>
      </c>
      <c r="P1022" s="11">
        <v>0.33</v>
      </c>
    </row>
    <row r="1023" spans="1:16" x14ac:dyDescent="0.25">
      <c r="A1023" s="36" t="s">
        <v>400</v>
      </c>
      <c r="B1023" s="2">
        <v>45989</v>
      </c>
      <c r="C1023" s="36" t="s">
        <v>48</v>
      </c>
      <c r="D1023">
        <v>2025</v>
      </c>
      <c r="E1023" s="36" t="s">
        <v>607</v>
      </c>
      <c r="F1023" s="36" t="s">
        <v>42</v>
      </c>
      <c r="G1023" s="36" t="s">
        <v>609</v>
      </c>
      <c r="H1023" s="36" t="s">
        <v>626</v>
      </c>
      <c r="I1023" s="36" t="s">
        <v>630</v>
      </c>
      <c r="J1023" s="36" t="s">
        <v>615</v>
      </c>
      <c r="K1023">
        <v>4</v>
      </c>
      <c r="L1023">
        <v>4000</v>
      </c>
      <c r="M1023">
        <v>16000</v>
      </c>
      <c r="N1023">
        <v>10240</v>
      </c>
      <c r="O1023">
        <v>5760</v>
      </c>
      <c r="P1023" s="11">
        <v>0.36</v>
      </c>
    </row>
    <row r="1024" spans="1:16" x14ac:dyDescent="0.25">
      <c r="A1024" s="36" t="s">
        <v>504</v>
      </c>
      <c r="B1024" s="2">
        <v>45989</v>
      </c>
      <c r="C1024" s="36" t="s">
        <v>48</v>
      </c>
      <c r="D1024">
        <v>2025</v>
      </c>
      <c r="E1024" s="36" t="s">
        <v>593</v>
      </c>
      <c r="F1024" s="36" t="s">
        <v>41</v>
      </c>
      <c r="G1024" s="36" t="s">
        <v>611</v>
      </c>
      <c r="H1024" s="36" t="s">
        <v>629</v>
      </c>
      <c r="I1024" s="36" t="s">
        <v>619</v>
      </c>
      <c r="J1024" s="36" t="s">
        <v>615</v>
      </c>
      <c r="K1024">
        <v>13</v>
      </c>
      <c r="L1024">
        <v>1200</v>
      </c>
      <c r="M1024">
        <v>15600</v>
      </c>
      <c r="N1024">
        <v>12324</v>
      </c>
      <c r="O1024">
        <v>3276</v>
      </c>
      <c r="P1024" s="11">
        <v>0.21</v>
      </c>
    </row>
    <row r="1025" spans="1:16" x14ac:dyDescent="0.25">
      <c r="A1025" s="36" t="s">
        <v>501</v>
      </c>
      <c r="B1025" s="2">
        <v>45992</v>
      </c>
      <c r="C1025" s="36" t="s">
        <v>80</v>
      </c>
      <c r="D1025">
        <v>2025</v>
      </c>
      <c r="E1025" s="36" t="s">
        <v>593</v>
      </c>
      <c r="F1025" s="36" t="s">
        <v>41</v>
      </c>
      <c r="G1025" s="36" t="s">
        <v>609</v>
      </c>
      <c r="H1025" s="36" t="s">
        <v>621</v>
      </c>
      <c r="I1025" s="36" t="s">
        <v>614</v>
      </c>
      <c r="J1025" s="36" t="s">
        <v>615</v>
      </c>
      <c r="K1025">
        <v>17</v>
      </c>
      <c r="L1025">
        <v>20</v>
      </c>
      <c r="M1025">
        <v>340</v>
      </c>
      <c r="N1025">
        <v>241.4</v>
      </c>
      <c r="O1025">
        <v>98.6</v>
      </c>
      <c r="P1025" s="11">
        <v>0.28999999999999998</v>
      </c>
    </row>
    <row r="1026" spans="1:16" x14ac:dyDescent="0.25">
      <c r="A1026" s="36" t="s">
        <v>152</v>
      </c>
      <c r="B1026" s="2">
        <v>45994</v>
      </c>
      <c r="C1026" s="36" t="s">
        <v>80</v>
      </c>
      <c r="D1026">
        <v>2025</v>
      </c>
      <c r="E1026" s="36" t="s">
        <v>595</v>
      </c>
      <c r="F1026" s="36" t="s">
        <v>39</v>
      </c>
      <c r="G1026" s="36" t="s">
        <v>610</v>
      </c>
      <c r="H1026" s="36" t="s">
        <v>616</v>
      </c>
      <c r="I1026" s="36" t="s">
        <v>631</v>
      </c>
      <c r="J1026" s="36" t="s">
        <v>615</v>
      </c>
      <c r="K1026">
        <v>16</v>
      </c>
      <c r="L1026">
        <v>15000</v>
      </c>
      <c r="M1026">
        <v>240000</v>
      </c>
      <c r="N1026">
        <v>192000</v>
      </c>
      <c r="O1026">
        <v>48000</v>
      </c>
      <c r="P1026" s="11">
        <v>0.2</v>
      </c>
    </row>
    <row r="1027" spans="1:16" x14ac:dyDescent="0.25">
      <c r="A1027" s="36" t="s">
        <v>287</v>
      </c>
      <c r="B1027" s="2">
        <v>45994</v>
      </c>
      <c r="C1027" s="36" t="s">
        <v>80</v>
      </c>
      <c r="D1027">
        <v>2025</v>
      </c>
      <c r="E1027" s="36" t="s">
        <v>604</v>
      </c>
      <c r="F1027" s="36" t="s">
        <v>41</v>
      </c>
      <c r="G1027" s="36" t="s">
        <v>609</v>
      </c>
      <c r="H1027" s="36" t="s">
        <v>613</v>
      </c>
      <c r="I1027" s="36" t="s">
        <v>617</v>
      </c>
      <c r="J1027" s="36" t="s">
        <v>618</v>
      </c>
      <c r="K1027">
        <v>15</v>
      </c>
      <c r="L1027">
        <v>9000</v>
      </c>
      <c r="M1027">
        <v>135000</v>
      </c>
      <c r="N1027">
        <v>106650</v>
      </c>
      <c r="O1027">
        <v>28350</v>
      </c>
      <c r="P1027" s="11">
        <v>0.21</v>
      </c>
    </row>
    <row r="1028" spans="1:16" x14ac:dyDescent="0.25">
      <c r="A1028" s="36" t="s">
        <v>395</v>
      </c>
      <c r="B1028" s="2">
        <v>45994</v>
      </c>
      <c r="C1028" s="36" t="s">
        <v>80</v>
      </c>
      <c r="D1028">
        <v>2025</v>
      </c>
      <c r="E1028" s="36" t="s">
        <v>592</v>
      </c>
      <c r="F1028" s="36" t="s">
        <v>40</v>
      </c>
      <c r="G1028" s="36" t="s">
        <v>610</v>
      </c>
      <c r="H1028" s="36" t="s">
        <v>626</v>
      </c>
      <c r="I1028" s="36" t="s">
        <v>619</v>
      </c>
      <c r="J1028" s="36" t="s">
        <v>615</v>
      </c>
      <c r="K1028">
        <v>17</v>
      </c>
      <c r="L1028">
        <v>50</v>
      </c>
      <c r="M1028">
        <v>850</v>
      </c>
      <c r="N1028">
        <v>629</v>
      </c>
      <c r="O1028">
        <v>221</v>
      </c>
      <c r="P1028" s="11">
        <v>0.26</v>
      </c>
    </row>
    <row r="1029" spans="1:16" x14ac:dyDescent="0.25">
      <c r="A1029" s="36" t="s">
        <v>222</v>
      </c>
      <c r="B1029" s="2">
        <v>45995</v>
      </c>
      <c r="C1029" s="36" t="s">
        <v>80</v>
      </c>
      <c r="D1029">
        <v>2025</v>
      </c>
      <c r="E1029" s="36" t="s">
        <v>593</v>
      </c>
      <c r="F1029" s="36" t="s">
        <v>41</v>
      </c>
      <c r="G1029" s="36" t="s">
        <v>609</v>
      </c>
      <c r="H1029" s="36" t="s">
        <v>625</v>
      </c>
      <c r="I1029" s="36" t="s">
        <v>630</v>
      </c>
      <c r="J1029" s="36" t="s">
        <v>615</v>
      </c>
      <c r="K1029">
        <v>3</v>
      </c>
      <c r="L1029">
        <v>4000</v>
      </c>
      <c r="M1029">
        <v>12000</v>
      </c>
      <c r="N1029">
        <v>8760</v>
      </c>
      <c r="O1029">
        <v>3240</v>
      </c>
      <c r="P1029" s="11">
        <v>0.27</v>
      </c>
    </row>
    <row r="1030" spans="1:16" x14ac:dyDescent="0.25">
      <c r="A1030" s="36" t="s">
        <v>238</v>
      </c>
      <c r="B1030" s="2">
        <v>45995</v>
      </c>
      <c r="C1030" s="36" t="s">
        <v>80</v>
      </c>
      <c r="D1030">
        <v>2025</v>
      </c>
      <c r="E1030" s="36" t="s">
        <v>600</v>
      </c>
      <c r="F1030" s="36" t="s">
        <v>39</v>
      </c>
      <c r="G1030" s="36" t="s">
        <v>608</v>
      </c>
      <c r="H1030" s="36" t="s">
        <v>620</v>
      </c>
      <c r="I1030" s="36" t="s">
        <v>623</v>
      </c>
      <c r="J1030" s="36" t="s">
        <v>615</v>
      </c>
      <c r="K1030">
        <v>9</v>
      </c>
      <c r="L1030">
        <v>1200</v>
      </c>
      <c r="M1030">
        <v>10800</v>
      </c>
      <c r="N1030">
        <v>8208</v>
      </c>
      <c r="O1030">
        <v>2592</v>
      </c>
      <c r="P1030" s="11">
        <v>0.24</v>
      </c>
    </row>
    <row r="1031" spans="1:16" x14ac:dyDescent="0.25">
      <c r="A1031" s="36" t="s">
        <v>254</v>
      </c>
      <c r="B1031" s="2">
        <v>45995</v>
      </c>
      <c r="C1031" s="36" t="s">
        <v>80</v>
      </c>
      <c r="D1031">
        <v>2025</v>
      </c>
      <c r="E1031" s="36" t="s">
        <v>603</v>
      </c>
      <c r="F1031" s="36" t="s">
        <v>42</v>
      </c>
      <c r="G1031" s="36" t="s">
        <v>611</v>
      </c>
      <c r="H1031" s="36" t="s">
        <v>626</v>
      </c>
      <c r="I1031" s="36" t="s">
        <v>631</v>
      </c>
      <c r="J1031" s="36" t="s">
        <v>615</v>
      </c>
      <c r="K1031">
        <v>2</v>
      </c>
      <c r="L1031">
        <v>9000</v>
      </c>
      <c r="M1031">
        <v>18000</v>
      </c>
      <c r="N1031">
        <v>10980</v>
      </c>
      <c r="O1031">
        <v>7020</v>
      </c>
      <c r="P1031" s="11">
        <v>0.39</v>
      </c>
    </row>
    <row r="1032" spans="1:16" x14ac:dyDescent="0.25">
      <c r="A1032" s="36" t="s">
        <v>292</v>
      </c>
      <c r="B1032" s="2">
        <v>45995</v>
      </c>
      <c r="C1032" s="36" t="s">
        <v>80</v>
      </c>
      <c r="D1032">
        <v>2025</v>
      </c>
      <c r="E1032" s="36" t="s">
        <v>594</v>
      </c>
      <c r="F1032" s="36" t="s">
        <v>39</v>
      </c>
      <c r="G1032" s="36" t="s">
        <v>612</v>
      </c>
      <c r="H1032" s="36" t="s">
        <v>613</v>
      </c>
      <c r="I1032" s="36" t="s">
        <v>619</v>
      </c>
      <c r="J1032" s="36" t="s">
        <v>615</v>
      </c>
      <c r="K1032">
        <v>11</v>
      </c>
      <c r="L1032">
        <v>12000</v>
      </c>
      <c r="M1032">
        <v>132000</v>
      </c>
      <c r="N1032">
        <v>110880</v>
      </c>
      <c r="O1032">
        <v>21120</v>
      </c>
      <c r="P1032" s="11">
        <v>0.16</v>
      </c>
    </row>
    <row r="1033" spans="1:16" x14ac:dyDescent="0.25">
      <c r="A1033" s="36" t="s">
        <v>455</v>
      </c>
      <c r="B1033" s="2">
        <v>45995</v>
      </c>
      <c r="C1033" s="36" t="s">
        <v>80</v>
      </c>
      <c r="D1033">
        <v>2025</v>
      </c>
      <c r="E1033" s="36" t="s">
        <v>598</v>
      </c>
      <c r="F1033" s="36" t="s">
        <v>40</v>
      </c>
      <c r="G1033" s="36" t="s">
        <v>612</v>
      </c>
      <c r="H1033" s="36" t="s">
        <v>613</v>
      </c>
      <c r="I1033" s="36" t="s">
        <v>614</v>
      </c>
      <c r="J1033" s="36" t="s">
        <v>618</v>
      </c>
      <c r="K1033">
        <v>5</v>
      </c>
      <c r="L1033">
        <v>4000</v>
      </c>
      <c r="M1033">
        <v>20000</v>
      </c>
      <c r="N1033">
        <v>13200</v>
      </c>
      <c r="O1033">
        <v>6800</v>
      </c>
      <c r="P1033" s="11">
        <v>0.34</v>
      </c>
    </row>
    <row r="1034" spans="1:16" x14ac:dyDescent="0.25">
      <c r="A1034" s="36" t="s">
        <v>540</v>
      </c>
      <c r="B1034" s="2">
        <v>45995</v>
      </c>
      <c r="C1034" s="36" t="s">
        <v>80</v>
      </c>
      <c r="D1034">
        <v>2025</v>
      </c>
      <c r="E1034" s="36" t="s">
        <v>602</v>
      </c>
      <c r="F1034" s="36" t="s">
        <v>42</v>
      </c>
      <c r="G1034" s="36" t="s">
        <v>611</v>
      </c>
      <c r="H1034" s="36" t="s">
        <v>624</v>
      </c>
      <c r="I1034" s="36" t="s">
        <v>631</v>
      </c>
      <c r="J1034" s="36" t="s">
        <v>618</v>
      </c>
      <c r="K1034">
        <v>13</v>
      </c>
      <c r="L1034">
        <v>55000</v>
      </c>
      <c r="M1034">
        <v>715000</v>
      </c>
      <c r="N1034">
        <v>457600</v>
      </c>
      <c r="O1034">
        <v>257400</v>
      </c>
      <c r="P1034" s="11">
        <v>0.36</v>
      </c>
    </row>
    <row r="1035" spans="1:16" x14ac:dyDescent="0.25">
      <c r="A1035" s="36" t="s">
        <v>185</v>
      </c>
      <c r="B1035" s="2">
        <v>45996</v>
      </c>
      <c r="C1035" s="36" t="s">
        <v>80</v>
      </c>
      <c r="D1035">
        <v>2025</v>
      </c>
      <c r="E1035" s="36" t="s">
        <v>601</v>
      </c>
      <c r="F1035" s="36" t="s">
        <v>41</v>
      </c>
      <c r="G1035" s="36" t="s">
        <v>612</v>
      </c>
      <c r="H1035" s="36" t="s">
        <v>616</v>
      </c>
      <c r="I1035" s="36" t="s">
        <v>623</v>
      </c>
      <c r="J1035" s="36" t="s">
        <v>618</v>
      </c>
      <c r="K1035">
        <v>5</v>
      </c>
      <c r="L1035">
        <v>300</v>
      </c>
      <c r="M1035">
        <v>1500</v>
      </c>
      <c r="N1035">
        <v>1065</v>
      </c>
      <c r="O1035">
        <v>435</v>
      </c>
      <c r="P1035" s="11">
        <v>0.28999999999999998</v>
      </c>
    </row>
    <row r="1036" spans="1:16" x14ac:dyDescent="0.25">
      <c r="A1036" s="36" t="s">
        <v>325</v>
      </c>
      <c r="B1036" s="2">
        <v>45996</v>
      </c>
      <c r="C1036" s="36" t="s">
        <v>80</v>
      </c>
      <c r="D1036">
        <v>2025</v>
      </c>
      <c r="E1036" s="36" t="s">
        <v>597</v>
      </c>
      <c r="F1036" s="36" t="s">
        <v>41</v>
      </c>
      <c r="G1036" s="36" t="s">
        <v>611</v>
      </c>
      <c r="H1036" s="36" t="s">
        <v>621</v>
      </c>
      <c r="I1036" s="36" t="s">
        <v>630</v>
      </c>
      <c r="J1036" s="36" t="s">
        <v>615</v>
      </c>
      <c r="K1036">
        <v>20</v>
      </c>
      <c r="L1036">
        <v>3500</v>
      </c>
      <c r="M1036">
        <v>70000</v>
      </c>
      <c r="N1036">
        <v>51100</v>
      </c>
      <c r="O1036">
        <v>18900</v>
      </c>
      <c r="P1036" s="11">
        <v>0.27</v>
      </c>
    </row>
    <row r="1037" spans="1:16" x14ac:dyDescent="0.25">
      <c r="A1037" s="36" t="s">
        <v>565</v>
      </c>
      <c r="B1037" s="2">
        <v>45996</v>
      </c>
      <c r="C1037" s="36" t="s">
        <v>80</v>
      </c>
      <c r="D1037">
        <v>2025</v>
      </c>
      <c r="E1037" s="36" t="s">
        <v>594</v>
      </c>
      <c r="F1037" s="36" t="s">
        <v>39</v>
      </c>
      <c r="G1037" s="36" t="s">
        <v>610</v>
      </c>
      <c r="H1037" s="36" t="s">
        <v>622</v>
      </c>
      <c r="I1037" s="36" t="s">
        <v>630</v>
      </c>
      <c r="J1037" s="36" t="s">
        <v>615</v>
      </c>
      <c r="K1037">
        <v>3</v>
      </c>
      <c r="L1037">
        <v>9000</v>
      </c>
      <c r="M1037">
        <v>27000</v>
      </c>
      <c r="N1037">
        <v>21870</v>
      </c>
      <c r="O1037">
        <v>5130</v>
      </c>
      <c r="P1037" s="11">
        <v>0.19</v>
      </c>
    </row>
    <row r="1038" spans="1:16" x14ac:dyDescent="0.25">
      <c r="A1038" s="36" t="s">
        <v>492</v>
      </c>
      <c r="B1038" s="2">
        <v>45997</v>
      </c>
      <c r="C1038" s="36" t="s">
        <v>80</v>
      </c>
      <c r="D1038">
        <v>2025</v>
      </c>
      <c r="E1038" s="36" t="s">
        <v>598</v>
      </c>
      <c r="F1038" s="36" t="s">
        <v>40</v>
      </c>
      <c r="G1038" s="36" t="s">
        <v>610</v>
      </c>
      <c r="H1038" s="36" t="s">
        <v>628</v>
      </c>
      <c r="I1038" s="36" t="s">
        <v>617</v>
      </c>
      <c r="J1038" s="36" t="s">
        <v>618</v>
      </c>
      <c r="K1038">
        <v>14</v>
      </c>
      <c r="L1038">
        <v>9000</v>
      </c>
      <c r="M1038">
        <v>126000</v>
      </c>
      <c r="N1038">
        <v>88200</v>
      </c>
      <c r="O1038">
        <v>37800</v>
      </c>
      <c r="P1038" s="11">
        <v>0.3</v>
      </c>
    </row>
    <row r="1039" spans="1:16" x14ac:dyDescent="0.25">
      <c r="A1039" s="36" t="s">
        <v>115</v>
      </c>
      <c r="B1039" s="2">
        <v>45998</v>
      </c>
      <c r="C1039" s="36" t="s">
        <v>80</v>
      </c>
      <c r="D1039">
        <v>2025</v>
      </c>
      <c r="E1039" s="36" t="s">
        <v>602</v>
      </c>
      <c r="F1039" s="36" t="s">
        <v>42</v>
      </c>
      <c r="G1039" s="36" t="s">
        <v>608</v>
      </c>
      <c r="H1039" s="36" t="s">
        <v>625</v>
      </c>
      <c r="I1039" s="36" t="s">
        <v>623</v>
      </c>
      <c r="J1039" s="36" t="s">
        <v>615</v>
      </c>
      <c r="K1039">
        <v>20</v>
      </c>
      <c r="L1039">
        <v>7000</v>
      </c>
      <c r="M1039">
        <v>140000</v>
      </c>
      <c r="N1039">
        <v>119000</v>
      </c>
      <c r="O1039">
        <v>21000</v>
      </c>
      <c r="P1039" s="11">
        <v>0.15</v>
      </c>
    </row>
    <row r="1040" spans="1:16" x14ac:dyDescent="0.25">
      <c r="A1040" s="36" t="s">
        <v>453</v>
      </c>
      <c r="B1040" s="2">
        <v>45999</v>
      </c>
      <c r="C1040" s="36" t="s">
        <v>80</v>
      </c>
      <c r="D1040">
        <v>2025</v>
      </c>
      <c r="E1040" s="36" t="s">
        <v>597</v>
      </c>
      <c r="F1040" s="36" t="s">
        <v>41</v>
      </c>
      <c r="G1040" s="36" t="s">
        <v>608</v>
      </c>
      <c r="H1040" s="36" t="s">
        <v>620</v>
      </c>
      <c r="I1040" s="36" t="s">
        <v>623</v>
      </c>
      <c r="J1040" s="36" t="s">
        <v>618</v>
      </c>
      <c r="K1040">
        <v>3</v>
      </c>
      <c r="L1040">
        <v>700</v>
      </c>
      <c r="M1040">
        <v>2100</v>
      </c>
      <c r="N1040">
        <v>1344</v>
      </c>
      <c r="O1040">
        <v>756</v>
      </c>
      <c r="P1040" s="11">
        <v>0.36</v>
      </c>
    </row>
    <row r="1041" spans="1:16" x14ac:dyDescent="0.25">
      <c r="A1041" s="36" t="s">
        <v>542</v>
      </c>
      <c r="B1041" s="2">
        <v>45999</v>
      </c>
      <c r="C1041" s="36" t="s">
        <v>80</v>
      </c>
      <c r="D1041">
        <v>2025</v>
      </c>
      <c r="E1041" s="36" t="s">
        <v>598</v>
      </c>
      <c r="F1041" s="36" t="s">
        <v>40</v>
      </c>
      <c r="G1041" s="36" t="s">
        <v>610</v>
      </c>
      <c r="H1041" s="36" t="s">
        <v>625</v>
      </c>
      <c r="I1041" s="36" t="s">
        <v>630</v>
      </c>
      <c r="J1041" s="36" t="s">
        <v>615</v>
      </c>
      <c r="K1041">
        <v>13</v>
      </c>
      <c r="L1041">
        <v>25000</v>
      </c>
      <c r="M1041">
        <v>325000</v>
      </c>
      <c r="N1041">
        <v>243750</v>
      </c>
      <c r="O1041">
        <v>81250</v>
      </c>
      <c r="P1041" s="11">
        <v>0.25</v>
      </c>
    </row>
    <row r="1042" spans="1:16" x14ac:dyDescent="0.25">
      <c r="A1042" s="36" t="s">
        <v>134</v>
      </c>
      <c r="B1042" s="2">
        <v>46000</v>
      </c>
      <c r="C1042" s="36" t="s">
        <v>80</v>
      </c>
      <c r="D1042">
        <v>2025</v>
      </c>
      <c r="E1042" s="36" t="s">
        <v>603</v>
      </c>
      <c r="F1042" s="36" t="s">
        <v>42</v>
      </c>
      <c r="G1042" s="36" t="s">
        <v>608</v>
      </c>
      <c r="H1042" s="36" t="s">
        <v>629</v>
      </c>
      <c r="I1042" s="36" t="s">
        <v>619</v>
      </c>
      <c r="J1042" s="36" t="s">
        <v>618</v>
      </c>
      <c r="K1042">
        <v>11</v>
      </c>
      <c r="L1042">
        <v>50</v>
      </c>
      <c r="M1042">
        <v>550</v>
      </c>
      <c r="N1042">
        <v>401.5</v>
      </c>
      <c r="O1042">
        <v>148.5</v>
      </c>
      <c r="P1042" s="11">
        <v>0.27</v>
      </c>
    </row>
    <row r="1043" spans="1:16" x14ac:dyDescent="0.25">
      <c r="A1043" s="36" t="s">
        <v>199</v>
      </c>
      <c r="B1043" s="2">
        <v>46000</v>
      </c>
      <c r="C1043" s="36" t="s">
        <v>80</v>
      </c>
      <c r="D1043">
        <v>2025</v>
      </c>
      <c r="E1043" s="36" t="s">
        <v>602</v>
      </c>
      <c r="F1043" s="36" t="s">
        <v>42</v>
      </c>
      <c r="G1043" s="36" t="s">
        <v>612</v>
      </c>
      <c r="H1043" s="36" t="s">
        <v>625</v>
      </c>
      <c r="I1043" s="36" t="s">
        <v>627</v>
      </c>
      <c r="J1043" s="36" t="s">
        <v>615</v>
      </c>
      <c r="K1043">
        <v>17</v>
      </c>
      <c r="L1043">
        <v>150</v>
      </c>
      <c r="M1043">
        <v>2550</v>
      </c>
      <c r="N1043">
        <v>2269.5</v>
      </c>
      <c r="O1043">
        <v>280.5</v>
      </c>
      <c r="P1043" s="11">
        <v>0.11</v>
      </c>
    </row>
    <row r="1044" spans="1:16" x14ac:dyDescent="0.25">
      <c r="A1044" s="36" t="s">
        <v>202</v>
      </c>
      <c r="B1044" s="2">
        <v>46000</v>
      </c>
      <c r="C1044" s="36" t="s">
        <v>80</v>
      </c>
      <c r="D1044">
        <v>2025</v>
      </c>
      <c r="E1044" s="36" t="s">
        <v>594</v>
      </c>
      <c r="F1044" s="36" t="s">
        <v>39</v>
      </c>
      <c r="G1044" s="36" t="s">
        <v>609</v>
      </c>
      <c r="H1044" s="36" t="s">
        <v>613</v>
      </c>
      <c r="I1044" s="36" t="s">
        <v>630</v>
      </c>
      <c r="J1044" s="36" t="s">
        <v>618</v>
      </c>
      <c r="K1044">
        <v>18</v>
      </c>
      <c r="L1044">
        <v>4000</v>
      </c>
      <c r="M1044">
        <v>72000</v>
      </c>
      <c r="N1044">
        <v>53280</v>
      </c>
      <c r="O1044">
        <v>18720</v>
      </c>
      <c r="P1044" s="11">
        <v>0.26</v>
      </c>
    </row>
    <row r="1045" spans="1:16" x14ac:dyDescent="0.25">
      <c r="A1045" s="36" t="s">
        <v>386</v>
      </c>
      <c r="B1045" s="2">
        <v>46001</v>
      </c>
      <c r="C1045" s="36" t="s">
        <v>80</v>
      </c>
      <c r="D1045">
        <v>2025</v>
      </c>
      <c r="E1045" s="36" t="s">
        <v>603</v>
      </c>
      <c r="F1045" s="36" t="s">
        <v>42</v>
      </c>
      <c r="G1045" s="36" t="s">
        <v>609</v>
      </c>
      <c r="H1045" s="36" t="s">
        <v>625</v>
      </c>
      <c r="I1045" s="36" t="s">
        <v>623</v>
      </c>
      <c r="J1045" s="36" t="s">
        <v>615</v>
      </c>
      <c r="K1045">
        <v>5</v>
      </c>
      <c r="L1045">
        <v>150</v>
      </c>
      <c r="M1045">
        <v>750</v>
      </c>
      <c r="N1045">
        <v>600</v>
      </c>
      <c r="O1045">
        <v>150</v>
      </c>
      <c r="P1045" s="11">
        <v>0.2</v>
      </c>
    </row>
    <row r="1046" spans="1:16" x14ac:dyDescent="0.25">
      <c r="A1046" s="36" t="s">
        <v>392</v>
      </c>
      <c r="B1046" s="2">
        <v>46001</v>
      </c>
      <c r="C1046" s="36" t="s">
        <v>80</v>
      </c>
      <c r="D1046">
        <v>2025</v>
      </c>
      <c r="E1046" s="36" t="s">
        <v>599</v>
      </c>
      <c r="F1046" s="36" t="s">
        <v>39</v>
      </c>
      <c r="G1046" s="36" t="s">
        <v>609</v>
      </c>
      <c r="H1046" s="36" t="s">
        <v>624</v>
      </c>
      <c r="I1046" s="36" t="s">
        <v>619</v>
      </c>
      <c r="J1046" s="36" t="s">
        <v>618</v>
      </c>
      <c r="K1046">
        <v>17</v>
      </c>
      <c r="L1046">
        <v>12000</v>
      </c>
      <c r="M1046">
        <v>204000</v>
      </c>
      <c r="N1046">
        <v>183600</v>
      </c>
      <c r="O1046">
        <v>20400</v>
      </c>
      <c r="P1046" s="11">
        <v>0.1</v>
      </c>
    </row>
    <row r="1047" spans="1:16" x14ac:dyDescent="0.25">
      <c r="A1047" s="36" t="s">
        <v>379</v>
      </c>
      <c r="B1047" s="2">
        <v>46002</v>
      </c>
      <c r="C1047" s="36" t="s">
        <v>80</v>
      </c>
      <c r="D1047">
        <v>2025</v>
      </c>
      <c r="E1047" s="36" t="s">
        <v>606</v>
      </c>
      <c r="F1047" s="36" t="s">
        <v>40</v>
      </c>
      <c r="G1047" s="36" t="s">
        <v>612</v>
      </c>
      <c r="H1047" s="36" t="s">
        <v>624</v>
      </c>
      <c r="I1047" s="36" t="s">
        <v>631</v>
      </c>
      <c r="J1047" s="36" t="s">
        <v>615</v>
      </c>
      <c r="K1047">
        <v>5</v>
      </c>
      <c r="L1047">
        <v>50</v>
      </c>
      <c r="M1047">
        <v>250</v>
      </c>
      <c r="N1047">
        <v>187.5</v>
      </c>
      <c r="O1047">
        <v>62.5</v>
      </c>
      <c r="P1047" s="11">
        <v>0.25</v>
      </c>
    </row>
    <row r="1048" spans="1:16" x14ac:dyDescent="0.25">
      <c r="A1048" s="36" t="s">
        <v>472</v>
      </c>
      <c r="B1048" s="2">
        <v>46002</v>
      </c>
      <c r="C1048" s="36" t="s">
        <v>80</v>
      </c>
      <c r="D1048">
        <v>2025</v>
      </c>
      <c r="E1048" s="36" t="s">
        <v>594</v>
      </c>
      <c r="F1048" s="36" t="s">
        <v>39</v>
      </c>
      <c r="G1048" s="36" t="s">
        <v>612</v>
      </c>
      <c r="H1048" s="36" t="s">
        <v>621</v>
      </c>
      <c r="I1048" s="36" t="s">
        <v>630</v>
      </c>
      <c r="J1048" s="36" t="s">
        <v>618</v>
      </c>
      <c r="K1048">
        <v>19</v>
      </c>
      <c r="L1048">
        <v>7000</v>
      </c>
      <c r="M1048">
        <v>133000</v>
      </c>
      <c r="N1048">
        <v>107730</v>
      </c>
      <c r="O1048">
        <v>25270</v>
      </c>
      <c r="P1048" s="11">
        <v>0.19</v>
      </c>
    </row>
    <row r="1049" spans="1:16" x14ac:dyDescent="0.25">
      <c r="A1049" s="36" t="s">
        <v>484</v>
      </c>
      <c r="B1049" s="2">
        <v>46002</v>
      </c>
      <c r="C1049" s="36" t="s">
        <v>80</v>
      </c>
      <c r="D1049">
        <v>2025</v>
      </c>
      <c r="E1049" s="36" t="s">
        <v>605</v>
      </c>
      <c r="F1049" s="36" t="s">
        <v>40</v>
      </c>
      <c r="G1049" s="36" t="s">
        <v>609</v>
      </c>
      <c r="H1049" s="36" t="s">
        <v>626</v>
      </c>
      <c r="I1049" s="36" t="s">
        <v>614</v>
      </c>
      <c r="J1049" s="36" t="s">
        <v>615</v>
      </c>
      <c r="K1049">
        <v>4</v>
      </c>
      <c r="L1049">
        <v>1200</v>
      </c>
      <c r="M1049">
        <v>4800</v>
      </c>
      <c r="N1049">
        <v>3168</v>
      </c>
      <c r="O1049">
        <v>1632</v>
      </c>
      <c r="P1049" s="11">
        <v>0.34</v>
      </c>
    </row>
    <row r="1050" spans="1:16" x14ac:dyDescent="0.25">
      <c r="A1050" s="36" t="s">
        <v>79</v>
      </c>
      <c r="B1050" s="2">
        <v>46003</v>
      </c>
      <c r="C1050" s="36" t="s">
        <v>80</v>
      </c>
      <c r="D1050">
        <v>2025</v>
      </c>
      <c r="E1050" s="36" t="s">
        <v>606</v>
      </c>
      <c r="F1050" s="36" t="s">
        <v>40</v>
      </c>
      <c r="G1050" s="36" t="s">
        <v>612</v>
      </c>
      <c r="H1050" s="36" t="s">
        <v>613</v>
      </c>
      <c r="I1050" s="36" t="s">
        <v>631</v>
      </c>
      <c r="J1050" s="36" t="s">
        <v>615</v>
      </c>
      <c r="K1050">
        <v>4</v>
      </c>
      <c r="L1050">
        <v>1200</v>
      </c>
      <c r="M1050">
        <v>4800</v>
      </c>
      <c r="N1050">
        <v>3264</v>
      </c>
      <c r="O1050">
        <v>1536</v>
      </c>
      <c r="P1050" s="11">
        <v>0.32</v>
      </c>
    </row>
    <row r="1051" spans="1:16" x14ac:dyDescent="0.25">
      <c r="A1051" s="36" t="s">
        <v>159</v>
      </c>
      <c r="B1051" s="2">
        <v>46003</v>
      </c>
      <c r="C1051" s="36" t="s">
        <v>80</v>
      </c>
      <c r="D1051">
        <v>2025</v>
      </c>
      <c r="E1051" s="36" t="s">
        <v>594</v>
      </c>
      <c r="F1051" s="36" t="s">
        <v>39</v>
      </c>
      <c r="G1051" s="36" t="s">
        <v>609</v>
      </c>
      <c r="H1051" s="36" t="s">
        <v>613</v>
      </c>
      <c r="I1051" s="36" t="s">
        <v>630</v>
      </c>
      <c r="J1051" s="36" t="s">
        <v>615</v>
      </c>
      <c r="K1051">
        <v>14</v>
      </c>
      <c r="L1051">
        <v>300</v>
      </c>
      <c r="M1051">
        <v>4200</v>
      </c>
      <c r="N1051">
        <v>3612</v>
      </c>
      <c r="O1051">
        <v>588</v>
      </c>
      <c r="P1051" s="11">
        <v>0.14000000000000001</v>
      </c>
    </row>
    <row r="1052" spans="1:16" x14ac:dyDescent="0.25">
      <c r="A1052" s="36" t="s">
        <v>130</v>
      </c>
      <c r="B1052" s="2">
        <v>46004</v>
      </c>
      <c r="C1052" s="36" t="s">
        <v>80</v>
      </c>
      <c r="D1052">
        <v>2025</v>
      </c>
      <c r="E1052" s="36" t="s">
        <v>596</v>
      </c>
      <c r="F1052" s="36" t="s">
        <v>39</v>
      </c>
      <c r="G1052" s="36" t="s">
        <v>610</v>
      </c>
      <c r="H1052" s="36" t="s">
        <v>613</v>
      </c>
      <c r="I1052" s="36" t="s">
        <v>645</v>
      </c>
      <c r="J1052" s="36" t="s">
        <v>615</v>
      </c>
      <c r="K1052">
        <v>9</v>
      </c>
      <c r="L1052">
        <v>7000</v>
      </c>
      <c r="M1052">
        <v>63000</v>
      </c>
      <c r="N1052">
        <v>39060</v>
      </c>
      <c r="O1052">
        <v>23940</v>
      </c>
      <c r="P1052" s="11">
        <v>0.38</v>
      </c>
    </row>
    <row r="1053" spans="1:16" x14ac:dyDescent="0.25">
      <c r="A1053" s="36" t="s">
        <v>323</v>
      </c>
      <c r="B1053" s="2">
        <v>46004</v>
      </c>
      <c r="C1053" s="36" t="s">
        <v>80</v>
      </c>
      <c r="D1053">
        <v>2025</v>
      </c>
      <c r="E1053" s="36" t="s">
        <v>599</v>
      </c>
      <c r="F1053" s="36" t="s">
        <v>39</v>
      </c>
      <c r="G1053" s="36" t="s">
        <v>610</v>
      </c>
      <c r="H1053" s="36" t="s">
        <v>620</v>
      </c>
      <c r="I1053" s="36" t="s">
        <v>630</v>
      </c>
      <c r="J1053" s="36" t="s">
        <v>618</v>
      </c>
      <c r="K1053">
        <v>7</v>
      </c>
      <c r="L1053">
        <v>15000</v>
      </c>
      <c r="M1053">
        <v>105000</v>
      </c>
      <c r="N1053">
        <v>65100</v>
      </c>
      <c r="O1053">
        <v>39900</v>
      </c>
      <c r="P1053" s="11">
        <v>0.38</v>
      </c>
    </row>
    <row r="1054" spans="1:16" x14ac:dyDescent="0.25">
      <c r="A1054" s="36" t="s">
        <v>366</v>
      </c>
      <c r="B1054" s="2">
        <v>46004</v>
      </c>
      <c r="C1054" s="36" t="s">
        <v>80</v>
      </c>
      <c r="D1054">
        <v>2025</v>
      </c>
      <c r="E1054" s="36" t="s">
        <v>601</v>
      </c>
      <c r="F1054" s="36" t="s">
        <v>41</v>
      </c>
      <c r="G1054" s="36" t="s">
        <v>612</v>
      </c>
      <c r="H1054" s="36" t="s">
        <v>626</v>
      </c>
      <c r="I1054" s="36" t="s">
        <v>614</v>
      </c>
      <c r="J1054" s="36" t="s">
        <v>618</v>
      </c>
      <c r="K1054">
        <v>17</v>
      </c>
      <c r="L1054">
        <v>20</v>
      </c>
      <c r="M1054">
        <v>340</v>
      </c>
      <c r="N1054">
        <v>272</v>
      </c>
      <c r="O1054">
        <v>68</v>
      </c>
      <c r="P1054" s="11">
        <v>0.2</v>
      </c>
    </row>
    <row r="1055" spans="1:16" x14ac:dyDescent="0.25">
      <c r="A1055" s="36" t="s">
        <v>411</v>
      </c>
      <c r="B1055" s="2">
        <v>46004</v>
      </c>
      <c r="C1055" s="36" t="s">
        <v>80</v>
      </c>
      <c r="D1055">
        <v>2025</v>
      </c>
      <c r="E1055" s="36" t="s">
        <v>602</v>
      </c>
      <c r="F1055" s="36" t="s">
        <v>42</v>
      </c>
      <c r="G1055" s="36" t="s">
        <v>612</v>
      </c>
      <c r="H1055" s="36" t="s">
        <v>620</v>
      </c>
      <c r="I1055" s="36" t="s">
        <v>623</v>
      </c>
      <c r="J1055" s="36" t="s">
        <v>618</v>
      </c>
      <c r="K1055">
        <v>7</v>
      </c>
      <c r="L1055">
        <v>150</v>
      </c>
      <c r="M1055">
        <v>1050</v>
      </c>
      <c r="N1055">
        <v>903</v>
      </c>
      <c r="O1055">
        <v>147</v>
      </c>
      <c r="P1055" s="11">
        <v>0.14000000000000001</v>
      </c>
    </row>
    <row r="1056" spans="1:16" x14ac:dyDescent="0.25">
      <c r="A1056" s="36" t="s">
        <v>198</v>
      </c>
      <c r="B1056" s="2">
        <v>46005</v>
      </c>
      <c r="C1056" s="36" t="s">
        <v>80</v>
      </c>
      <c r="D1056">
        <v>2025</v>
      </c>
      <c r="E1056" s="36" t="s">
        <v>592</v>
      </c>
      <c r="F1056" s="36" t="s">
        <v>40</v>
      </c>
      <c r="G1056" s="36" t="s">
        <v>608</v>
      </c>
      <c r="H1056" s="36" t="s">
        <v>624</v>
      </c>
      <c r="I1056" s="36" t="s">
        <v>617</v>
      </c>
      <c r="J1056" s="36" t="s">
        <v>615</v>
      </c>
      <c r="K1056">
        <v>4</v>
      </c>
      <c r="L1056">
        <v>150</v>
      </c>
      <c r="M1056">
        <v>600</v>
      </c>
      <c r="N1056">
        <v>432</v>
      </c>
      <c r="O1056">
        <v>168</v>
      </c>
      <c r="P1056" s="11">
        <v>0.28000000000000003</v>
      </c>
    </row>
    <row r="1057" spans="1:16" x14ac:dyDescent="0.25">
      <c r="A1057" s="36" t="s">
        <v>181</v>
      </c>
      <c r="B1057" s="2">
        <v>46006</v>
      </c>
      <c r="C1057" s="36" t="s">
        <v>80</v>
      </c>
      <c r="D1057">
        <v>2025</v>
      </c>
      <c r="E1057" s="36" t="s">
        <v>598</v>
      </c>
      <c r="F1057" s="36" t="s">
        <v>40</v>
      </c>
      <c r="G1057" s="36" t="s">
        <v>609</v>
      </c>
      <c r="H1057" s="36" t="s">
        <v>616</v>
      </c>
      <c r="I1057" s="36" t="s">
        <v>645</v>
      </c>
      <c r="J1057" s="36" t="s">
        <v>615</v>
      </c>
      <c r="K1057">
        <v>19</v>
      </c>
      <c r="L1057">
        <v>55000</v>
      </c>
      <c r="M1057">
        <v>1045000</v>
      </c>
      <c r="N1057">
        <v>836000</v>
      </c>
      <c r="O1057">
        <v>209000</v>
      </c>
      <c r="P1057" s="11">
        <v>0.2</v>
      </c>
    </row>
    <row r="1058" spans="1:16" x14ac:dyDescent="0.25">
      <c r="A1058" s="36" t="s">
        <v>309</v>
      </c>
      <c r="B1058" s="2">
        <v>46006</v>
      </c>
      <c r="C1058" s="36" t="s">
        <v>80</v>
      </c>
      <c r="D1058">
        <v>2025</v>
      </c>
      <c r="E1058" s="36" t="s">
        <v>596</v>
      </c>
      <c r="F1058" s="36" t="s">
        <v>39</v>
      </c>
      <c r="G1058" s="36" t="s">
        <v>608</v>
      </c>
      <c r="H1058" s="36" t="s">
        <v>625</v>
      </c>
      <c r="I1058" s="36" t="s">
        <v>631</v>
      </c>
      <c r="J1058" s="36" t="s">
        <v>615</v>
      </c>
      <c r="K1058">
        <v>7</v>
      </c>
      <c r="L1058">
        <v>25000</v>
      </c>
      <c r="M1058">
        <v>175000</v>
      </c>
      <c r="N1058">
        <v>127750</v>
      </c>
      <c r="O1058">
        <v>47250</v>
      </c>
      <c r="P1058" s="11">
        <v>0.27</v>
      </c>
    </row>
    <row r="1059" spans="1:16" x14ac:dyDescent="0.25">
      <c r="A1059" s="36" t="s">
        <v>106</v>
      </c>
      <c r="B1059" s="2">
        <v>46008</v>
      </c>
      <c r="C1059" s="36" t="s">
        <v>80</v>
      </c>
      <c r="D1059">
        <v>2025</v>
      </c>
      <c r="E1059" s="36" t="s">
        <v>604</v>
      </c>
      <c r="F1059" s="36" t="s">
        <v>41</v>
      </c>
      <c r="G1059" s="36" t="s">
        <v>609</v>
      </c>
      <c r="H1059" s="36" t="s">
        <v>628</v>
      </c>
      <c r="I1059" s="36" t="s">
        <v>627</v>
      </c>
      <c r="J1059" s="36" t="s">
        <v>615</v>
      </c>
      <c r="K1059">
        <v>8</v>
      </c>
      <c r="L1059">
        <v>9000</v>
      </c>
      <c r="M1059">
        <v>72000</v>
      </c>
      <c r="N1059">
        <v>54720</v>
      </c>
      <c r="O1059">
        <v>17280</v>
      </c>
      <c r="P1059" s="11">
        <v>0.24</v>
      </c>
    </row>
    <row r="1060" spans="1:16" x14ac:dyDescent="0.25">
      <c r="A1060" s="36" t="s">
        <v>305</v>
      </c>
      <c r="B1060" s="2">
        <v>46009</v>
      </c>
      <c r="C1060" s="36" t="s">
        <v>80</v>
      </c>
      <c r="D1060">
        <v>2025</v>
      </c>
      <c r="E1060" s="36" t="s">
        <v>594</v>
      </c>
      <c r="F1060" s="36" t="s">
        <v>39</v>
      </c>
      <c r="G1060" s="36" t="s">
        <v>608</v>
      </c>
      <c r="H1060" s="36" t="s">
        <v>625</v>
      </c>
      <c r="I1060" s="36" t="s">
        <v>627</v>
      </c>
      <c r="J1060" s="36" t="s">
        <v>618</v>
      </c>
      <c r="K1060">
        <v>4</v>
      </c>
      <c r="L1060">
        <v>7000</v>
      </c>
      <c r="M1060">
        <v>28000</v>
      </c>
      <c r="N1060">
        <v>21280</v>
      </c>
      <c r="O1060">
        <v>6720</v>
      </c>
      <c r="P1060" s="11">
        <v>0.24</v>
      </c>
    </row>
    <row r="1061" spans="1:16" x14ac:dyDescent="0.25">
      <c r="A1061" s="36" t="s">
        <v>560</v>
      </c>
      <c r="B1061" s="2">
        <v>46009</v>
      </c>
      <c r="C1061" s="36" t="s">
        <v>80</v>
      </c>
      <c r="D1061">
        <v>2025</v>
      </c>
      <c r="E1061" s="36" t="s">
        <v>604</v>
      </c>
      <c r="F1061" s="36" t="s">
        <v>41</v>
      </c>
      <c r="G1061" s="36" t="s">
        <v>612</v>
      </c>
      <c r="H1061" s="36" t="s">
        <v>626</v>
      </c>
      <c r="I1061" s="36" t="s">
        <v>627</v>
      </c>
      <c r="J1061" s="36" t="s">
        <v>618</v>
      </c>
      <c r="K1061">
        <v>19</v>
      </c>
      <c r="L1061">
        <v>3500</v>
      </c>
      <c r="M1061">
        <v>66500</v>
      </c>
      <c r="N1061">
        <v>53865</v>
      </c>
      <c r="O1061">
        <v>12635</v>
      </c>
      <c r="P1061" s="11">
        <v>0.19</v>
      </c>
    </row>
    <row r="1062" spans="1:16" x14ac:dyDescent="0.25">
      <c r="A1062" s="36" t="s">
        <v>319</v>
      </c>
      <c r="B1062" s="2">
        <v>46011</v>
      </c>
      <c r="C1062" s="36" t="s">
        <v>80</v>
      </c>
      <c r="D1062">
        <v>2025</v>
      </c>
      <c r="E1062" s="36" t="s">
        <v>594</v>
      </c>
      <c r="F1062" s="36" t="s">
        <v>39</v>
      </c>
      <c r="G1062" s="36" t="s">
        <v>612</v>
      </c>
      <c r="H1062" s="36" t="s">
        <v>613</v>
      </c>
      <c r="I1062" s="36" t="s">
        <v>617</v>
      </c>
      <c r="J1062" s="36" t="s">
        <v>618</v>
      </c>
      <c r="K1062">
        <v>7</v>
      </c>
      <c r="L1062">
        <v>55000</v>
      </c>
      <c r="M1062">
        <v>385000</v>
      </c>
      <c r="N1062">
        <v>308000</v>
      </c>
      <c r="O1062">
        <v>77000</v>
      </c>
      <c r="P1062" s="11">
        <v>0.2</v>
      </c>
    </row>
    <row r="1063" spans="1:16" x14ac:dyDescent="0.25">
      <c r="A1063" s="36" t="s">
        <v>214</v>
      </c>
      <c r="B1063" s="2">
        <v>46012</v>
      </c>
      <c r="C1063" s="36" t="s">
        <v>80</v>
      </c>
      <c r="D1063">
        <v>2025</v>
      </c>
      <c r="E1063" s="36" t="s">
        <v>606</v>
      </c>
      <c r="F1063" s="36" t="s">
        <v>40</v>
      </c>
      <c r="G1063" s="36" t="s">
        <v>609</v>
      </c>
      <c r="H1063" s="36" t="s">
        <v>629</v>
      </c>
      <c r="I1063" s="36" t="s">
        <v>617</v>
      </c>
      <c r="J1063" s="36" t="s">
        <v>615</v>
      </c>
      <c r="K1063">
        <v>20</v>
      </c>
      <c r="L1063">
        <v>15000</v>
      </c>
      <c r="M1063">
        <v>300000</v>
      </c>
      <c r="N1063">
        <v>207000</v>
      </c>
      <c r="O1063">
        <v>93000</v>
      </c>
      <c r="P1063" s="11">
        <v>0.31</v>
      </c>
    </row>
    <row r="1064" spans="1:16" x14ac:dyDescent="0.25">
      <c r="A1064" s="36" t="s">
        <v>215</v>
      </c>
      <c r="B1064" s="2">
        <v>46013</v>
      </c>
      <c r="C1064" s="36" t="s">
        <v>80</v>
      </c>
      <c r="D1064">
        <v>2025</v>
      </c>
      <c r="E1064" s="36" t="s">
        <v>604</v>
      </c>
      <c r="F1064" s="36" t="s">
        <v>41</v>
      </c>
      <c r="G1064" s="36" t="s">
        <v>608</v>
      </c>
      <c r="H1064" s="36" t="s">
        <v>626</v>
      </c>
      <c r="I1064" s="36" t="s">
        <v>627</v>
      </c>
      <c r="J1064" s="36" t="s">
        <v>618</v>
      </c>
      <c r="K1064">
        <v>18</v>
      </c>
      <c r="L1064">
        <v>12000</v>
      </c>
      <c r="M1064">
        <v>216000</v>
      </c>
      <c r="N1064">
        <v>129600</v>
      </c>
      <c r="O1064">
        <v>86400</v>
      </c>
      <c r="P1064" s="11">
        <v>0.4</v>
      </c>
    </row>
    <row r="1065" spans="1:16" x14ac:dyDescent="0.25">
      <c r="A1065" s="36" t="s">
        <v>240</v>
      </c>
      <c r="B1065" s="2">
        <v>46013</v>
      </c>
      <c r="C1065" s="36" t="s">
        <v>80</v>
      </c>
      <c r="D1065">
        <v>2025</v>
      </c>
      <c r="E1065" s="36" t="s">
        <v>594</v>
      </c>
      <c r="F1065" s="36" t="s">
        <v>39</v>
      </c>
      <c r="G1065" s="36" t="s">
        <v>608</v>
      </c>
      <c r="H1065" s="36" t="s">
        <v>625</v>
      </c>
      <c r="I1065" s="36" t="s">
        <v>623</v>
      </c>
      <c r="J1065" s="36" t="s">
        <v>615</v>
      </c>
      <c r="K1065">
        <v>10</v>
      </c>
      <c r="L1065">
        <v>8000</v>
      </c>
      <c r="M1065">
        <v>80000</v>
      </c>
      <c r="N1065">
        <v>64000</v>
      </c>
      <c r="O1065">
        <v>16000</v>
      </c>
      <c r="P1065" s="11">
        <v>0.2</v>
      </c>
    </row>
    <row r="1066" spans="1:16" x14ac:dyDescent="0.25">
      <c r="A1066" s="36" t="s">
        <v>252</v>
      </c>
      <c r="B1066" s="2">
        <v>46013</v>
      </c>
      <c r="C1066" s="36" t="s">
        <v>80</v>
      </c>
      <c r="D1066">
        <v>2025</v>
      </c>
      <c r="E1066" s="36" t="s">
        <v>592</v>
      </c>
      <c r="F1066" s="36" t="s">
        <v>40</v>
      </c>
      <c r="G1066" s="36" t="s">
        <v>609</v>
      </c>
      <c r="H1066" s="36" t="s">
        <v>629</v>
      </c>
      <c r="I1066" s="36" t="s">
        <v>617</v>
      </c>
      <c r="J1066" s="36" t="s">
        <v>618</v>
      </c>
      <c r="K1066">
        <v>11</v>
      </c>
      <c r="L1066">
        <v>55000</v>
      </c>
      <c r="M1066">
        <v>605000</v>
      </c>
      <c r="N1066">
        <v>477950</v>
      </c>
      <c r="O1066">
        <v>127050</v>
      </c>
      <c r="P1066" s="11">
        <v>0.21</v>
      </c>
    </row>
    <row r="1067" spans="1:16" x14ac:dyDescent="0.25">
      <c r="A1067" s="36" t="s">
        <v>524</v>
      </c>
      <c r="B1067" s="2">
        <v>46014</v>
      </c>
      <c r="C1067" s="36" t="s">
        <v>80</v>
      </c>
      <c r="D1067">
        <v>2025</v>
      </c>
      <c r="E1067" s="36" t="s">
        <v>604</v>
      </c>
      <c r="F1067" s="36" t="s">
        <v>41</v>
      </c>
      <c r="G1067" s="36" t="s">
        <v>612</v>
      </c>
      <c r="H1067" s="36" t="s">
        <v>620</v>
      </c>
      <c r="I1067" s="36" t="s">
        <v>623</v>
      </c>
      <c r="J1067" s="36" t="s">
        <v>618</v>
      </c>
      <c r="K1067">
        <v>13</v>
      </c>
      <c r="L1067">
        <v>12000</v>
      </c>
      <c r="M1067">
        <v>156000</v>
      </c>
      <c r="N1067">
        <v>95160</v>
      </c>
      <c r="O1067">
        <v>60840</v>
      </c>
      <c r="P1067" s="11">
        <v>0.39</v>
      </c>
    </row>
    <row r="1068" spans="1:16" x14ac:dyDescent="0.25">
      <c r="A1068" s="36" t="s">
        <v>578</v>
      </c>
      <c r="B1068" s="2">
        <v>46014</v>
      </c>
      <c r="C1068" s="36" t="s">
        <v>80</v>
      </c>
      <c r="D1068">
        <v>2025</v>
      </c>
      <c r="E1068" s="36" t="s">
        <v>594</v>
      </c>
      <c r="F1068" s="36" t="s">
        <v>39</v>
      </c>
      <c r="G1068" s="36" t="s">
        <v>608</v>
      </c>
      <c r="H1068" s="36" t="s">
        <v>624</v>
      </c>
      <c r="I1068" s="36" t="s">
        <v>614</v>
      </c>
      <c r="J1068" s="36" t="s">
        <v>618</v>
      </c>
      <c r="K1068">
        <v>11</v>
      </c>
      <c r="L1068">
        <v>15000</v>
      </c>
      <c r="M1068">
        <v>165000</v>
      </c>
      <c r="N1068">
        <v>120450</v>
      </c>
      <c r="O1068">
        <v>44550</v>
      </c>
      <c r="P1068" s="11">
        <v>0.27</v>
      </c>
    </row>
    <row r="1069" spans="1:16" x14ac:dyDescent="0.25">
      <c r="A1069" s="36" t="s">
        <v>243</v>
      </c>
      <c r="B1069" s="2">
        <v>46015</v>
      </c>
      <c r="C1069" s="36" t="s">
        <v>80</v>
      </c>
      <c r="D1069">
        <v>2025</v>
      </c>
      <c r="E1069" s="36" t="s">
        <v>601</v>
      </c>
      <c r="F1069" s="36" t="s">
        <v>41</v>
      </c>
      <c r="G1069" s="36" t="s">
        <v>610</v>
      </c>
      <c r="H1069" s="36" t="s">
        <v>625</v>
      </c>
      <c r="I1069" s="36" t="s">
        <v>630</v>
      </c>
      <c r="J1069" s="36" t="s">
        <v>615</v>
      </c>
      <c r="K1069">
        <v>5</v>
      </c>
      <c r="L1069">
        <v>8000</v>
      </c>
      <c r="M1069">
        <v>40000</v>
      </c>
      <c r="N1069">
        <v>30400</v>
      </c>
      <c r="O1069">
        <v>9600</v>
      </c>
      <c r="P1069" s="11">
        <v>0.24</v>
      </c>
    </row>
    <row r="1070" spans="1:16" x14ac:dyDescent="0.25">
      <c r="A1070" s="36" t="s">
        <v>549</v>
      </c>
      <c r="B1070" s="2">
        <v>46016</v>
      </c>
      <c r="C1070" s="36" t="s">
        <v>80</v>
      </c>
      <c r="D1070">
        <v>2025</v>
      </c>
      <c r="E1070" s="36" t="s">
        <v>599</v>
      </c>
      <c r="F1070" s="36" t="s">
        <v>39</v>
      </c>
      <c r="G1070" s="36" t="s">
        <v>612</v>
      </c>
      <c r="H1070" s="36" t="s">
        <v>625</v>
      </c>
      <c r="I1070" s="36" t="s">
        <v>631</v>
      </c>
      <c r="J1070" s="36" t="s">
        <v>618</v>
      </c>
      <c r="K1070">
        <v>9</v>
      </c>
      <c r="L1070">
        <v>7000</v>
      </c>
      <c r="M1070">
        <v>63000</v>
      </c>
      <c r="N1070">
        <v>49140</v>
      </c>
      <c r="O1070">
        <v>13860</v>
      </c>
      <c r="P1070" s="11">
        <v>0.22</v>
      </c>
    </row>
    <row r="1071" spans="1:16" x14ac:dyDescent="0.25">
      <c r="A1071" s="36" t="s">
        <v>126</v>
      </c>
      <c r="B1071" s="2">
        <v>46017</v>
      </c>
      <c r="C1071" s="36" t="s">
        <v>80</v>
      </c>
      <c r="D1071">
        <v>2025</v>
      </c>
      <c r="E1071" s="36" t="s">
        <v>601</v>
      </c>
      <c r="F1071" s="36" t="s">
        <v>41</v>
      </c>
      <c r="G1071" s="36" t="s">
        <v>609</v>
      </c>
      <c r="H1071" s="36" t="s">
        <v>625</v>
      </c>
      <c r="I1071" s="36" t="s">
        <v>619</v>
      </c>
      <c r="J1071" s="36" t="s">
        <v>618</v>
      </c>
      <c r="K1071">
        <v>3</v>
      </c>
      <c r="L1071">
        <v>300</v>
      </c>
      <c r="M1071">
        <v>900</v>
      </c>
      <c r="N1071">
        <v>693</v>
      </c>
      <c r="O1071">
        <v>207</v>
      </c>
      <c r="P1071" s="11">
        <v>0.23</v>
      </c>
    </row>
    <row r="1072" spans="1:16" x14ac:dyDescent="0.25">
      <c r="A1072" s="36" t="s">
        <v>304</v>
      </c>
      <c r="B1072" s="2">
        <v>46017</v>
      </c>
      <c r="C1072" s="36" t="s">
        <v>80</v>
      </c>
      <c r="D1072">
        <v>2025</v>
      </c>
      <c r="E1072" s="36" t="s">
        <v>603</v>
      </c>
      <c r="F1072" s="36" t="s">
        <v>42</v>
      </c>
      <c r="G1072" s="36" t="s">
        <v>612</v>
      </c>
      <c r="H1072" s="36" t="s">
        <v>626</v>
      </c>
      <c r="I1072" s="36" t="s">
        <v>617</v>
      </c>
      <c r="J1072" s="36" t="s">
        <v>615</v>
      </c>
      <c r="K1072">
        <v>16</v>
      </c>
      <c r="L1072">
        <v>150</v>
      </c>
      <c r="M1072">
        <v>2400</v>
      </c>
      <c r="N1072">
        <v>2088</v>
      </c>
      <c r="O1072">
        <v>312</v>
      </c>
      <c r="P1072" s="11">
        <v>0.13</v>
      </c>
    </row>
    <row r="1073" spans="1:16" x14ac:dyDescent="0.25">
      <c r="A1073" s="36" t="s">
        <v>426</v>
      </c>
      <c r="B1073" s="2">
        <v>46018</v>
      </c>
      <c r="C1073" s="36" t="s">
        <v>80</v>
      </c>
      <c r="D1073">
        <v>2025</v>
      </c>
      <c r="E1073" s="36" t="s">
        <v>600</v>
      </c>
      <c r="F1073" s="36" t="s">
        <v>39</v>
      </c>
      <c r="G1073" s="36" t="s">
        <v>610</v>
      </c>
      <c r="H1073" s="36" t="s">
        <v>626</v>
      </c>
      <c r="I1073" s="36" t="s">
        <v>623</v>
      </c>
      <c r="J1073" s="36" t="s">
        <v>618</v>
      </c>
      <c r="K1073">
        <v>14</v>
      </c>
      <c r="L1073">
        <v>700</v>
      </c>
      <c r="M1073">
        <v>9800</v>
      </c>
      <c r="N1073">
        <v>6860</v>
      </c>
      <c r="O1073">
        <v>2940</v>
      </c>
      <c r="P1073" s="11">
        <v>0.3</v>
      </c>
    </row>
    <row r="1074" spans="1:16" x14ac:dyDescent="0.25">
      <c r="A1074" s="36" t="s">
        <v>209</v>
      </c>
      <c r="B1074" s="2">
        <v>46019</v>
      </c>
      <c r="C1074" s="36" t="s">
        <v>80</v>
      </c>
      <c r="D1074">
        <v>2025</v>
      </c>
      <c r="E1074" s="36" t="s">
        <v>592</v>
      </c>
      <c r="F1074" s="36" t="s">
        <v>40</v>
      </c>
      <c r="G1074" s="36" t="s">
        <v>611</v>
      </c>
      <c r="H1074" s="36" t="s">
        <v>621</v>
      </c>
      <c r="I1074" s="36" t="s">
        <v>630</v>
      </c>
      <c r="J1074" s="36" t="s">
        <v>618</v>
      </c>
      <c r="K1074">
        <v>15</v>
      </c>
      <c r="L1074">
        <v>700</v>
      </c>
      <c r="M1074">
        <v>10500</v>
      </c>
      <c r="N1074">
        <v>9450</v>
      </c>
      <c r="O1074">
        <v>1050</v>
      </c>
      <c r="P1074" s="11">
        <v>0.1</v>
      </c>
    </row>
    <row r="1075" spans="1:16" x14ac:dyDescent="0.25">
      <c r="A1075" s="36" t="s">
        <v>378</v>
      </c>
      <c r="B1075" s="2">
        <v>46019</v>
      </c>
      <c r="C1075" s="36" t="s">
        <v>80</v>
      </c>
      <c r="D1075">
        <v>2025</v>
      </c>
      <c r="E1075" s="36" t="s">
        <v>592</v>
      </c>
      <c r="F1075" s="36" t="s">
        <v>40</v>
      </c>
      <c r="G1075" s="36" t="s">
        <v>610</v>
      </c>
      <c r="H1075" s="36" t="s">
        <v>626</v>
      </c>
      <c r="I1075" s="36" t="s">
        <v>645</v>
      </c>
      <c r="J1075" s="36" t="s">
        <v>618</v>
      </c>
      <c r="K1075">
        <v>10</v>
      </c>
      <c r="L1075">
        <v>50</v>
      </c>
      <c r="M1075">
        <v>500</v>
      </c>
      <c r="N1075">
        <v>360</v>
      </c>
      <c r="O1075">
        <v>140</v>
      </c>
      <c r="P1075" s="11">
        <v>0.28000000000000003</v>
      </c>
    </row>
  </sheetData>
  <phoneticPr fontId="4"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5CEEA-03C1-49A9-B4B3-CF2E50145BF5}">
  <dimension ref="A2:Q27"/>
  <sheetViews>
    <sheetView workbookViewId="0">
      <selection activeCell="B17" sqref="B17"/>
    </sheetView>
  </sheetViews>
  <sheetFormatPr defaultRowHeight="15" x14ac:dyDescent="0.25"/>
  <cols>
    <col min="1" max="1" width="14.28515625" bestFit="1" customWidth="1"/>
    <col min="2" max="2" width="5.140625" customWidth="1"/>
    <col min="3" max="3" width="11.7109375" bestFit="1" customWidth="1"/>
    <col min="4" max="4" width="14.28515625" bestFit="1" customWidth="1"/>
    <col min="5" max="5" width="2.5703125" customWidth="1"/>
    <col min="6" max="6" width="12" bestFit="1" customWidth="1"/>
    <col min="7" max="7" width="14.28515625" bestFit="1" customWidth="1"/>
    <col min="8" max="8" width="2.5703125" customWidth="1"/>
    <col min="9" max="9" width="11.7109375" bestFit="1" customWidth="1"/>
    <col min="10" max="10" width="14.28515625" bestFit="1" customWidth="1"/>
    <col min="11" max="11" width="13.28515625" bestFit="1" customWidth="1"/>
    <col min="12" max="12" width="2.140625" customWidth="1"/>
    <col min="13" max="13" width="14.5703125" bestFit="1" customWidth="1"/>
    <col min="14" max="14" width="20" bestFit="1" customWidth="1"/>
    <col min="15" max="15" width="2.28515625" customWidth="1"/>
    <col min="16" max="16" width="10.42578125" bestFit="1" customWidth="1"/>
    <col min="17" max="17" width="14.28515625" bestFit="1" customWidth="1"/>
  </cols>
  <sheetData>
    <row r="2" spans="1:17" x14ac:dyDescent="0.25">
      <c r="A2" s="4" t="s">
        <v>24</v>
      </c>
      <c r="C2" s="37" t="s">
        <v>637</v>
      </c>
      <c r="D2" s="37"/>
      <c r="F2" s="37" t="s">
        <v>638</v>
      </c>
      <c r="G2" s="37"/>
      <c r="I2" s="37" t="s">
        <v>640</v>
      </c>
      <c r="J2" s="37"/>
      <c r="K2" s="41"/>
      <c r="M2" s="37" t="s">
        <v>641</v>
      </c>
      <c r="N2" s="37"/>
      <c r="P2" s="37" t="s">
        <v>641</v>
      </c>
      <c r="Q2" s="37"/>
    </row>
    <row r="3" spans="1:17" x14ac:dyDescent="0.25">
      <c r="A3" t="s">
        <v>643</v>
      </c>
      <c r="C3" s="38" t="s">
        <v>38</v>
      </c>
      <c r="D3" s="39" t="s">
        <v>643</v>
      </c>
      <c r="F3" s="38" t="s">
        <v>18</v>
      </c>
      <c r="G3" s="39" t="s">
        <v>643</v>
      </c>
      <c r="I3" s="38" t="s">
        <v>647</v>
      </c>
      <c r="J3" s="39" t="s">
        <v>643</v>
      </c>
      <c r="K3" s="39"/>
      <c r="M3" s="38" t="s">
        <v>31</v>
      </c>
      <c r="N3" s="39" t="s">
        <v>643</v>
      </c>
      <c r="P3" s="38" t="s">
        <v>31</v>
      </c>
      <c r="Q3" s="39" t="s">
        <v>643</v>
      </c>
    </row>
    <row r="4" spans="1:17" x14ac:dyDescent="0.25">
      <c r="A4" s="3">
        <v>114847300</v>
      </c>
      <c r="C4" s="39" t="s">
        <v>603</v>
      </c>
      <c r="D4" s="40">
        <v>10585920</v>
      </c>
      <c r="F4" s="39" t="s">
        <v>610</v>
      </c>
      <c r="G4" s="40">
        <v>28243680</v>
      </c>
      <c r="I4" s="39">
        <v>2025</v>
      </c>
      <c r="J4" s="40">
        <v>57423650</v>
      </c>
      <c r="K4" s="40"/>
      <c r="M4" s="39" t="s">
        <v>39</v>
      </c>
      <c r="N4" s="40">
        <v>31229120</v>
      </c>
      <c r="P4" s="39" t="s">
        <v>615</v>
      </c>
      <c r="Q4" s="40">
        <v>65398080</v>
      </c>
    </row>
    <row r="5" spans="1:17" x14ac:dyDescent="0.25">
      <c r="C5" s="39" t="s">
        <v>598</v>
      </c>
      <c r="D5" s="40">
        <v>10011000</v>
      </c>
      <c r="F5" s="39" t="s">
        <v>608</v>
      </c>
      <c r="G5" s="40">
        <v>22213280</v>
      </c>
      <c r="I5" s="39">
        <v>2024</v>
      </c>
      <c r="J5" s="40">
        <v>57423650</v>
      </c>
      <c r="K5" s="40"/>
      <c r="M5" s="39" t="s">
        <v>40</v>
      </c>
      <c r="N5" s="40">
        <v>29798460</v>
      </c>
      <c r="P5" s="39" t="s">
        <v>618</v>
      </c>
      <c r="Q5" s="40">
        <v>49449220</v>
      </c>
    </row>
    <row r="6" spans="1:17" x14ac:dyDescent="0.25">
      <c r="A6" s="4" t="s">
        <v>25</v>
      </c>
      <c r="C6" s="39" t="s">
        <v>602</v>
      </c>
      <c r="D6" s="40">
        <v>9353760</v>
      </c>
      <c r="F6" s="39" t="s">
        <v>612</v>
      </c>
      <c r="G6" s="40">
        <v>18895480</v>
      </c>
      <c r="I6" s="39" t="s">
        <v>639</v>
      </c>
      <c r="J6" s="40"/>
      <c r="K6" s="40"/>
      <c r="M6" s="39" t="s">
        <v>41</v>
      </c>
      <c r="N6" s="40">
        <v>27471260</v>
      </c>
      <c r="P6" s="39" t="s">
        <v>636</v>
      </c>
      <c r="Q6" s="40">
        <v>114847300</v>
      </c>
    </row>
    <row r="7" spans="1:17" x14ac:dyDescent="0.25">
      <c r="A7" t="s">
        <v>25</v>
      </c>
      <c r="C7" s="39" t="s">
        <v>604</v>
      </c>
      <c r="D7" s="40">
        <v>8611680</v>
      </c>
      <c r="F7" s="39" t="s">
        <v>611</v>
      </c>
      <c r="G7" s="40">
        <v>22025620</v>
      </c>
      <c r="I7" s="39" t="s">
        <v>636</v>
      </c>
      <c r="J7" s="40">
        <v>114847300</v>
      </c>
      <c r="K7" s="40"/>
      <c r="M7" s="39" t="s">
        <v>42</v>
      </c>
      <c r="N7" s="40">
        <v>26348460</v>
      </c>
    </row>
    <row r="8" spans="1:17" x14ac:dyDescent="0.25">
      <c r="A8" s="3">
        <v>28482487.999999996</v>
      </c>
      <c r="C8" s="39" t="s">
        <v>599</v>
      </c>
      <c r="D8" s="40">
        <v>8155980</v>
      </c>
      <c r="F8" s="39" t="s">
        <v>609</v>
      </c>
      <c r="G8" s="40">
        <v>23469240</v>
      </c>
      <c r="M8" s="39" t="s">
        <v>636</v>
      </c>
      <c r="N8" s="40">
        <v>114847300</v>
      </c>
    </row>
    <row r="9" spans="1:17" x14ac:dyDescent="0.25">
      <c r="C9" s="39" t="s">
        <v>605</v>
      </c>
      <c r="D9" s="40">
        <v>7520960</v>
      </c>
      <c r="F9" s="39" t="s">
        <v>636</v>
      </c>
      <c r="G9" s="40">
        <v>114847300</v>
      </c>
    </row>
    <row r="10" spans="1:17" x14ac:dyDescent="0.25">
      <c r="C10" s="39" t="s">
        <v>596</v>
      </c>
      <c r="D10" s="40">
        <v>7303580</v>
      </c>
    </row>
    <row r="11" spans="1:17" x14ac:dyDescent="0.25">
      <c r="C11" s="39" t="s">
        <v>601</v>
      </c>
      <c r="D11" s="40">
        <v>7212520</v>
      </c>
    </row>
    <row r="12" spans="1:17" x14ac:dyDescent="0.25">
      <c r="A12" s="3">
        <f>GETPIVOTDATA("Sales Amount",$A$3)</f>
        <v>114847300</v>
      </c>
      <c r="C12" s="39" t="s">
        <v>597</v>
      </c>
      <c r="D12" s="40">
        <v>7098720</v>
      </c>
      <c r="F12" s="37" t="s">
        <v>642</v>
      </c>
      <c r="G12" s="37"/>
      <c r="I12" s="37" t="s">
        <v>644</v>
      </c>
      <c r="J12" s="37"/>
      <c r="K12" s="41"/>
      <c r="M12" s="37" t="s">
        <v>635</v>
      </c>
      <c r="N12" s="37"/>
    </row>
    <row r="13" spans="1:17" x14ac:dyDescent="0.25">
      <c r="A13" s="3">
        <f>GETPIVOTDATA("Profit",$A$7)</f>
        <v>28482487.999999996</v>
      </c>
      <c r="C13" s="39" t="s">
        <v>607</v>
      </c>
      <c r="D13" s="40">
        <v>6408780</v>
      </c>
      <c r="F13" s="38" t="s">
        <v>32</v>
      </c>
      <c r="G13" s="39" t="s">
        <v>643</v>
      </c>
      <c r="I13" s="38" t="s">
        <v>33</v>
      </c>
      <c r="J13" s="39" t="s">
        <v>643</v>
      </c>
      <c r="K13" s="39" t="s">
        <v>25</v>
      </c>
      <c r="M13" s="38" t="s">
        <v>634</v>
      </c>
      <c r="N13" s="39" t="s">
        <v>633</v>
      </c>
    </row>
    <row r="14" spans="1:17" x14ac:dyDescent="0.25">
      <c r="C14" s="39" t="s">
        <v>600</v>
      </c>
      <c r="D14" s="40">
        <v>6283960</v>
      </c>
      <c r="F14" s="39" t="s">
        <v>620</v>
      </c>
      <c r="G14" s="40">
        <v>13648100</v>
      </c>
      <c r="I14" s="39" t="s">
        <v>645</v>
      </c>
      <c r="J14" s="40">
        <v>22722170</v>
      </c>
      <c r="K14" s="40">
        <v>5832284.9000000004</v>
      </c>
      <c r="M14" s="39" t="s">
        <v>59</v>
      </c>
      <c r="N14" s="40">
        <v>7741900</v>
      </c>
    </row>
    <row r="15" spans="1:17" x14ac:dyDescent="0.25">
      <c r="C15" s="39" t="s">
        <v>592</v>
      </c>
      <c r="D15" s="40">
        <v>6168500</v>
      </c>
      <c r="F15" s="39" t="s">
        <v>624</v>
      </c>
      <c r="G15" s="40">
        <v>13344660</v>
      </c>
      <c r="I15" s="39" t="s">
        <v>617</v>
      </c>
      <c r="J15" s="40">
        <v>17563480</v>
      </c>
      <c r="K15" s="40">
        <v>4184028.4000000004</v>
      </c>
      <c r="M15" s="39" t="s">
        <v>55</v>
      </c>
      <c r="N15" s="40">
        <v>12660160</v>
      </c>
    </row>
    <row r="16" spans="1:17" x14ac:dyDescent="0.25">
      <c r="C16" s="39" t="s">
        <v>606</v>
      </c>
      <c r="D16" s="40">
        <v>6098000</v>
      </c>
      <c r="F16" s="39" t="s">
        <v>616</v>
      </c>
      <c r="G16" s="40">
        <v>12755860</v>
      </c>
      <c r="I16" s="39" t="s">
        <v>630</v>
      </c>
      <c r="J16" s="40">
        <v>16153440</v>
      </c>
      <c r="K16" s="40">
        <v>4243792.6000000006</v>
      </c>
      <c r="M16" s="39" t="s">
        <v>46</v>
      </c>
      <c r="N16" s="40">
        <v>13143860</v>
      </c>
    </row>
    <row r="17" spans="3:14" x14ac:dyDescent="0.25">
      <c r="C17" s="39" t="s">
        <v>594</v>
      </c>
      <c r="D17" s="40">
        <v>5979640</v>
      </c>
      <c r="F17" s="39" t="s">
        <v>625</v>
      </c>
      <c r="G17" s="40">
        <v>12653600</v>
      </c>
      <c r="I17" s="39" t="s">
        <v>623</v>
      </c>
      <c r="J17" s="40">
        <v>15746580</v>
      </c>
      <c r="K17" s="40">
        <v>3417700.2</v>
      </c>
      <c r="M17" s="39" t="s">
        <v>62</v>
      </c>
      <c r="N17" s="40">
        <v>9742780</v>
      </c>
    </row>
    <row r="18" spans="3:14" x14ac:dyDescent="0.25">
      <c r="C18" s="39" t="s">
        <v>593</v>
      </c>
      <c r="D18" s="40">
        <v>4548340</v>
      </c>
      <c r="F18" s="39" t="s">
        <v>622</v>
      </c>
      <c r="G18" s="40">
        <v>12524620</v>
      </c>
      <c r="I18" s="39" t="s">
        <v>614</v>
      </c>
      <c r="J18" s="40">
        <v>13238040</v>
      </c>
      <c r="K18" s="40">
        <v>3814520.6</v>
      </c>
      <c r="M18" s="39" t="s">
        <v>57</v>
      </c>
      <c r="N18" s="40">
        <v>8928960</v>
      </c>
    </row>
    <row r="19" spans="3:14" x14ac:dyDescent="0.25">
      <c r="C19" s="39" t="s">
        <v>595</v>
      </c>
      <c r="D19" s="40">
        <v>3505960</v>
      </c>
      <c r="F19" s="39" t="s">
        <v>629</v>
      </c>
      <c r="G19" s="40">
        <v>11931680</v>
      </c>
      <c r="I19" s="39" t="s">
        <v>619</v>
      </c>
      <c r="J19" s="40">
        <v>13219780</v>
      </c>
      <c r="K19" s="40">
        <v>2836209.4000000004</v>
      </c>
      <c r="M19" s="39" t="s">
        <v>44</v>
      </c>
      <c r="N19" s="40">
        <v>10445560</v>
      </c>
    </row>
    <row r="20" spans="3:14" x14ac:dyDescent="0.25">
      <c r="C20" s="39" t="s">
        <v>632</v>
      </c>
      <c r="D20" s="40">
        <v>114847300</v>
      </c>
      <c r="F20" s="39" t="s">
        <v>613</v>
      </c>
      <c r="G20" s="40">
        <v>11892240</v>
      </c>
      <c r="I20" s="39" t="s">
        <v>627</v>
      </c>
      <c r="J20" s="40">
        <v>9848540</v>
      </c>
      <c r="K20" s="40">
        <v>2459006.5999999996</v>
      </c>
      <c r="M20" s="39" t="s">
        <v>83</v>
      </c>
      <c r="N20" s="40">
        <v>9211780</v>
      </c>
    </row>
    <row r="21" spans="3:14" x14ac:dyDescent="0.25">
      <c r="F21" s="39" t="s">
        <v>621</v>
      </c>
      <c r="G21" s="40">
        <v>11821940</v>
      </c>
      <c r="I21" s="39" t="s">
        <v>631</v>
      </c>
      <c r="J21" s="40">
        <v>6355270</v>
      </c>
      <c r="K21" s="40">
        <v>1694945.3</v>
      </c>
      <c r="M21" s="39" t="s">
        <v>50</v>
      </c>
      <c r="N21" s="40">
        <v>8422920</v>
      </c>
    </row>
    <row r="22" spans="3:14" x14ac:dyDescent="0.25">
      <c r="F22" s="39" t="s">
        <v>626</v>
      </c>
      <c r="G22" s="40">
        <v>9118520</v>
      </c>
      <c r="I22" s="39" t="s">
        <v>636</v>
      </c>
      <c r="J22" s="40">
        <v>114847300</v>
      </c>
      <c r="K22" s="40">
        <v>28482488</v>
      </c>
      <c r="M22" s="39" t="s">
        <v>53</v>
      </c>
      <c r="N22" s="40">
        <v>11171820</v>
      </c>
    </row>
    <row r="23" spans="3:14" x14ac:dyDescent="0.25">
      <c r="F23" s="39" t="s">
        <v>628</v>
      </c>
      <c r="G23" s="40">
        <v>5156080</v>
      </c>
      <c r="M23" s="39" t="s">
        <v>65</v>
      </c>
      <c r="N23" s="40">
        <v>4995240</v>
      </c>
    </row>
    <row r="24" spans="3:14" x14ac:dyDescent="0.25">
      <c r="F24" s="39" t="s">
        <v>639</v>
      </c>
      <c r="G24" s="40"/>
      <c r="M24" s="39" t="s">
        <v>48</v>
      </c>
      <c r="N24" s="40">
        <v>6396160</v>
      </c>
    </row>
    <row r="25" spans="3:14" x14ac:dyDescent="0.25">
      <c r="F25" s="39" t="s">
        <v>636</v>
      </c>
      <c r="G25" s="40">
        <v>114847300</v>
      </c>
      <c r="M25" s="39" t="s">
        <v>80</v>
      </c>
      <c r="N25" s="40">
        <v>11986160</v>
      </c>
    </row>
    <row r="26" spans="3:14" x14ac:dyDescent="0.25">
      <c r="M26" s="39" t="s">
        <v>639</v>
      </c>
      <c r="N26" s="40"/>
    </row>
    <row r="27" spans="3:14" x14ac:dyDescent="0.25">
      <c r="M27" s="39" t="s">
        <v>636</v>
      </c>
      <c r="N27" s="40">
        <v>114847300</v>
      </c>
    </row>
  </sheetData>
  <mergeCells count="8">
    <mergeCell ref="I12:J12"/>
    <mergeCell ref="P2:Q2"/>
    <mergeCell ref="M12:N12"/>
    <mergeCell ref="C2:D2"/>
    <mergeCell ref="F2:G2"/>
    <mergeCell ref="I2:J2"/>
    <mergeCell ref="M2:N2"/>
    <mergeCell ref="F12:G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F8928-EB73-499B-9664-72833042FA45}">
  <dimension ref="A1:U30"/>
  <sheetViews>
    <sheetView tabSelected="1" zoomScale="98" zoomScaleNormal="98" workbookViewId="0">
      <selection sqref="A1:U2"/>
    </sheetView>
  </sheetViews>
  <sheetFormatPr defaultRowHeight="15" x14ac:dyDescent="0.25"/>
  <cols>
    <col min="7" max="7" width="12.42578125" bestFit="1" customWidth="1"/>
    <col min="8" max="8" width="10.42578125" bestFit="1" customWidth="1"/>
  </cols>
  <sheetData>
    <row r="1" spans="1:21" x14ac:dyDescent="0.25">
      <c r="A1" s="43" t="s">
        <v>646</v>
      </c>
      <c r="B1" s="44"/>
      <c r="C1" s="44"/>
      <c r="D1" s="44"/>
      <c r="E1" s="44"/>
      <c r="F1" s="44"/>
      <c r="G1" s="44"/>
      <c r="H1" s="44"/>
      <c r="I1" s="44"/>
      <c r="J1" s="44"/>
      <c r="K1" s="44"/>
      <c r="L1" s="44"/>
      <c r="M1" s="44"/>
      <c r="N1" s="44"/>
      <c r="O1" s="44"/>
      <c r="P1" s="44"/>
      <c r="Q1" s="44"/>
      <c r="R1" s="44"/>
      <c r="S1" s="44"/>
      <c r="T1" s="44"/>
      <c r="U1" s="45"/>
    </row>
    <row r="2" spans="1:21" ht="15.75" thickBot="1" x14ac:dyDescent="0.3">
      <c r="A2" s="46"/>
      <c r="B2" s="47"/>
      <c r="C2" s="47"/>
      <c r="D2" s="47"/>
      <c r="E2" s="47"/>
      <c r="F2" s="47"/>
      <c r="G2" s="47"/>
      <c r="H2" s="47"/>
      <c r="I2" s="47"/>
      <c r="J2" s="47"/>
      <c r="K2" s="47"/>
      <c r="L2" s="47"/>
      <c r="M2" s="47"/>
      <c r="N2" s="47"/>
      <c r="O2" s="47"/>
      <c r="P2" s="47"/>
      <c r="Q2" s="47"/>
      <c r="R2" s="47"/>
      <c r="S2" s="47"/>
      <c r="T2" s="47"/>
      <c r="U2" s="48"/>
    </row>
    <row r="3" spans="1:21" x14ac:dyDescent="0.25">
      <c r="A3" s="42"/>
      <c r="B3" s="42"/>
      <c r="C3" s="42"/>
      <c r="D3" s="42"/>
      <c r="E3" s="42"/>
      <c r="F3" s="42"/>
      <c r="G3" s="42"/>
      <c r="H3" s="42"/>
      <c r="I3" s="42"/>
      <c r="J3" s="42"/>
      <c r="K3" s="42"/>
      <c r="L3" s="42"/>
      <c r="M3" s="42"/>
      <c r="N3" s="42"/>
      <c r="O3" s="42"/>
      <c r="P3" s="42"/>
      <c r="Q3" s="42"/>
      <c r="R3" s="42"/>
      <c r="S3" s="42"/>
      <c r="T3" s="42"/>
      <c r="U3" s="42"/>
    </row>
    <row r="4" spans="1:21" x14ac:dyDescent="0.25">
      <c r="A4" s="42"/>
      <c r="B4" s="42"/>
      <c r="C4" s="42"/>
      <c r="D4" s="42"/>
      <c r="E4" s="42"/>
      <c r="F4" s="42"/>
      <c r="G4" s="42"/>
      <c r="H4" s="42"/>
      <c r="I4" s="42"/>
      <c r="J4" s="42"/>
      <c r="K4" s="42"/>
      <c r="L4" s="42"/>
      <c r="M4" s="42"/>
      <c r="N4" s="42"/>
      <c r="O4" s="42"/>
      <c r="P4" s="42"/>
      <c r="Q4" s="42"/>
      <c r="R4" s="42"/>
      <c r="S4" s="42"/>
      <c r="T4" s="42"/>
      <c r="U4" s="42"/>
    </row>
    <row r="5" spans="1:21" x14ac:dyDescent="0.25">
      <c r="A5" s="42"/>
      <c r="B5" s="42"/>
      <c r="C5" s="42"/>
      <c r="D5" s="42"/>
      <c r="E5" s="42"/>
      <c r="F5" s="42"/>
      <c r="G5" s="42"/>
      <c r="H5" s="42"/>
      <c r="I5" s="42"/>
      <c r="J5" s="42"/>
      <c r="K5" s="42"/>
      <c r="L5" s="42"/>
      <c r="M5" s="42"/>
      <c r="N5" s="42"/>
      <c r="O5" s="42"/>
      <c r="P5" s="42"/>
      <c r="Q5" s="42"/>
      <c r="R5" s="42"/>
      <c r="S5" s="42"/>
      <c r="T5" s="42"/>
      <c r="U5" s="42"/>
    </row>
    <row r="6" spans="1:21" x14ac:dyDescent="0.25">
      <c r="A6" s="42"/>
      <c r="B6" s="42"/>
      <c r="C6" s="42"/>
      <c r="D6" s="42"/>
      <c r="E6" s="42"/>
      <c r="F6" s="42"/>
      <c r="G6" s="42"/>
      <c r="H6" s="42"/>
      <c r="I6" s="42"/>
      <c r="J6" s="42"/>
      <c r="K6" s="42"/>
      <c r="L6" s="42"/>
      <c r="M6" s="42"/>
      <c r="N6" s="42"/>
      <c r="O6" s="42"/>
      <c r="P6" s="42"/>
      <c r="Q6" s="42"/>
      <c r="R6" s="42"/>
      <c r="S6" s="42"/>
      <c r="T6" s="42"/>
      <c r="U6" s="42"/>
    </row>
    <row r="7" spans="1:21" x14ac:dyDescent="0.25">
      <c r="A7" s="42"/>
      <c r="B7" s="42"/>
      <c r="C7" s="42"/>
      <c r="D7" s="42"/>
      <c r="E7" s="42"/>
      <c r="F7" s="42"/>
      <c r="G7" s="42"/>
      <c r="H7" s="42"/>
      <c r="I7" s="42"/>
      <c r="J7" s="42"/>
      <c r="K7" s="42"/>
      <c r="L7" s="42"/>
      <c r="M7" s="42"/>
      <c r="N7" s="42"/>
      <c r="O7" s="42"/>
      <c r="P7" s="42"/>
      <c r="Q7" s="42"/>
      <c r="R7" s="42"/>
      <c r="S7" s="42"/>
      <c r="T7" s="42"/>
      <c r="U7" s="42"/>
    </row>
    <row r="8" spans="1:21" x14ac:dyDescent="0.25">
      <c r="A8" s="42"/>
      <c r="B8" s="42"/>
      <c r="C8" s="42"/>
      <c r="D8" s="42"/>
      <c r="E8" s="42"/>
      <c r="F8" s="42"/>
      <c r="G8" s="42"/>
      <c r="H8" s="42"/>
      <c r="I8" s="42"/>
      <c r="J8" s="42"/>
      <c r="K8" s="42"/>
      <c r="L8" s="42"/>
      <c r="M8" s="42"/>
      <c r="N8" s="42"/>
      <c r="O8" s="42"/>
      <c r="P8" s="42"/>
      <c r="Q8" s="42"/>
      <c r="R8" s="42"/>
      <c r="S8" s="42"/>
      <c r="T8" s="42"/>
      <c r="U8" s="42"/>
    </row>
    <row r="9" spans="1:21" x14ac:dyDescent="0.25">
      <c r="A9" s="42"/>
      <c r="B9" s="42"/>
      <c r="C9" s="42"/>
      <c r="D9" s="42"/>
      <c r="E9" s="42"/>
      <c r="F9" s="42"/>
      <c r="G9" s="42"/>
      <c r="H9" s="42"/>
      <c r="I9" s="42"/>
      <c r="J9" s="42"/>
      <c r="K9" s="42"/>
      <c r="L9" s="42"/>
      <c r="M9" s="42"/>
      <c r="N9" s="42"/>
      <c r="O9" s="42"/>
      <c r="P9" s="42"/>
      <c r="Q9" s="42"/>
      <c r="R9" s="42"/>
      <c r="S9" s="42"/>
      <c r="T9" s="42"/>
      <c r="U9" s="42"/>
    </row>
    <row r="10" spans="1:21" x14ac:dyDescent="0.25">
      <c r="A10" s="42"/>
      <c r="B10" s="42"/>
      <c r="C10" s="42"/>
      <c r="D10" s="42"/>
      <c r="E10" s="42"/>
      <c r="F10" s="42"/>
      <c r="G10" s="42"/>
      <c r="H10" s="42"/>
      <c r="I10" s="42"/>
      <c r="J10" s="42"/>
      <c r="K10" s="42"/>
      <c r="L10" s="42"/>
      <c r="M10" s="42"/>
      <c r="N10" s="42"/>
      <c r="O10" s="42"/>
      <c r="P10" s="42"/>
      <c r="Q10" s="42"/>
      <c r="R10" s="42"/>
      <c r="S10" s="42"/>
      <c r="T10" s="42"/>
      <c r="U10" s="42"/>
    </row>
    <row r="11" spans="1:21" x14ac:dyDescent="0.25">
      <c r="A11" s="42"/>
      <c r="B11" s="42"/>
      <c r="C11" s="42"/>
      <c r="D11" s="42"/>
      <c r="E11" s="42"/>
      <c r="F11" s="42"/>
      <c r="G11" s="42"/>
      <c r="H11" s="42"/>
      <c r="I11" s="42"/>
      <c r="J11" s="42"/>
      <c r="K11" s="42"/>
      <c r="L11" s="42"/>
      <c r="M11" s="42"/>
      <c r="N11" s="42"/>
      <c r="O11" s="42"/>
      <c r="P11" s="42"/>
      <c r="Q11" s="42"/>
      <c r="R11" s="42"/>
      <c r="S11" s="42"/>
      <c r="T11" s="42"/>
      <c r="U11" s="42"/>
    </row>
    <row r="12" spans="1:21" x14ac:dyDescent="0.25">
      <c r="A12" s="42"/>
      <c r="B12" s="42"/>
      <c r="C12" s="42"/>
      <c r="D12" s="42"/>
      <c r="E12" s="42"/>
      <c r="F12" s="42"/>
      <c r="G12" s="42"/>
      <c r="H12" s="42"/>
      <c r="I12" s="42"/>
      <c r="J12" s="42"/>
      <c r="K12" s="42"/>
      <c r="L12" s="42"/>
      <c r="M12" s="42"/>
      <c r="N12" s="42"/>
      <c r="O12" s="42"/>
      <c r="P12" s="42"/>
      <c r="Q12" s="42"/>
      <c r="R12" s="42"/>
      <c r="S12" s="42"/>
      <c r="T12" s="42"/>
      <c r="U12" s="42"/>
    </row>
    <row r="13" spans="1:21" x14ac:dyDescent="0.25">
      <c r="A13" s="42"/>
      <c r="B13" s="42"/>
      <c r="C13" s="42"/>
      <c r="D13" s="42"/>
      <c r="E13" s="42"/>
      <c r="F13" s="42"/>
      <c r="G13" s="42"/>
      <c r="H13" s="42"/>
      <c r="I13" s="42"/>
      <c r="J13" s="42"/>
      <c r="K13" s="42"/>
      <c r="L13" s="42"/>
      <c r="M13" s="42"/>
      <c r="N13" s="42"/>
      <c r="O13" s="42"/>
      <c r="P13" s="42"/>
      <c r="Q13" s="42"/>
      <c r="R13" s="42"/>
      <c r="S13" s="42"/>
      <c r="T13" s="42"/>
      <c r="U13" s="42"/>
    </row>
    <row r="14" spans="1:21" x14ac:dyDescent="0.25">
      <c r="A14" s="42"/>
      <c r="B14" s="42"/>
      <c r="C14" s="42"/>
      <c r="D14" s="42"/>
      <c r="E14" s="42"/>
      <c r="F14" s="42"/>
      <c r="G14" s="42"/>
      <c r="H14" s="42"/>
      <c r="I14" s="42"/>
      <c r="J14" s="42"/>
      <c r="K14" s="42"/>
      <c r="L14" s="42"/>
      <c r="M14" s="42"/>
      <c r="N14" s="42"/>
      <c r="O14" s="42"/>
      <c r="P14" s="42"/>
      <c r="Q14" s="42"/>
      <c r="R14" s="42"/>
      <c r="S14" s="42"/>
      <c r="T14" s="42"/>
      <c r="U14" s="42"/>
    </row>
    <row r="15" spans="1:21" x14ac:dyDescent="0.25">
      <c r="A15" s="42"/>
      <c r="B15" s="42"/>
      <c r="C15" s="42"/>
      <c r="D15" s="42"/>
      <c r="E15" s="42"/>
      <c r="F15" s="42"/>
      <c r="G15" s="42"/>
      <c r="H15" s="42"/>
      <c r="I15" s="42"/>
      <c r="J15" s="42"/>
      <c r="K15" s="42"/>
      <c r="L15" s="42"/>
      <c r="M15" s="42"/>
      <c r="N15" s="42"/>
      <c r="O15" s="42"/>
      <c r="P15" s="42"/>
      <c r="Q15" s="42"/>
      <c r="R15" s="42"/>
      <c r="S15" s="42"/>
      <c r="T15" s="42"/>
      <c r="U15" s="42"/>
    </row>
    <row r="16" spans="1:21" x14ac:dyDescent="0.25">
      <c r="A16" s="42"/>
      <c r="B16" s="42"/>
      <c r="C16" s="42"/>
      <c r="D16" s="42"/>
      <c r="E16" s="42"/>
      <c r="F16" s="42"/>
      <c r="G16" s="42"/>
      <c r="H16" s="42"/>
      <c r="I16" s="42"/>
      <c r="J16" s="42"/>
      <c r="K16" s="42"/>
      <c r="L16" s="42"/>
      <c r="M16" s="42"/>
      <c r="N16" s="42"/>
      <c r="O16" s="42"/>
      <c r="P16" s="42"/>
      <c r="Q16" s="42"/>
      <c r="R16" s="42"/>
      <c r="S16" s="42"/>
      <c r="T16" s="42"/>
      <c r="U16" s="42"/>
    </row>
    <row r="17" spans="1:21" x14ac:dyDescent="0.25">
      <c r="A17" s="42"/>
      <c r="B17" s="42"/>
      <c r="C17" s="42"/>
      <c r="D17" s="42"/>
      <c r="E17" s="42"/>
      <c r="F17" s="42"/>
      <c r="G17" s="42"/>
      <c r="H17" s="42"/>
      <c r="I17" s="42"/>
      <c r="J17" s="42"/>
      <c r="K17" s="42"/>
      <c r="L17" s="42"/>
      <c r="M17" s="42"/>
      <c r="N17" s="42"/>
      <c r="O17" s="42"/>
      <c r="P17" s="42"/>
      <c r="Q17" s="42"/>
      <c r="R17" s="42"/>
      <c r="S17" s="42"/>
      <c r="T17" s="42"/>
      <c r="U17" s="42"/>
    </row>
    <row r="18" spans="1:21" x14ac:dyDescent="0.25">
      <c r="A18" s="42"/>
      <c r="B18" s="42"/>
      <c r="C18" s="42"/>
      <c r="D18" s="42"/>
      <c r="E18" s="42"/>
      <c r="F18" s="42"/>
      <c r="G18" s="42"/>
      <c r="H18" s="42"/>
      <c r="I18" s="42"/>
      <c r="J18" s="42"/>
      <c r="K18" s="42"/>
      <c r="L18" s="42"/>
      <c r="M18" s="42"/>
      <c r="N18" s="42"/>
      <c r="O18" s="42"/>
      <c r="P18" s="42"/>
      <c r="Q18" s="42"/>
      <c r="R18" s="42"/>
      <c r="S18" s="42"/>
      <c r="T18" s="42"/>
      <c r="U18" s="42"/>
    </row>
    <row r="19" spans="1:21" x14ac:dyDescent="0.25">
      <c r="A19" s="42"/>
      <c r="B19" s="42"/>
      <c r="C19" s="42"/>
      <c r="D19" s="42"/>
      <c r="E19" s="42"/>
      <c r="F19" s="42"/>
      <c r="G19" s="42"/>
      <c r="H19" s="42"/>
      <c r="I19" s="42"/>
      <c r="J19" s="42"/>
      <c r="K19" s="42"/>
      <c r="L19" s="42"/>
      <c r="M19" s="42"/>
      <c r="N19" s="42"/>
      <c r="O19" s="42"/>
      <c r="P19" s="42"/>
      <c r="Q19" s="42"/>
      <c r="R19" s="42"/>
      <c r="S19" s="42"/>
      <c r="T19" s="42"/>
      <c r="U19" s="42"/>
    </row>
    <row r="20" spans="1:21" x14ac:dyDescent="0.25">
      <c r="A20" s="42"/>
      <c r="B20" s="42"/>
      <c r="C20" s="42"/>
      <c r="D20" s="42"/>
      <c r="E20" s="42"/>
      <c r="F20" s="42"/>
      <c r="G20" s="42"/>
      <c r="H20" s="42"/>
      <c r="I20" s="42"/>
      <c r="J20" s="42"/>
      <c r="K20" s="42"/>
      <c r="L20" s="42"/>
      <c r="M20" s="42"/>
      <c r="N20" s="42"/>
      <c r="O20" s="42"/>
      <c r="P20" s="42"/>
      <c r="Q20" s="42"/>
      <c r="R20" s="42"/>
      <c r="S20" s="42"/>
      <c r="T20" s="42"/>
      <c r="U20" s="42"/>
    </row>
    <row r="21" spans="1:21" x14ac:dyDescent="0.25">
      <c r="A21" s="42"/>
      <c r="B21" s="42"/>
      <c r="C21" s="42"/>
      <c r="D21" s="42"/>
      <c r="E21" s="42"/>
      <c r="F21" s="42"/>
      <c r="G21" s="42"/>
      <c r="H21" s="42"/>
      <c r="I21" s="42"/>
      <c r="J21" s="42"/>
      <c r="K21" s="42"/>
      <c r="L21" s="42"/>
      <c r="M21" s="42"/>
      <c r="N21" s="42"/>
      <c r="O21" s="42"/>
      <c r="P21" s="42"/>
      <c r="Q21" s="42"/>
      <c r="R21" s="42"/>
      <c r="S21" s="42"/>
      <c r="T21" s="42"/>
      <c r="U21" s="42"/>
    </row>
    <row r="22" spans="1:21" x14ac:dyDescent="0.25">
      <c r="A22" s="42"/>
      <c r="B22" s="42"/>
      <c r="C22" s="42"/>
      <c r="D22" s="42"/>
      <c r="E22" s="42"/>
      <c r="F22" s="42"/>
      <c r="G22" s="42"/>
      <c r="H22" s="42"/>
      <c r="I22" s="42"/>
      <c r="J22" s="42"/>
      <c r="K22" s="42"/>
      <c r="L22" s="42"/>
      <c r="M22" s="42"/>
      <c r="N22" s="42"/>
      <c r="O22" s="42"/>
      <c r="P22" s="42"/>
      <c r="Q22" s="42"/>
      <c r="R22" s="42"/>
      <c r="S22" s="42"/>
      <c r="T22" s="42"/>
      <c r="U22" s="42"/>
    </row>
    <row r="23" spans="1:21" x14ac:dyDescent="0.25">
      <c r="A23" s="42"/>
      <c r="B23" s="42"/>
      <c r="C23" s="42"/>
      <c r="D23" s="42"/>
      <c r="E23" s="42"/>
      <c r="F23" s="42"/>
      <c r="G23" s="42"/>
      <c r="H23" s="42"/>
      <c r="I23" s="42"/>
      <c r="J23" s="42"/>
      <c r="K23" s="42"/>
      <c r="L23" s="42"/>
      <c r="M23" s="42"/>
      <c r="N23" s="42"/>
      <c r="O23" s="42"/>
      <c r="P23" s="42"/>
      <c r="Q23" s="42"/>
      <c r="R23" s="42"/>
      <c r="S23" s="42"/>
      <c r="T23" s="42"/>
      <c r="U23" s="42"/>
    </row>
    <row r="24" spans="1:21" x14ac:dyDescent="0.25">
      <c r="A24" s="42"/>
      <c r="B24" s="42"/>
      <c r="C24" s="42"/>
      <c r="D24" s="42"/>
      <c r="E24" s="42"/>
      <c r="F24" s="42"/>
      <c r="G24" s="42"/>
      <c r="H24" s="42"/>
      <c r="I24" s="42"/>
      <c r="J24" s="42"/>
      <c r="K24" s="42"/>
      <c r="L24" s="42"/>
      <c r="M24" s="42"/>
      <c r="N24" s="42"/>
      <c r="O24" s="42"/>
      <c r="P24" s="42"/>
      <c r="Q24" s="42"/>
      <c r="R24" s="42"/>
      <c r="S24" s="42"/>
      <c r="T24" s="42"/>
      <c r="U24" s="42"/>
    </row>
    <row r="25" spans="1:21" x14ac:dyDescent="0.25">
      <c r="A25" s="42"/>
      <c r="B25" s="42"/>
      <c r="C25" s="42"/>
      <c r="D25" s="42"/>
      <c r="E25" s="42"/>
      <c r="F25" s="42"/>
      <c r="G25" s="42"/>
      <c r="H25" s="42"/>
      <c r="I25" s="42"/>
      <c r="J25" s="42"/>
      <c r="K25" s="42"/>
      <c r="L25" s="42"/>
      <c r="M25" s="42"/>
      <c r="N25" s="42"/>
      <c r="O25" s="42"/>
      <c r="P25" s="42"/>
      <c r="Q25" s="42"/>
      <c r="R25" s="42"/>
      <c r="S25" s="42"/>
      <c r="T25" s="42"/>
      <c r="U25" s="42"/>
    </row>
    <row r="26" spans="1:21" x14ac:dyDescent="0.25">
      <c r="A26" s="42"/>
      <c r="B26" s="42"/>
      <c r="C26" s="42"/>
      <c r="D26" s="42"/>
      <c r="E26" s="42"/>
      <c r="F26" s="42"/>
      <c r="G26" s="42"/>
      <c r="H26" s="42"/>
      <c r="I26" s="42"/>
      <c r="J26" s="42"/>
      <c r="K26" s="42"/>
      <c r="L26" s="42"/>
      <c r="M26" s="42"/>
      <c r="N26" s="42"/>
      <c r="O26" s="42"/>
      <c r="P26" s="42"/>
      <c r="Q26" s="42"/>
      <c r="R26" s="42"/>
      <c r="S26" s="42"/>
      <c r="T26" s="42"/>
      <c r="U26" s="42"/>
    </row>
    <row r="27" spans="1:21" x14ac:dyDescent="0.25">
      <c r="A27" s="42"/>
      <c r="B27" s="42"/>
      <c r="C27" s="42"/>
      <c r="D27" s="42"/>
      <c r="E27" s="42"/>
      <c r="F27" s="42"/>
      <c r="G27" s="42"/>
      <c r="H27" s="42"/>
      <c r="I27" s="42"/>
      <c r="J27" s="42"/>
      <c r="K27" s="42"/>
      <c r="L27" s="42"/>
      <c r="M27" s="42"/>
      <c r="N27" s="42"/>
      <c r="O27" s="42"/>
      <c r="P27" s="42"/>
      <c r="Q27" s="42"/>
      <c r="R27" s="42"/>
      <c r="S27" s="42"/>
      <c r="T27" s="42"/>
      <c r="U27" s="42"/>
    </row>
    <row r="28" spans="1:21" x14ac:dyDescent="0.25">
      <c r="A28" s="42"/>
      <c r="B28" s="42"/>
      <c r="C28" s="42"/>
      <c r="D28" s="42"/>
      <c r="E28" s="42"/>
      <c r="F28" s="42"/>
      <c r="G28" s="42"/>
      <c r="H28" s="42"/>
      <c r="I28" s="42"/>
      <c r="J28" s="42"/>
      <c r="K28" s="42"/>
      <c r="L28" s="42"/>
      <c r="M28" s="42"/>
      <c r="N28" s="42"/>
      <c r="O28" s="42"/>
      <c r="P28" s="42"/>
      <c r="Q28" s="42"/>
      <c r="R28" s="42"/>
      <c r="S28" s="42"/>
      <c r="T28" s="42"/>
      <c r="U28" s="42"/>
    </row>
    <row r="29" spans="1:21" x14ac:dyDescent="0.25">
      <c r="A29" s="42"/>
      <c r="B29" s="42"/>
      <c r="C29" s="42"/>
      <c r="D29" s="42"/>
      <c r="E29" s="42"/>
      <c r="F29" s="42"/>
      <c r="G29" s="42"/>
      <c r="H29" s="42"/>
      <c r="I29" s="42"/>
      <c r="J29" s="42"/>
      <c r="K29" s="42"/>
      <c r="L29" s="42"/>
      <c r="M29" s="42"/>
      <c r="N29" s="42"/>
      <c r="O29" s="42"/>
      <c r="P29" s="42"/>
      <c r="Q29" s="42"/>
      <c r="R29" s="42"/>
      <c r="S29" s="42"/>
      <c r="T29" s="42"/>
      <c r="U29" s="42"/>
    </row>
    <row r="30" spans="1:21" x14ac:dyDescent="0.25">
      <c r="A30" s="42"/>
      <c r="B30" s="42"/>
      <c r="C30" s="42"/>
      <c r="D30" s="42"/>
      <c r="E30" s="42"/>
      <c r="F30" s="42"/>
      <c r="G30" s="42"/>
      <c r="H30" s="42"/>
      <c r="I30" s="42"/>
      <c r="J30" s="42"/>
      <c r="K30" s="42"/>
      <c r="L30" s="42"/>
      <c r="M30" s="42"/>
      <c r="N30" s="42"/>
      <c r="O30" s="42"/>
      <c r="P30" s="42"/>
      <c r="Q30" s="42"/>
      <c r="R30" s="42"/>
      <c r="S30" s="42"/>
      <c r="T30" s="42"/>
      <c r="U30" s="42"/>
    </row>
  </sheetData>
  <mergeCells count="1">
    <mergeCell ref="A1:U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01F54C-4A30-4DC3-8762-B423C6ADF6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Question</vt:lpstr>
      <vt:lpstr>Sales'25</vt:lpstr>
      <vt:lpstr>Sales'26</vt:lpstr>
      <vt:lpstr>Append1</vt:lpstr>
      <vt:lpstr>Pivot</vt:lpstr>
      <vt:lpstr>Dashboard</vt:lpstr>
      <vt:lpstr>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Riya Pethad</dc:creator>
  <cp:lastModifiedBy>Riya Pethad</cp:lastModifiedBy>
  <dcterms:created xsi:type="dcterms:W3CDTF">2026-05-18T06:48:10Z</dcterms:created>
  <dcterms:modified xsi:type="dcterms:W3CDTF">2026-05-23T21:45:00Z</dcterms:modified>
</cp:coreProperties>
</file>